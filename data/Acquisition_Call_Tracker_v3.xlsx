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Lists" sheetId="2" r:id="rId6"/>
    <sheet state="visible" name="Companies" sheetId="3" r:id="rId7"/>
    <sheet state="visible" name="Call Log" sheetId="4" r:id="rId8"/>
    <sheet state="visible" name="SMS Nurture" sheetId="5" r:id="rId9"/>
    <sheet state="visible" name="Read Me" sheetId="6" r:id="rId10"/>
  </sheets>
  <definedNames>
    <definedName hidden="1" localSheetId="2" name="_xlnm._FilterDatabase">Companies!$A$1:$AA$1000</definedName>
    <definedName hidden="1" localSheetId="3" name="_xlnm._FilterDatabase">'Call Log'!$A$1:$J$5000</definedName>
  </definedNames>
  <calcPr/>
</workbook>
</file>

<file path=xl/sharedStrings.xml><?xml version="1.0" encoding="utf-8"?>
<sst xmlns="http://schemas.openxmlformats.org/spreadsheetml/2006/main" count="9707" uniqueCount="4513">
  <si>
    <t>ACQUISITION CALL TRACKER</t>
  </si>
  <si>
    <t>Home Services Roll-Up  |  Auto-updates from Companies, Call Log and SMS Nurture</t>
  </si>
  <si>
    <t>ACTIVITY</t>
  </si>
  <si>
    <t>PIPELINE BY STAGE</t>
  </si>
  <si>
    <t># COS</t>
  </si>
  <si>
    <t>EBITDA IN STAGE</t>
  </si>
  <si>
    <t>TEAM ACTIVITY</t>
  </si>
  <si>
    <t>Target companies in database</t>
  </si>
  <si>
    <t>1. Not Contacted</t>
  </si>
  <si>
    <t>Caller</t>
  </si>
  <si>
    <t>Total Calls</t>
  </si>
  <si>
    <t>This Week</t>
  </si>
  <si>
    <t>DM Convos</t>
  </si>
  <si>
    <t>Meetings Set</t>
  </si>
  <si>
    <t>Total calls logged</t>
  </si>
  <si>
    <t>2. In Call Rotation</t>
  </si>
  <si>
    <t>Calls this week (Mon-Sun)</t>
  </si>
  <si>
    <t>3. Meeting Set</t>
  </si>
  <si>
    <t>Owner (DM) reach rate</t>
  </si>
  <si>
    <t>4. Meeting Held</t>
  </si>
  <si>
    <t>Meetings set (in pipeline now)</t>
  </si>
  <si>
    <t>5. NDA Signed</t>
  </si>
  <si>
    <t>Upcoming meetings on calendar</t>
  </si>
  <si>
    <t>6. Financials Received</t>
  </si>
  <si>
    <t>Follow-ups OVERDUE</t>
  </si>
  <si>
    <t>7. LOI Submitted</t>
  </si>
  <si>
    <t>Follow-ups due today</t>
  </si>
  <si>
    <t>8. Diligence</t>
  </si>
  <si>
    <t>In rotation, ZERO calls this wk</t>
  </si>
  <si>
    <t>9. Closed - Acquired</t>
  </si>
  <si>
    <t>DAILY ROUTINE</t>
  </si>
  <si>
    <t>On SMS nurture list</t>
  </si>
  <si>
    <t>X. SMS Nurture (Said No)</t>
  </si>
  <si>
    <t>1. Clear anything RED (overdue follow-ups on Companies).</t>
  </si>
  <si>
    <t>Texts due to send now</t>
  </si>
  <si>
    <t>2. Check 'In rotation, ZERO calls this wk' - orange rows on Companies need a dial today.</t>
  </si>
  <si>
    <t>Hot targets</t>
  </si>
  <si>
    <t>3. Send any SMS due (yellow rows on SMS Nurture tab).</t>
  </si>
  <si>
    <t>BY TRADE</t>
  </si>
  <si>
    <t>4. Log every dial in Call Log the moment it ends - even no-answers.</t>
  </si>
  <si>
    <t>HVAC</t>
  </si>
  <si>
    <t>Plumbing</t>
  </si>
  <si>
    <t>Electrical</t>
  </si>
  <si>
    <t>HVAC + Plumbing</t>
  </si>
  <si>
    <t>Multi-Trade</t>
  </si>
  <si>
    <t>Stage</t>
  </si>
  <si>
    <t>Trade</t>
  </si>
  <si>
    <t>Interest</t>
  </si>
  <si>
    <t>Reached</t>
  </si>
  <si>
    <t>Call Outcome</t>
  </si>
  <si>
    <t>Lead Source</t>
  </si>
  <si>
    <t>SMS Status</t>
  </si>
  <si>
    <t>Hot</t>
  </si>
  <si>
    <t>Xander</t>
  </si>
  <si>
    <t>Owner (Decision Maker)</t>
  </si>
  <si>
    <t>Meeting Set</t>
  </si>
  <si>
    <t>Google Maps scrape</t>
  </si>
  <si>
    <t>No reply yet</t>
  </si>
  <si>
    <t>Warm</t>
  </si>
  <si>
    <t>Bram</t>
  </si>
  <si>
    <t>Voicemail</t>
  </si>
  <si>
    <t>Meaningful Conversation</t>
  </si>
  <si>
    <t>Purchased list</t>
  </si>
  <si>
    <t>Replied - still no</t>
  </si>
  <si>
    <t>Lukewarm</t>
  </si>
  <si>
    <t>Andrew</t>
  </si>
  <si>
    <t>No Answer</t>
  </si>
  <si>
    <t>Callback Scheduled</t>
  </si>
  <si>
    <t>Referral</t>
  </si>
  <si>
    <t>Replied - INTERESTED</t>
  </si>
  <si>
    <t>Cold</t>
  </si>
  <si>
    <t>Davis</t>
  </si>
  <si>
    <t>Gatekeeper</t>
  </si>
  <si>
    <t>Left Voicemail</t>
  </si>
  <si>
    <t>BizBuySell</t>
  </si>
  <si>
    <t>OPTED OUT - never text again</t>
  </si>
  <si>
    <t>Said No</t>
  </si>
  <si>
    <t>TJ</t>
  </si>
  <si>
    <t>Wrong Number</t>
  </si>
  <si>
    <t>Broker</t>
  </si>
  <si>
    <t>Unknown</t>
  </si>
  <si>
    <t>Not Interested - move to SMS List</t>
  </si>
  <si>
    <t>Trade association</t>
  </si>
  <si>
    <t>Bad Number</t>
  </si>
  <si>
    <t>Other</t>
  </si>
  <si>
    <t>&lt;- Your team; edit here if the roster changes</t>
  </si>
  <si>
    <t>Do Not Contact (asked us to stop)</t>
  </si>
  <si>
    <t>ID</t>
  </si>
  <si>
    <t>Company Name</t>
  </si>
  <si>
    <t>Owner Name</t>
  </si>
  <si>
    <t>Owner Cell</t>
  </si>
  <si>
    <t>Employees</t>
  </si>
  <si>
    <t>EBITDA / SDE ($)</t>
  </si>
  <si>
    <t>Est. Revenue ($)</t>
  </si>
  <si>
    <t>City</t>
  </si>
  <si>
    <t>State</t>
  </si>
  <si>
    <t>Office Phone</t>
  </si>
  <si>
    <t>Email</t>
  </si>
  <si>
    <t>Last Caller</t>
  </si>
  <si>
    <t>Calls This Wk</t>
  </si>
  <si>
    <t>Last Call</t>
  </si>
  <si>
    <t>Next Caller</t>
  </si>
  <si>
    <t>Next Action Date</t>
  </si>
  <si>
    <t>Meeting Date</t>
  </si>
  <si>
    <t>Meeting Time &amp; Place</t>
  </si>
  <si>
    <t>Asking Price ($)</t>
  </si>
  <si>
    <t>Trucks</t>
  </si>
  <si>
    <t>Owner Age / Motivation</t>
  </si>
  <si>
    <t>Notes</t>
  </si>
  <si>
    <t>C001</t>
  </si>
  <si>
    <t>Geary Pacific Supply</t>
  </si>
  <si>
    <t>Russ Geary</t>
  </si>
  <si>
    <t>(916) 716-6726</t>
  </si>
  <si>
    <t>Kingman</t>
  </si>
  <si>
    <t>AZ</t>
  </si>
  <si>
    <t>(928) 718-7177</t>
  </si>
  <si>
    <t>russ@gearypacific.com</t>
  </si>
  <si>
    <t>Contact title 'Regional V.P.' - verify decision maker | Owner found via Apollo | EBITDA = 12% revenue proxy</t>
  </si>
  <si>
    <t>C002</t>
  </si>
  <si>
    <t>Any Hour Services - Electric, Plumbing, Heating &amp; Air</t>
  </si>
  <si>
    <t>Angedet Thomas</t>
  </si>
  <si>
    <t>(757) 337-4204</t>
  </si>
  <si>
    <t>Phoenix</t>
  </si>
  <si>
    <t>(602) 609-7184</t>
  </si>
  <si>
    <t>Owner found via Apollo | EBITDA = 12% revenue proxy</t>
  </si>
  <si>
    <t>C003</t>
  </si>
  <si>
    <t>Area Plumbing</t>
  </si>
  <si>
    <t>Jason Griffin</t>
  </si>
  <si>
    <t>(928) 388-5459</t>
  </si>
  <si>
    <t>Yuma</t>
  </si>
  <si>
    <t>(928) 344-0868</t>
  </si>
  <si>
    <t>jason@areaplumbing.com</t>
  </si>
  <si>
    <t>roc-posting-list</t>
  </si>
  <si>
    <t>Contact title 'General Manager' - verify decision maker | ROC 105658 R-37 | EBITDA = 12% revenue proxy | Size est. midpoint - ZoomInfo: 1-10 employees</t>
  </si>
  <si>
    <t>C004</t>
  </si>
  <si>
    <t>TDK Comfort Systems Inc</t>
  </si>
  <si>
    <t>Troy Douglas Koski</t>
  </si>
  <si>
    <t>(928) 237-6050</t>
  </si>
  <si>
    <t>Chino Valley</t>
  </si>
  <si>
    <t>(928) 636-0846</t>
  </si>
  <si>
    <t>troy@tdkcomfortsystems.com</t>
  </si>
  <si>
    <t>ROC 154061 CR-39 | EBITDA = 12% revenue proxy</t>
  </si>
  <si>
    <t>C005</t>
  </si>
  <si>
    <t>Hamstra Heating &amp; Cooling</t>
  </si>
  <si>
    <t>Wade Hamstra</t>
  </si>
  <si>
    <t>(520) 250-1796</t>
  </si>
  <si>
    <t>Tucson</t>
  </si>
  <si>
    <t>(520) 629-9833</t>
  </si>
  <si>
    <t>whamstra@hamstraac.com</t>
  </si>
  <si>
    <t>Contact title 'Owner, Vice President' - verify decision maker | Owner found via Apollo | ROC 59073 R-39R | EBITDA = 12% revenue proxy</t>
  </si>
  <si>
    <t>C006</t>
  </si>
  <si>
    <t>Wolfgangs Cooling, Heating &amp; Plumbing</t>
  </si>
  <si>
    <t>Tom Doll</t>
  </si>
  <si>
    <t>(480) 529-9926</t>
  </si>
  <si>
    <t>Tempe</t>
  </si>
  <si>
    <t>(928) 228-5968</t>
  </si>
  <si>
    <t>Contact title 'President' - verify decision maker | Other locations: Prescott Valley | Owner found via Apollo | EBITDA = 12% revenue proxy</t>
  </si>
  <si>
    <t>C007</t>
  </si>
  <si>
    <t>Chandler Air</t>
  </si>
  <si>
    <t>Ryan Bond</t>
  </si>
  <si>
    <t>(602) 684-0267</t>
  </si>
  <si>
    <t>Chandler</t>
  </si>
  <si>
    <t>(480) 372-5008</t>
  </si>
  <si>
    <t>Contact title 'Owner and Principal' - verify decision maker | ROC 220890 C-39 | EBITDA = 12% revenue proxy | Size est. midpoint - ZoomInfo: 11-50 employees</t>
  </si>
  <si>
    <t>C008</t>
  </si>
  <si>
    <t>Mason Pro Services</t>
  </si>
  <si>
    <t>Paden James Mason</t>
  </si>
  <si>
    <t>(480) 797-4839</t>
  </si>
  <si>
    <t>(480) 835-9928</t>
  </si>
  <si>
    <t>paden@masonproservices.com</t>
  </si>
  <si>
    <t>Contact title 'Service Administrator' - verify decision maker | ROC 331897 CR-37 | EBITDA = 12% revenue proxy</t>
  </si>
  <si>
    <t>C009</t>
  </si>
  <si>
    <t>Superstition Plumbing</t>
  </si>
  <si>
    <t>Roy Glenn Jorgenson</t>
  </si>
  <si>
    <t>(801) 678-2030</t>
  </si>
  <si>
    <t>Mesa</t>
  </si>
  <si>
    <t>(480) 833-3112</t>
  </si>
  <si>
    <t>roy@superstitionplumbing.com</t>
  </si>
  <si>
    <t>roc-apify</t>
  </si>
  <si>
    <t>ROC 361375 | EBITDA = 12% revenue proxy</t>
  </si>
  <si>
    <t>C010</t>
  </si>
  <si>
    <t>Plumbing Masters</t>
  </si>
  <si>
    <t>Brian Joe McQuistion</t>
  </si>
  <si>
    <t>(602) 377-6931</t>
  </si>
  <si>
    <t>Peoria</t>
  </si>
  <si>
    <t>(602) 637-0315</t>
  </si>
  <si>
    <t>plumbingmasters9299bm@myplumberaz.com</t>
  </si>
  <si>
    <t>Other locations: Mesa | ROC 255233 | EBITDA = 12% revenue proxy</t>
  </si>
  <si>
    <t>C011</t>
  </si>
  <si>
    <t>Hendel's Air Conditioning Inc.</t>
  </si>
  <si>
    <t>Robert Jason Hendel</t>
  </si>
  <si>
    <t>(631) 804-7361</t>
  </si>
  <si>
    <t>(480) 813-1700</t>
  </si>
  <si>
    <t>Co-owners: Julia Hendel | Contact title 'General Manager' - verify decision maker | ROC 50612 R-39R | EBITDA = 12% revenue proxy</t>
  </si>
  <si>
    <t>C012</t>
  </si>
  <si>
    <t>Rim Country Mechanical Inc</t>
  </si>
  <si>
    <t>Corey Lunt</t>
  </si>
  <si>
    <t>(928) 242-1660</t>
  </si>
  <si>
    <t>Show Low</t>
  </si>
  <si>
    <t>(928) 537-1803</t>
  </si>
  <si>
    <t>coreylunt@rimcountrymechanical.com</t>
  </si>
  <si>
    <t>ROC 285833 CR-79 | EBITDA = 12% revenue proxy</t>
  </si>
  <si>
    <t>C013</t>
  </si>
  <si>
    <t>Sav-On Plumbing</t>
  </si>
  <si>
    <t>Paul Johnson</t>
  </si>
  <si>
    <t>(619) 823-7851</t>
  </si>
  <si>
    <t>Glendale</t>
  </si>
  <si>
    <t>(623) 487-9500</t>
  </si>
  <si>
    <t>paul@sav-onplumbing.com</t>
  </si>
  <si>
    <t>C014</t>
  </si>
  <si>
    <t>ACE Home Services (formerly Yavapai Plumbing &amp; Heating)</t>
  </si>
  <si>
    <t>Jay Hazlewood</t>
  </si>
  <si>
    <t>(480) 717-9339</t>
  </si>
  <si>
    <t>Prescott</t>
  </si>
  <si>
    <t>(928) 683-7898</t>
  </si>
  <si>
    <t>Contact title 'Owner' - verify decision maker | Owner found via Apollo | EBITDA = 12% revenue proxy</t>
  </si>
  <si>
    <t>C015</t>
  </si>
  <si>
    <t>ACE Home Services (formerly AZ Best Plumbing)</t>
  </si>
  <si>
    <t>Sedona</t>
  </si>
  <si>
    <t>(928) 224-1764</t>
  </si>
  <si>
    <t>C016</t>
  </si>
  <si>
    <t>Benefit Air Conditioning</t>
  </si>
  <si>
    <t>Michael Sean Elia</t>
  </si>
  <si>
    <t>(602) 293-6293</t>
  </si>
  <si>
    <t>(602) 840-9229</t>
  </si>
  <si>
    <t>mike@benefitair.com</t>
  </si>
  <si>
    <t>ROC 173187 | EBITDA = 12% revenue proxy</t>
  </si>
  <si>
    <t>C017</t>
  </si>
  <si>
    <t>Intermountain Plumbing &amp; Mechanical</t>
  </si>
  <si>
    <t>David Allen Pulley</t>
  </si>
  <si>
    <t>(928) 220-1361</t>
  </si>
  <si>
    <t>Flagstaff</t>
  </si>
  <si>
    <t>(928) 526-7006</t>
  </si>
  <si>
    <t>dave@intermountainaz.com</t>
  </si>
  <si>
    <t>Contact title 'General Manager' - verify decision maker | ROC 91860 R-37R | EBITDA = 12% revenue proxy</t>
  </si>
  <si>
    <t>C018</t>
  </si>
  <si>
    <t>Comfort Pro Heating &amp; Cooling, Inc.</t>
  </si>
  <si>
    <t>Robert Uwe Kunzmann</t>
  </si>
  <si>
    <t>(928) 927-9000</t>
  </si>
  <si>
    <t>(928) 899-4250</t>
  </si>
  <si>
    <t>robkunzmann@prorvandair.com</t>
  </si>
  <si>
    <t>ROC 241514 R-39R | EBITDA = 12% revenue proxy</t>
  </si>
  <si>
    <t>C019</t>
  </si>
  <si>
    <t>Efficiency Heating &amp; Cooling LLC</t>
  </si>
  <si>
    <t>Drew Nicholas</t>
  </si>
  <si>
    <t>(602) 919-4054</t>
  </si>
  <si>
    <t>Gilbert</t>
  </si>
  <si>
    <t>(480) 331-8904</t>
  </si>
  <si>
    <t>drew@effmech.com</t>
  </si>
  <si>
    <t>Contact title 'Project Manager' - verify decision maker | ROC 319039 CR-39 | EBITDA = 12% revenue proxy</t>
  </si>
  <si>
    <t>C020</t>
  </si>
  <si>
    <t>Cool Blew Inc.</t>
  </si>
  <si>
    <t>Robert Leon Proctor</t>
  </si>
  <si>
    <t>(602) 292-3707</t>
  </si>
  <si>
    <t>(623) 872-2900</t>
  </si>
  <si>
    <t>Other locations: Surprise | ROC 176357 CR-39 | EBITDA = 12% revenue proxy</t>
  </si>
  <si>
    <t>C021</t>
  </si>
  <si>
    <t>EZ Flow Plumbing, LLC</t>
  </si>
  <si>
    <t>Scott William Reisack</t>
  </si>
  <si>
    <t>(480) 340-0752</t>
  </si>
  <si>
    <t>(602) 613-4525</t>
  </si>
  <si>
    <t>scott@ezflowplumbingaz.com</t>
  </si>
  <si>
    <t>Other locations: Tempe | ROC 242432 CR-37 | EBITDA = 12% revenue proxy</t>
  </si>
  <si>
    <t>C022</t>
  </si>
  <si>
    <t>SMW Refrigeration and Heating, LLC</t>
  </si>
  <si>
    <t>Scott Michael Wetter</t>
  </si>
  <si>
    <t>(480) 462-6650</t>
  </si>
  <si>
    <t>(855) 875-2665</t>
  </si>
  <si>
    <t>scott@smwrefrigeration.com</t>
  </si>
  <si>
    <t>ROC 172364 R-39R | EBITDA = 12% revenue proxy</t>
  </si>
  <si>
    <t>C023</t>
  </si>
  <si>
    <t>Curtis Plumbing</t>
  </si>
  <si>
    <t>Jonathan Curtis</t>
  </si>
  <si>
    <t>(813) 951-3459</t>
  </si>
  <si>
    <t>(520) 323-7697</t>
  </si>
  <si>
    <t>Owner found via Apollo | ROC 61230 R-37R | EBITDA = 12% revenue proxy</t>
  </si>
  <si>
    <t>C024</t>
  </si>
  <si>
    <t>Reddi Services</t>
  </si>
  <si>
    <t>Danny Ray Gravatt</t>
  </si>
  <si>
    <t>(913) 731-0237</t>
  </si>
  <si>
    <t>(602) 789-3910</t>
  </si>
  <si>
    <t>danny@reddiservices.com</t>
  </si>
  <si>
    <t>Contact title 'Division Manager Plumbing, Excavation and Liquid Waste Hauling' - verify decision maker | ROC 202706 CR-37 | EBITDA = 12% revenue proxy</t>
  </si>
  <si>
    <t>C025</t>
  </si>
  <si>
    <t>Temperature Control, Inc. A/C-Heating &amp; Plumbing - Tucson, AZ</t>
  </si>
  <si>
    <t>Vance Macleod</t>
  </si>
  <si>
    <t>(520) 314-2110</t>
  </si>
  <si>
    <t>(520) 775-3566</t>
  </si>
  <si>
    <t>C026</t>
  </si>
  <si>
    <t>Temperature Control, Inc. A/C-Heating &amp; Plumbing - Oro Valley, AZ</t>
  </si>
  <si>
    <t>(520) 201-5414</t>
  </si>
  <si>
    <t>C027</t>
  </si>
  <si>
    <t>Anthony James Air Conditioning &amp; Heating</t>
  </si>
  <si>
    <t>Anthony James Garcia</t>
  </si>
  <si>
    <t>(623) 670-1974</t>
  </si>
  <si>
    <t>(623) 556-3852</t>
  </si>
  <si>
    <t>Contact title 'Co Owner' - verify decision maker | ROC 240848 R-39 | EBITDA = 12% revenue proxy</t>
  </si>
  <si>
    <t>C028</t>
  </si>
  <si>
    <t>DeGeorge Plumbing and HVAC</t>
  </si>
  <si>
    <t>Timothy L Chatburn</t>
  </si>
  <si>
    <t>+1 312-975-8109</t>
  </si>
  <si>
    <t>(602) 830-3977</t>
  </si>
  <si>
    <t>Cell pulled from Apollo contacts | ROC 342832 CR-77 | EBITDA = 12% revenue proxy</t>
  </si>
  <si>
    <t>C029</t>
  </si>
  <si>
    <t>Hobaica Services</t>
  </si>
  <si>
    <t>Louis Gerard Hobaica</t>
  </si>
  <si>
    <t>(602) 721-1389</t>
  </si>
  <si>
    <t>(602) 675-8338</t>
  </si>
  <si>
    <t>lhobaica@hobaica.com</t>
  </si>
  <si>
    <t>Co-owners: Brian Lee Sorensen | ROC 334988 CR-77 | EBITDA = 12% revenue proxy</t>
  </si>
  <si>
    <t>C030</t>
  </si>
  <si>
    <t>Advantage Home Performance Inc.</t>
  </si>
  <si>
    <t>Michael William Uniacke</t>
  </si>
  <si>
    <t>(520) 717-2879</t>
  </si>
  <si>
    <t>(928) 445-3828</t>
  </si>
  <si>
    <t>Other locations: Glendale | ROC 274862 R-39R | EBITDA = 12% revenue proxy</t>
  </si>
  <si>
    <t>C031</t>
  </si>
  <si>
    <t>Semper Fi Heating and Cooling</t>
  </si>
  <si>
    <t>Jesse Keenan</t>
  </si>
  <si>
    <t>(504) 682-8800</t>
  </si>
  <si>
    <t>(480) 741-1440</t>
  </si>
  <si>
    <t>jesse@semperfiheatingcooling.com</t>
  </si>
  <si>
    <t>Co-owners: Steve Best | Other locations: Peoria | ROC 309388 R-39R | EBITDA = 12% revenue proxy</t>
  </si>
  <si>
    <t>C032</t>
  </si>
  <si>
    <t>Done Rite Services - HVAC, Plumbing, &amp; Electrical</t>
  </si>
  <si>
    <t>Christopher Deraffele</t>
  </si>
  <si>
    <t>(480) 246-7298</t>
  </si>
  <si>
    <t>(520) 369-3966</t>
  </si>
  <si>
    <t>C033</t>
  </si>
  <si>
    <t>Hansberger Refrigeration and Electric Company</t>
  </si>
  <si>
    <t>Mark Allen Hansberger</t>
  </si>
  <si>
    <t>(928) 783-1729</t>
  </si>
  <si>
    <t>(928) 783-3331</t>
  </si>
  <si>
    <t>markh@hreaz.com</t>
  </si>
  <si>
    <t>ROC 161695 CR-39 | EBITDA = 12% revenue proxy</t>
  </si>
  <si>
    <t>C034</t>
  </si>
  <si>
    <t>North Valley Mechanical HVAC &amp; Plumbing</t>
  </si>
  <si>
    <t>Kirk Buscho</t>
  </si>
  <si>
    <t>(602) 448-5255</t>
  </si>
  <si>
    <t>(602) 975-4247</t>
  </si>
  <si>
    <t>ROC 281777 CR-79 | EBITDA = 12% revenue proxy</t>
  </si>
  <si>
    <t>C035</t>
  </si>
  <si>
    <t>Lee's Air, Plumbing, &amp; Heating</t>
  </si>
  <si>
    <t>Thomas Edward Howard</t>
  </si>
  <si>
    <t>(559) 259-1244</t>
  </si>
  <si>
    <t>(602) 649-2180</t>
  </si>
  <si>
    <t>thoward@servicetitan.com</t>
  </si>
  <si>
    <t>Contact title 'VP Customer Experience' - verify decision maker | ROC 358197 CR-37 | EBITDA = 12% revenue proxy</t>
  </si>
  <si>
    <t>C036</t>
  </si>
  <si>
    <t>Ambient Edge Heating, Air Conditioning &amp; Refrigeration Inc.</t>
  </si>
  <si>
    <t>Steven Lewis</t>
  </si>
  <si>
    <t>(928) 279-1017</t>
  </si>
  <si>
    <t>(928) 615-8224</t>
  </si>
  <si>
    <t>slewis@ambientedge.com</t>
  </si>
  <si>
    <t>C037</t>
  </si>
  <si>
    <t>Ambient Edge Cooling, Heating &amp; Plumbing</t>
  </si>
  <si>
    <t>Steven Ray Lewis</t>
  </si>
  <si>
    <t>Lake Havasu City</t>
  </si>
  <si>
    <t>(928) 569-9545</t>
  </si>
  <si>
    <t>ROC 333029 CR-39 | EBITDA = 12% revenue proxy</t>
  </si>
  <si>
    <t>C038</t>
  </si>
  <si>
    <t>Intelligent Design Air Conditioning, Plumbing, Solar, &amp; Electric</t>
  </si>
  <si>
    <t>Andrew Dobbins</t>
  </si>
  <si>
    <t>(520) 780-7233</t>
  </si>
  <si>
    <t>(520) 333-2665</t>
  </si>
  <si>
    <t>andrew@idesignac.com</t>
  </si>
  <si>
    <t>C039</t>
  </si>
  <si>
    <t>Collins Commercial Services</t>
  </si>
  <si>
    <t>Chad Christian Collins</t>
  </si>
  <si>
    <t>(480) 926-1975</t>
  </si>
  <si>
    <t>Scottsdale</t>
  </si>
  <si>
    <t>(844) 493-2974</t>
  </si>
  <si>
    <t>chad@collins-cs.com</t>
  </si>
  <si>
    <t>ROC 206292 CR-37 | EBITDA = 12% revenue proxy</t>
  </si>
  <si>
    <t>C040</t>
  </si>
  <si>
    <t>Smith Plumbing, Heating and Cooling</t>
  </si>
  <si>
    <t>QP Exempt</t>
  </si>
  <si>
    <t>(434) 987-0184</t>
  </si>
  <si>
    <t>(480) 827-9111</t>
  </si>
  <si>
    <t>ROC 263352 | EBITDA = 12% revenue proxy</t>
  </si>
  <si>
    <t>C041</t>
  </si>
  <si>
    <t>Cool Breeze Comfort Solutions</t>
  </si>
  <si>
    <t>Courtney Christine Allison</t>
  </si>
  <si>
    <t>(520) 907-1025</t>
  </si>
  <si>
    <t>(520) 495-2227</t>
  </si>
  <si>
    <t>courtneya@coolbreezecs.com</t>
  </si>
  <si>
    <t>Other locations: Pinetop | ROC 289247 CR-39 | EBITDA = 12% revenue proxy | Size est. midpoint - ZoomInfo: 11-50 employees</t>
  </si>
  <si>
    <t>C042</t>
  </si>
  <si>
    <t>Comfort Experts</t>
  </si>
  <si>
    <t>Joseph Matthew Gonzales</t>
  </si>
  <si>
    <t>+1 480-628-0965</t>
  </si>
  <si>
    <t>(480) 351-5672</t>
  </si>
  <si>
    <t>Cell pulled from Apollo contacts | ROC 309536 | EBITDA = 12% revenue proxy</t>
  </si>
  <si>
    <t>C043</t>
  </si>
  <si>
    <t>Brewer’s Air Conditioning &amp; Heating</t>
  </si>
  <si>
    <t>Mark Ybarra</t>
  </si>
  <si>
    <t>(480) 201-6004</t>
  </si>
  <si>
    <t>(480) 725-5454</t>
  </si>
  <si>
    <t>mybarra@brewersac.com</t>
  </si>
  <si>
    <t>Contact title 'Sales Consultant' - verify decision maker | ROC 312643 CR-39 | EBITDA = 12% revenue proxy</t>
  </si>
  <si>
    <t>C044</t>
  </si>
  <si>
    <t>Deer Valley Plumbing &amp; Air Conditioning - Phoenix</t>
  </si>
  <si>
    <t>Aubrey Dell</t>
  </si>
  <si>
    <t>(602) 570-5855</t>
  </si>
  <si>
    <t>(623) 343-3077</t>
  </si>
  <si>
    <t>aubreyd@deervalleyplumbing.com</t>
  </si>
  <si>
    <t>C045</t>
  </si>
  <si>
    <t>City Wide Plumbing &amp; Service Co.</t>
  </si>
  <si>
    <t>Larry Charles Quinn</t>
  </si>
  <si>
    <t>(704) 807-6522</t>
  </si>
  <si>
    <t>(480) 966-8795</t>
  </si>
  <si>
    <t>ROC 335199 CR-37 | EBITDA = 12% revenue proxy</t>
  </si>
  <si>
    <t>C046</t>
  </si>
  <si>
    <t>Rooter Hero Plumbing &amp; Air of Tempe</t>
  </si>
  <si>
    <t>Chris Coatsworth</t>
  </si>
  <si>
    <t>(818) 535-0768</t>
  </si>
  <si>
    <t>(480) 646-3888</t>
  </si>
  <si>
    <t>chris@aaaparadiseplumbing.com</t>
  </si>
  <si>
    <t>C047</t>
  </si>
  <si>
    <t>Before &amp; After Plumbing and Drain, LLC</t>
  </si>
  <si>
    <t>Ryan Demilto</t>
  </si>
  <si>
    <t>(623) 203-3613</t>
  </si>
  <si>
    <t>Surprise</t>
  </si>
  <si>
    <t>(623) 250-2584</t>
  </si>
  <si>
    <t>ROC 271749 CR-37 | EBITDA = 12% revenue proxy</t>
  </si>
  <si>
    <t>C048</t>
  </si>
  <si>
    <t>Four Seasons Home Services - Cave Creek, AZ</t>
  </si>
  <si>
    <t>Jessica Morriston</t>
  </si>
  <si>
    <t>(480) 980-2713</t>
  </si>
  <si>
    <t>Cave Creek</t>
  </si>
  <si>
    <t>(480) 489-3210</t>
  </si>
  <si>
    <t>jessica@fourseasonshs.com</t>
  </si>
  <si>
    <t>C049</t>
  </si>
  <si>
    <t>Reeis Air Conditioning, Plumbing &amp; Electrical</t>
  </si>
  <si>
    <t>David Robinson</t>
  </si>
  <si>
    <t>(480) 969-7504</t>
  </si>
  <si>
    <t>(480) 581-5683</t>
  </si>
  <si>
    <t>drobinson@reeis.com</t>
  </si>
  <si>
    <t>Contact title 'VP Outside Operations' - verify decision maker | Owner found via Apollo | EBITDA = 12% revenue proxy</t>
  </si>
  <si>
    <t>C050</t>
  </si>
  <si>
    <t>Day &amp; Night Air Conditioning, Heating, &amp; Plumbing</t>
  </si>
  <si>
    <t>+1 602-739-1191</t>
  </si>
  <si>
    <t>(602) 584-7758</t>
  </si>
  <si>
    <t>Cell pulled from Apollo contacts | ROC 335883 CR-39 | EBITDA = 12% revenue proxy</t>
  </si>
  <si>
    <t>C051</t>
  </si>
  <si>
    <t>Precision Air &amp; Plumbing</t>
  </si>
  <si>
    <t>Erik Jason Bryan</t>
  </si>
  <si>
    <t>+1 480-522-8439</t>
  </si>
  <si>
    <t>(602) 490-8566</t>
  </si>
  <si>
    <t>Cell pulled from Apollo contacts | ROC 126405 R-39R | EBITDA = 12% revenue proxy</t>
  </si>
  <si>
    <t>C052</t>
  </si>
  <si>
    <t>McCall's Air Conditioning &amp; Heating</t>
  </si>
  <si>
    <t>Alex McCall</t>
  </si>
  <si>
    <t>(480) 620-4003</t>
  </si>
  <si>
    <t>(480) 396-0041</t>
  </si>
  <si>
    <t>site-scrape</t>
  </si>
  <si>
    <t>Contact title 'Service Manager' - verify decision maker | EBITDA = 12% revenue proxy</t>
  </si>
  <si>
    <t>C053</t>
  </si>
  <si>
    <t>Autumn Air Heating &amp; Cooling</t>
  </si>
  <si>
    <t>Joshua David Nepa</t>
  </si>
  <si>
    <t>(623) 205-7308</t>
  </si>
  <si>
    <t>Avondale</t>
  </si>
  <si>
    <t>(602) 266-5247</t>
  </si>
  <si>
    <t>joshua@callautumn.com</t>
  </si>
  <si>
    <t>ROC 187538 R-39R | EBITDA = 12% revenue proxy</t>
  </si>
  <si>
    <t>C054</t>
  </si>
  <si>
    <t>Cure All Plumbing</t>
  </si>
  <si>
    <t>Jayson Harrison</t>
  </si>
  <si>
    <t>(480) 262-2994</t>
  </si>
  <si>
    <t>(480) 895-5858</t>
  </si>
  <si>
    <t>jayson@cureallplumbing.com</t>
  </si>
  <si>
    <t>ROC 204797 CR-37 | EBITDA = 12% revenue proxy</t>
  </si>
  <si>
    <t>C055</t>
  </si>
  <si>
    <t>PlumbSmart Plumbing Heating and Air</t>
  </si>
  <si>
    <t>Wayne Decker</t>
  </si>
  <si>
    <t>(480) 326-1186</t>
  </si>
  <si>
    <t>(480) 654-8865</t>
  </si>
  <si>
    <t>Owner found via Apollo | ROC 223709 CR-37 | EBITDA = 12% revenue proxy</t>
  </si>
  <si>
    <t>C056</t>
  </si>
  <si>
    <t>Red Mountain Air Conditioning</t>
  </si>
  <si>
    <t>Terry Diedrick</t>
  </si>
  <si>
    <t>(602) 390-4877</t>
  </si>
  <si>
    <t>(480) 878-7098</t>
  </si>
  <si>
    <t>Contact title 'Owner/manager' - verify decision maker | ROC 281437 | EBITDA = 12% revenue proxy</t>
  </si>
  <si>
    <t>C057</t>
  </si>
  <si>
    <t>Arizona's Dukes of Air &amp; Plumbing</t>
  </si>
  <si>
    <t>Kevin Shay Styles</t>
  </si>
  <si>
    <t>(520) 238-1459</t>
  </si>
  <si>
    <t>(480) 773-6565</t>
  </si>
  <si>
    <t>VERIFY: Apollo matched a different/parent org | Co-owners: Michael D Read | Contact title 'Instructor' - verify decision maker | ROC 289250 CR-39 | Size est. midpoint - ZoomInfo: 11-50 employees (Service Experts-owned brand)</t>
  </si>
  <si>
    <t>C058</t>
  </si>
  <si>
    <t>Cal's Plumbing Inc.</t>
  </si>
  <si>
    <t>Danny Smith</t>
  </si>
  <si>
    <t>(760) 634-2252</t>
  </si>
  <si>
    <t>(520) 729-2945</t>
  </si>
  <si>
    <t>danny@calsplumbing.com</t>
  </si>
  <si>
    <t>Contact title 'Company Owner' - verify decision maker | Owner found via Apollo | ROC 146649 R-39R</t>
  </si>
  <si>
    <t>C059</t>
  </si>
  <si>
    <t>APES HVAC &amp; Plumbing</t>
  </si>
  <si>
    <t>Brian Garrison</t>
  </si>
  <si>
    <t>(480) 695-6690</t>
  </si>
  <si>
    <t>(623) 521-1172</t>
  </si>
  <si>
    <t>brian@go4apes.com</t>
  </si>
  <si>
    <t>VERIFY: Apollo matched a different/parent org | ROC 305585 CR-37 | Size est. midpoint - ZoomInfo (Arizona Plumbing Expert Services): 11-50 employees</t>
  </si>
  <si>
    <t>C060</t>
  </si>
  <si>
    <t>Canyon State Service Experts</t>
  </si>
  <si>
    <t>Larry Sather</t>
  </si>
  <si>
    <t>(604) 360-6567</t>
  </si>
  <si>
    <t>(602) 844-4104</t>
  </si>
  <si>
    <t>VERIFY: size data looks like parent/franchise org | Contact title 'Owner' - verify decision maker | Owner found via Apollo | Size est. midpoint - ZoomInfo (Canyon State AC, Heating &amp; Plumbing): 11-50 employees</t>
  </si>
  <si>
    <t>C061</t>
  </si>
  <si>
    <t>AC by J</t>
  </si>
  <si>
    <t>Bryce Allan Johnson</t>
  </si>
  <si>
    <t>(602) 292-0542</t>
  </si>
  <si>
    <t>(602) 607-0943</t>
  </si>
  <si>
    <t>Co-owners: David R Harvey; Jonathan Jack Harvey | ROC 77064 C-39</t>
  </si>
  <si>
    <t>C062</t>
  </si>
  <si>
    <t>Gold Star Plumbing &amp; Drain</t>
  </si>
  <si>
    <t>Michael Smith</t>
  </si>
  <si>
    <t>(480) 252-9020</t>
  </si>
  <si>
    <t>(480) 405-0922</t>
  </si>
  <si>
    <t>mike@goldstarhomeservicesaz.com</t>
  </si>
  <si>
    <t>Other locations: Flagstaff; Prescott Valley; Tempe | Owner found via Apollo | ROC 327327 CR-37</t>
  </si>
  <si>
    <t>C063</t>
  </si>
  <si>
    <t>Pride Heating, Cooling, Plumbing and Electrical</t>
  </si>
  <si>
    <t>Benjamin Brian LaVergne</t>
  </si>
  <si>
    <t>(509) 860-1751</t>
  </si>
  <si>
    <t>(520) 297-3520</t>
  </si>
  <si>
    <t>Co-owners: Timothy Edward Cannon Jr | Other locations: Tucson | ROC 356279 CR-37 | Size est. midpoint - ZoomInfo (Pride Mechanical LLC): 11-50 employees</t>
  </si>
  <si>
    <t>C064</t>
  </si>
  <si>
    <t>Larson Air Conditioning</t>
  </si>
  <si>
    <t>Jared Allan Larson</t>
  </si>
  <si>
    <t>+1 602-361-9093</t>
  </si>
  <si>
    <t>(480) 470-1280</t>
  </si>
  <si>
    <t>jlarson@larsonairaz.com</t>
  </si>
  <si>
    <t>Co-owners: Tyrone Rush Lindsay | Cell pulled from Apollo contacts | ROC 280247 CR-39</t>
  </si>
  <si>
    <t>C065</t>
  </si>
  <si>
    <t>Same Day Air Repair</t>
  </si>
  <si>
    <t>Jonathan R Temper</t>
  </si>
  <si>
    <t>(480) 305-3302</t>
  </si>
  <si>
    <t>(602) 571-1728</t>
  </si>
  <si>
    <t>jon@sdaraz.com</t>
  </si>
  <si>
    <t>ROC 276722 CR-39 | Size est. midpoint - ZoomInfo: 1-10 employees (Chandler AZ entity)</t>
  </si>
  <si>
    <t>C066</t>
  </si>
  <si>
    <t>My Maricopa Plumber</t>
  </si>
  <si>
    <t>Toma Florenz Fitzgerald</t>
  </si>
  <si>
    <t>(480) 235-9073</t>
  </si>
  <si>
    <t>Maricopa</t>
  </si>
  <si>
    <t>(520) 509-7948</t>
  </si>
  <si>
    <t>Contact title 'Management Team Member' - verify decision maker | ROC 259533 R-37R | Size est. midpoint - ZoomInfo: 1-10 employees</t>
  </si>
  <si>
    <t>C067</t>
  </si>
  <si>
    <t>Lawson Family Plumbing Inc.</t>
  </si>
  <si>
    <t>Jason Matthew Pfeiffer</t>
  </si>
  <si>
    <t>(602) 339-8347</t>
  </si>
  <si>
    <t>(602) 413-5790</t>
  </si>
  <si>
    <t>Contact title 'Plumber' - verify decision maker | ROC 272014 R-37R</t>
  </si>
  <si>
    <t>C068</t>
  </si>
  <si>
    <t>Trident Plumbing &amp; Drain</t>
  </si>
  <si>
    <t>Jared Wayne Colegrove</t>
  </si>
  <si>
    <t>(623) 687-4772</t>
  </si>
  <si>
    <t>(623) 879-2020</t>
  </si>
  <si>
    <t>jared@tridentplumbingllc.com</t>
  </si>
  <si>
    <t>Other locations: Phoenix | ROC 331536 CR-37</t>
  </si>
  <si>
    <t>C069</t>
  </si>
  <si>
    <t>Ideal Air Conditioning and Insulation</t>
  </si>
  <si>
    <t>Alex M Williams</t>
  </si>
  <si>
    <t>(480) 284-9540</t>
  </si>
  <si>
    <t>(480) 573-7604</t>
  </si>
  <si>
    <t>alex@idealairaz.com</t>
  </si>
  <si>
    <t>ROC 276318</t>
  </si>
  <si>
    <t>C070</t>
  </si>
  <si>
    <t>Hansen Family Plumbing &amp; Air</t>
  </si>
  <si>
    <t>Erik Richard Hansen</t>
  </si>
  <si>
    <t>(480) 636-9112</t>
  </si>
  <si>
    <t>(602) 805-4836</t>
  </si>
  <si>
    <t>erik@hansenfamilyplumbing.com</t>
  </si>
  <si>
    <t>ROC 287491 CR-37</t>
  </si>
  <si>
    <t>C071</t>
  </si>
  <si>
    <t>Zest Plumbing &amp; Drain</t>
  </si>
  <si>
    <t>Ronald A Degner</t>
  </si>
  <si>
    <t>(480) 522-8384</t>
  </si>
  <si>
    <t>(480) 718-7075</t>
  </si>
  <si>
    <t>ROC 310821 CR-37</t>
  </si>
  <si>
    <t>C072</t>
  </si>
  <si>
    <t>The Aussie Plumber</t>
  </si>
  <si>
    <t>James Lee Hill</t>
  </si>
  <si>
    <t>(516) 246-1647</t>
  </si>
  <si>
    <t>(602) 820-5551</t>
  </si>
  <si>
    <t>james@theaussieplumber.com</t>
  </si>
  <si>
    <t>ROC 335675</t>
  </si>
  <si>
    <t>C073</t>
  </si>
  <si>
    <t>Angel Air Cooling &amp; Heating, LLC</t>
  </si>
  <si>
    <t>Jacob Adam Angel</t>
  </si>
  <si>
    <t>(480) 282-0688</t>
  </si>
  <si>
    <t>Queen Creek</t>
  </si>
  <si>
    <t>(480) 298-0353</t>
  </si>
  <si>
    <t>jake@angelaircooling.com</t>
  </si>
  <si>
    <t>VERIFY: Apollo matched a different/parent org | ROC 227821 CR-39 | Size est. midpoint - ZoomInfo: 1-10 employees</t>
  </si>
  <si>
    <t>C074</t>
  </si>
  <si>
    <t>Everest Air LLC</t>
  </si>
  <si>
    <t>Mark Robert Brimley</t>
  </si>
  <si>
    <t>(480) 688-9331</t>
  </si>
  <si>
    <t>(480) 828-2705</t>
  </si>
  <si>
    <t>mark@everestairaz.com</t>
  </si>
  <si>
    <t>Contact title 'Owner/ Service Tech' - verify decision maker | ROC 332061</t>
  </si>
  <si>
    <t>C075</t>
  </si>
  <si>
    <t>One Hour Heating &amp; Air Conditioning® of Yuma</t>
  </si>
  <si>
    <t>ESTEBAN ESCOBAR</t>
  </si>
  <si>
    <t>+1 520-249-7437</t>
  </si>
  <si>
    <t>(928) 218-3797</t>
  </si>
  <si>
    <t>VERIFY: size data looks like parent/franchise org | Co-owners: Matt Aycock | Cell pulled from Apollo contacts | ROC 277800 CR-39</t>
  </si>
  <si>
    <t>C076</t>
  </si>
  <si>
    <t>Fusion Plumbing &amp; Air</t>
  </si>
  <si>
    <t>sean Michael Stewart</t>
  </si>
  <si>
    <t>(520) 850-5445</t>
  </si>
  <si>
    <t>(520) 328-8957</t>
  </si>
  <si>
    <t>seanstewart@fusionplumbingaz.com</t>
  </si>
  <si>
    <t>ROC 331612 CR-39</t>
  </si>
  <si>
    <t>C077</t>
  </si>
  <si>
    <t>Fast Layne Plumbing LLC</t>
  </si>
  <si>
    <t>David Scott Layne</t>
  </si>
  <si>
    <t>(760) 844-2417</t>
  </si>
  <si>
    <t>San Tan Valley</t>
  </si>
  <si>
    <t>(480) 576-6307</t>
  </si>
  <si>
    <t>Co-owners: Alexander Gerard Fletcher | ROC 342362 R-37R</t>
  </si>
  <si>
    <t>C078</t>
  </si>
  <si>
    <t>JMAC Heating &amp; Cooling</t>
  </si>
  <si>
    <t>John Sidney McDowell</t>
  </si>
  <si>
    <t>(602) 315-5492</t>
  </si>
  <si>
    <t>(602) 279-2665</t>
  </si>
  <si>
    <t>john@crycool.com</t>
  </si>
  <si>
    <t>ROC 192343 CR-39</t>
  </si>
  <si>
    <t>C079</t>
  </si>
  <si>
    <t>AZ Perfect Comfort Heating &amp; Cooling</t>
  </si>
  <si>
    <t>Robin McCombs</t>
  </si>
  <si>
    <t>(623) 256-2131</t>
  </si>
  <si>
    <t>(602) 551-6223</t>
  </si>
  <si>
    <t>robin@azperfectcomfort.com</t>
  </si>
  <si>
    <t>Contact title 'Managing Partner' - verify decision maker | ROC 300933 CR-39</t>
  </si>
  <si>
    <t>C080</t>
  </si>
  <si>
    <t>Allied Electric, Heating &amp; AC Repair</t>
  </si>
  <si>
    <t>Mario Traina</t>
  </si>
  <si>
    <t>(917) 374-3010</t>
  </si>
  <si>
    <t>(928) 232-6477</t>
  </si>
  <si>
    <t>mariotraina@callalliedelectric.com</t>
  </si>
  <si>
    <t>Other locations: Flagstaff; Prescott Valley | Owner found via Apollo</t>
  </si>
  <si>
    <t>C081</t>
  </si>
  <si>
    <t>Phillips Heating &amp; Cooling, Inc.</t>
  </si>
  <si>
    <t>Philip Charles Phillips</t>
  </si>
  <si>
    <t>(928) 366-6931</t>
  </si>
  <si>
    <t>(928) 445-0282</t>
  </si>
  <si>
    <t>philip@phillips-hvac.com</t>
  </si>
  <si>
    <t>Contact title 'President-CEO' - verify decision maker | ROC 273094 CR-39</t>
  </si>
  <si>
    <t>C082</t>
  </si>
  <si>
    <t>Magic Touch Mechanical</t>
  </si>
  <si>
    <t>(480) 226-6400</t>
  </si>
  <si>
    <t>(480) 855-8789</t>
  </si>
  <si>
    <t>ROC 149818 | Size est. midpoint - ZoomInfo: 11-50 employees</t>
  </si>
  <si>
    <t>C083</t>
  </si>
  <si>
    <t>Cave Creek Cooling Company</t>
  </si>
  <si>
    <t>Michael Leo DeGennaro</t>
  </si>
  <si>
    <t>(480) 440-6261</t>
  </si>
  <si>
    <t>Contact title 'Heating, Ventilation, and Air Conditioning Business Owner' - verify decision maker | ROC 319035 CR-39 | Size est. midpoint - ZoomInfo: 1-10 employees</t>
  </si>
  <si>
    <t>C084</t>
  </si>
  <si>
    <t>MechaniCool</t>
  </si>
  <si>
    <t>Robert W Geng</t>
  </si>
  <si>
    <t>(602) 367-6378</t>
  </si>
  <si>
    <t>Apache Junction</t>
  </si>
  <si>
    <t>(480) 248-7897</t>
  </si>
  <si>
    <t>robert@mechanicoolaz.com</t>
  </si>
  <si>
    <t>Contact title 'Office Manager' - verify decision maker | ROC 294740 CR-39</t>
  </si>
  <si>
    <t>C085</t>
  </si>
  <si>
    <t>Diamondback Plumbing</t>
  </si>
  <si>
    <t>Steve Martin Herzog</t>
  </si>
  <si>
    <t>(602) 721-8062</t>
  </si>
  <si>
    <t>(602) 428-0910</t>
  </si>
  <si>
    <t>steve@hqplumbingandair.com</t>
  </si>
  <si>
    <t>Contact title 'Chief CEO' - verify decision maker | ROC 140167</t>
  </si>
  <si>
    <t>C086</t>
  </si>
  <si>
    <t>Mission Heating &amp; Cooling, LLC</t>
  </si>
  <si>
    <t>Chandler Donald Macomber</t>
  </si>
  <si>
    <t>(520) 849-4297</t>
  </si>
  <si>
    <t>(520) 675-4270</t>
  </si>
  <si>
    <t>ROC 278080 CR-39 | Size est. midpoint - ZoomInfo: 1-10 employees</t>
  </si>
  <si>
    <t>C087</t>
  </si>
  <si>
    <t>Island Breeze Air Conditioning &amp; Heating LLC</t>
  </si>
  <si>
    <t>Darrel Simeon Deokielal</t>
  </si>
  <si>
    <t>(602) 616-8442</t>
  </si>
  <si>
    <t>(623) 692-6013</t>
  </si>
  <si>
    <t>darrel@islandbreeze-ac.com</t>
  </si>
  <si>
    <t>ROC 327760 | Size est. midpoint - ZoomInfo: 11-50 employees</t>
  </si>
  <si>
    <t>C088</t>
  </si>
  <si>
    <t>Cool Zone Air Conditioning &amp; Heating</t>
  </si>
  <si>
    <t>David Joseph Flemm</t>
  </si>
  <si>
    <t>(623) 693-3483</t>
  </si>
  <si>
    <t>(623) 250-0012</t>
  </si>
  <si>
    <t>dflemm@coolzoneair.com</t>
  </si>
  <si>
    <t>ROC 224753 CR-39</t>
  </si>
  <si>
    <t>C089</t>
  </si>
  <si>
    <t>All Out Cooling &amp; Heating</t>
  </si>
  <si>
    <t>George A Blitch</t>
  </si>
  <si>
    <t>(480) 298-4919</t>
  </si>
  <si>
    <t>(480) 578-1370</t>
  </si>
  <si>
    <t>Contact title 'Owner &amp; CEO' - verify decision maker | ROC 302365 CR-39</t>
  </si>
  <si>
    <t>C090</t>
  </si>
  <si>
    <t>Hoffman Heating &amp; Cooling LLC</t>
  </si>
  <si>
    <t>Gary Hoffman</t>
  </si>
  <si>
    <t>(610) 816-1513</t>
  </si>
  <si>
    <t>Coolidge</t>
  </si>
  <si>
    <t>(520) 233-7982</t>
  </si>
  <si>
    <t>ROC 196966 R-39R</t>
  </si>
  <si>
    <t>C091</t>
  </si>
  <si>
    <t>Phend Plumbing &amp; Rooter LLC</t>
  </si>
  <si>
    <t>Peter Matthew Phend</t>
  </si>
  <si>
    <t>(480) 612-1074</t>
  </si>
  <si>
    <t>(480) 388-6093</t>
  </si>
  <si>
    <t>ROC 288046</t>
  </si>
  <si>
    <t>C092</t>
  </si>
  <si>
    <t>Sky Blue Heating &amp; Cooling</t>
  </si>
  <si>
    <t>Eagle Numkena</t>
  </si>
  <si>
    <t>(928) 892-9920</t>
  </si>
  <si>
    <t>Lakeside</t>
  </si>
  <si>
    <t>(928) 205-1509</t>
  </si>
  <si>
    <t>eagle@skybluehvac.com</t>
  </si>
  <si>
    <t>Owner found via Apollo</t>
  </si>
  <si>
    <t>C093</t>
  </si>
  <si>
    <t>Team AIR-Zona HVAC Air Conditioning &amp; Heating</t>
  </si>
  <si>
    <t>dustin star mitchell</t>
  </si>
  <si>
    <t>(480) 529-3775</t>
  </si>
  <si>
    <t>(480) 887-4623</t>
  </si>
  <si>
    <t>dustin@teamairzona.com</t>
  </si>
  <si>
    <t>ROC 310743 CR-39</t>
  </si>
  <si>
    <t>C094</t>
  </si>
  <si>
    <t>Code Blue Plumbing</t>
  </si>
  <si>
    <t>John G Gruber</t>
  </si>
  <si>
    <t>(908) 296-6025</t>
  </si>
  <si>
    <t>(520) 297-9949</t>
  </si>
  <si>
    <t>john@codeblueaz.com</t>
  </si>
  <si>
    <t>ROC 319497 CR-37</t>
  </si>
  <si>
    <t>C095</t>
  </si>
  <si>
    <t>Talbot Plumbing Services LLC</t>
  </si>
  <si>
    <t>Trever Jay Talbot</t>
  </si>
  <si>
    <t>(480) 665-0170</t>
  </si>
  <si>
    <t>(480) 241-5375</t>
  </si>
  <si>
    <t>ROC 323870 CR-37</t>
  </si>
  <si>
    <t>C096</t>
  </si>
  <si>
    <t>Savage Air Conditioning</t>
  </si>
  <si>
    <t>David Lee Savage</t>
  </si>
  <si>
    <t>(602) 999-7683</t>
  </si>
  <si>
    <t>(480) 916-4313</t>
  </si>
  <si>
    <t>dsavage@savageac.com</t>
  </si>
  <si>
    <t>ROC 228019 R-39R</t>
  </si>
  <si>
    <t>C097</t>
  </si>
  <si>
    <t>Miracle Man Plumbing Inc.</t>
  </si>
  <si>
    <t>Joseph Harold Diemert</t>
  </si>
  <si>
    <t>(928) 642-2949</t>
  </si>
  <si>
    <t>Prescott Valley</t>
  </si>
  <si>
    <t>(928) 288-0355</t>
  </si>
  <si>
    <t>Contact title 'Plumbing contractor' - verify decision maker | Other locations: Prescott | ROC 206195 R-37R</t>
  </si>
  <si>
    <t>C098</t>
  </si>
  <si>
    <t>Clark Heating and Cooling</t>
  </si>
  <si>
    <t>David Byron Clark</t>
  </si>
  <si>
    <t>(608) 436-7327</t>
  </si>
  <si>
    <t>(602) 793-2477</t>
  </si>
  <si>
    <t>davidclark@clarkheatandcool.com</t>
  </si>
  <si>
    <t>ROC 272689 C-39</t>
  </si>
  <si>
    <t>C099</t>
  </si>
  <si>
    <t>Samson and Sons</t>
  </si>
  <si>
    <t>Mark Gooding</t>
  </si>
  <si>
    <t>(520) 437-3817</t>
  </si>
  <si>
    <t>(520) 437-3014</t>
  </si>
  <si>
    <t>mark@samsonandsonshvac.com</t>
  </si>
  <si>
    <t>ROC 299173 CR-39</t>
  </si>
  <si>
    <t>C100</t>
  </si>
  <si>
    <t>Expert HVAC Services Inc</t>
  </si>
  <si>
    <t>Gabriel Ellis</t>
  </si>
  <si>
    <t>(602) 410-5410</t>
  </si>
  <si>
    <t>(623) 594-2488</t>
  </si>
  <si>
    <t>gabe@experthvacservices.com</t>
  </si>
  <si>
    <t>ROC 194283 R-39R</t>
  </si>
  <si>
    <t>C101</t>
  </si>
  <si>
    <t>Allegiance Water Services</t>
  </si>
  <si>
    <t>Justin Edward Waters</t>
  </si>
  <si>
    <t>(602) 561-4973</t>
  </si>
  <si>
    <t>(480) 530-7933</t>
  </si>
  <si>
    <t>justinw@allegiancewater.com</t>
  </si>
  <si>
    <t>Co-owners: Eloy Anthony Garcia | ROC 271847 R-37R | Size est. midpoint - RocketReach $5.6M revenue, headcount not listed</t>
  </si>
  <si>
    <t>C102</t>
  </si>
  <si>
    <t>The Family Plumber, LLC</t>
  </si>
  <si>
    <t>Robert Chester Crowder</t>
  </si>
  <si>
    <t>(614) 743-7388</t>
  </si>
  <si>
    <t>(623) 738-6171</t>
  </si>
  <si>
    <t>robert@ecoplumbers.com</t>
  </si>
  <si>
    <t>Contact title 'Project Manager' - verify decision maker | ROC 331873 CR-37</t>
  </si>
  <si>
    <t>C103</t>
  </si>
  <si>
    <t>Mark Daniels Air Conditioning &amp; Heating</t>
  </si>
  <si>
    <t>Mark Daniel SCHILLING</t>
  </si>
  <si>
    <t>(602) 920-3416</t>
  </si>
  <si>
    <t>(480) 571-7219</t>
  </si>
  <si>
    <t>ROC 138633 | Size est. midpoint - ZoomInfo 11-50 employees, &lt;$5M revenue</t>
  </si>
  <si>
    <t>C104</t>
  </si>
  <si>
    <t>Thor's AC and Heating, LLC</t>
  </si>
  <si>
    <t>Thor Blaine Millsaps</t>
  </si>
  <si>
    <t>(312) 835-0357</t>
  </si>
  <si>
    <t>(480) 326-8133</t>
  </si>
  <si>
    <t>thor@thorshvac.com</t>
  </si>
  <si>
    <t>ROC 332660 CR-39</t>
  </si>
  <si>
    <t>C105</t>
  </si>
  <si>
    <t>Grand Canyon Home Services</t>
  </si>
  <si>
    <t>Nick Neill</t>
  </si>
  <si>
    <t>(602) 291-5324</t>
  </si>
  <si>
    <t>(623) 444-6988</t>
  </si>
  <si>
    <t>nick@grandcanyonac.com</t>
  </si>
  <si>
    <t>Contact title 'Owner - Service Manager' - verify decision maker | ROC 272752 R-39</t>
  </si>
  <si>
    <t>C106</t>
  </si>
  <si>
    <t>Advanced Air Systems</t>
  </si>
  <si>
    <t>Tyler Talley Myers</t>
  </si>
  <si>
    <t>(928) 651-4696</t>
  </si>
  <si>
    <t>(928) 968-6611</t>
  </si>
  <si>
    <t>tyler@advancedair.com</t>
  </si>
  <si>
    <t>ROC 265200 CR-39</t>
  </si>
  <si>
    <t>C107</t>
  </si>
  <si>
    <t>Flow Tech Plumbing</t>
  </si>
  <si>
    <t>Tyler John Joseph Tharp</t>
  </si>
  <si>
    <t>(601) 618-5137</t>
  </si>
  <si>
    <t>(623) 303-7736</t>
  </si>
  <si>
    <t>Contact title 'Master Plumber' - verify decision maker | ROC 347159 CR-37</t>
  </si>
  <si>
    <t>C108</t>
  </si>
  <si>
    <t>Evolution Plumbing and Misting</t>
  </si>
  <si>
    <t>Ryan Adam Sawyer</t>
  </si>
  <si>
    <t>(480) 418-1614</t>
  </si>
  <si>
    <t>(480) 662-6555</t>
  </si>
  <si>
    <t>ryan@evolutionplumbingaz.com</t>
  </si>
  <si>
    <t>ROC 330753 CR-37</t>
  </si>
  <si>
    <t>C109</t>
  </si>
  <si>
    <t>Compass Air Conditioning &amp; Furnace Repair</t>
  </si>
  <si>
    <t>Matthew Mendoza</t>
  </si>
  <si>
    <t>(480) 910-5670</t>
  </si>
  <si>
    <t>(480) 696-5221</t>
  </si>
  <si>
    <t>matt@azcompassair.com</t>
  </si>
  <si>
    <t>C110</t>
  </si>
  <si>
    <t>State 48 Home Services</t>
  </si>
  <si>
    <t>Peter Bartos</t>
  </si>
  <si>
    <t>(602) 892-1408</t>
  </si>
  <si>
    <t>(623) 236-5086</t>
  </si>
  <si>
    <t>peter@greatstate48.com</t>
  </si>
  <si>
    <t>C111</t>
  </si>
  <si>
    <t>Schiller Heating &amp; Cooling, Inc.</t>
  </si>
  <si>
    <t>Robert Scott Baney</t>
  </si>
  <si>
    <t>(480) 797-8781</t>
  </si>
  <si>
    <t>(480) 961-4920</t>
  </si>
  <si>
    <t>robert@schillerair.com</t>
  </si>
  <si>
    <t>Contact title 'Owner operator' - verify decision maker | ROC 124380 R-39R</t>
  </si>
  <si>
    <t>C112</t>
  </si>
  <si>
    <t>Modern Degree Services llc</t>
  </si>
  <si>
    <t>Jake Ryan Plemons</t>
  </si>
  <si>
    <t>+1 602-516-6745</t>
  </si>
  <si>
    <t>Buckeye</t>
  </si>
  <si>
    <t>(480) 719-2917</t>
  </si>
  <si>
    <t>jake@moderndegreeservices.com</t>
  </si>
  <si>
    <t>Cell pulled from Apollo contacts | ROC 336452 CR-39</t>
  </si>
  <si>
    <t>C113</t>
  </si>
  <si>
    <t>Mid-State Refrigeration Inc.</t>
  </si>
  <si>
    <t>Steven Michael Hitsman</t>
  </si>
  <si>
    <t>(520) 450-0225</t>
  </si>
  <si>
    <t>Casa Grande</t>
  </si>
  <si>
    <t>(520) 216-4412</t>
  </si>
  <si>
    <t>steve@midstaterefrig.com</t>
  </si>
  <si>
    <t>ROC 318461 CR-39</t>
  </si>
  <si>
    <t>C114</t>
  </si>
  <si>
    <t>Worlock Air Conditioning &amp; Heating</t>
  </si>
  <si>
    <t>Bill Worlock</t>
  </si>
  <si>
    <t>(623) 561-0168</t>
  </si>
  <si>
    <t>(623) 294-5409</t>
  </si>
  <si>
    <t>C115</t>
  </si>
  <si>
    <t>Tucson Plumbing</t>
  </si>
  <si>
    <t>Tim Milo Dawson</t>
  </si>
  <si>
    <t>+1 520-631-2534</t>
  </si>
  <si>
    <t>(520) 881-6000</t>
  </si>
  <si>
    <t>Co-owners: Samer K Nassar | Cell pulled from Apollo contacts | ROC 153891 R-39R</t>
  </si>
  <si>
    <t>C116</t>
  </si>
  <si>
    <t>AC Works</t>
  </si>
  <si>
    <t>shane a smolak</t>
  </si>
  <si>
    <t>(602) 391-5722</t>
  </si>
  <si>
    <t>(602) 780-3077</t>
  </si>
  <si>
    <t>Contact title 'Heating, Ventilation, and Air Conditioning Business Owner' - verify decision maker | ROC 333026 CR-39</t>
  </si>
  <si>
    <t>C117</t>
  </si>
  <si>
    <t>Good Times Plumbing &amp; Restoration</t>
  </si>
  <si>
    <t>Cody Mathisen</t>
  </si>
  <si>
    <t>(602) 828-5684</t>
  </si>
  <si>
    <t>(602) 313-1869</t>
  </si>
  <si>
    <t>cody@goodtimesrestoration.com</t>
  </si>
  <si>
    <t>Contact title 'Head Plumber' - verify decision maker | ROC 350850 CR-37</t>
  </si>
  <si>
    <t>C118</t>
  </si>
  <si>
    <t>Second Opinion Plumbing</t>
  </si>
  <si>
    <t>BRIAN BROOKS</t>
  </si>
  <si>
    <t>(317) 557-1605</t>
  </si>
  <si>
    <t>(480) 448-1126</t>
  </si>
  <si>
    <t>bbrooks@secondopinionplumbingaz.com</t>
  </si>
  <si>
    <t>Contact title 'Plumber' - verify decision maker | ROC 293915 CR-37</t>
  </si>
  <si>
    <t>C119</t>
  </si>
  <si>
    <t>Phay Plumbing services LLC</t>
  </si>
  <si>
    <t>Michael Allen Phay</t>
  </si>
  <si>
    <t>(602) 291-0525</t>
  </si>
  <si>
    <t>Goodyear</t>
  </si>
  <si>
    <t>Contact title 'Service Plumbing Specialist' - verify decision maker | ROC 342708 CR-37</t>
  </si>
  <si>
    <t>C120</t>
  </si>
  <si>
    <t>Semper Air</t>
  </si>
  <si>
    <t>Kyle Davis Cartright</t>
  </si>
  <si>
    <t>(928) 732-2888</t>
  </si>
  <si>
    <t>(928) 273-4890</t>
  </si>
  <si>
    <t>ROC 336679 CR-39</t>
  </si>
  <si>
    <t>C121</t>
  </si>
  <si>
    <t>Merit Plumbing Services</t>
  </si>
  <si>
    <t>Michael Ryan DeFrates</t>
  </si>
  <si>
    <t>(480) 665-0144</t>
  </si>
  <si>
    <t>(480) 696-3886</t>
  </si>
  <si>
    <t>miked@meritplumbingservices.com</t>
  </si>
  <si>
    <t>ROC 300878</t>
  </si>
  <si>
    <t>C122</t>
  </si>
  <si>
    <t>AquaForce Plumbing and Drain</t>
  </si>
  <si>
    <t>Bradley Hintz</t>
  </si>
  <si>
    <t>(623) 776-6732</t>
  </si>
  <si>
    <t>(602) 638-0260</t>
  </si>
  <si>
    <t>ROC 356598 CR-37</t>
  </si>
  <si>
    <t>C123</t>
  </si>
  <si>
    <t>1st AirCo Heating &amp; Cooling</t>
  </si>
  <si>
    <t>Trevor Kear</t>
  </si>
  <si>
    <t>(623) 201-9965</t>
  </si>
  <si>
    <t>(623) 572-4422</t>
  </si>
  <si>
    <t>trevorkear@1stairco.com</t>
  </si>
  <si>
    <t>ROC 206058 R-39R</t>
  </si>
  <si>
    <t>C124</t>
  </si>
  <si>
    <t>AZ Preferred Plumbing LLC</t>
  </si>
  <si>
    <t>Marat Shamionov</t>
  </si>
  <si>
    <t>(480) 246-4775</t>
  </si>
  <si>
    <t>(480) 300-1515</t>
  </si>
  <si>
    <t>marat@azpreferredplumbing.com</t>
  </si>
  <si>
    <t>Contact title 'Installer' - verify decision maker | ROC 289815 CR-37</t>
  </si>
  <si>
    <t>C125</t>
  </si>
  <si>
    <t>Set Apart Plumbing LLC</t>
  </si>
  <si>
    <t>Jeremiah Kane Watson</t>
  </si>
  <si>
    <t>(480) 404-0979</t>
  </si>
  <si>
    <t>jeremiah@setapartplumbing.com</t>
  </si>
  <si>
    <t>ROC 353020 CR-37</t>
  </si>
  <si>
    <t>C126</t>
  </si>
  <si>
    <t>Best Choice Heating &amp; Cooling LLC</t>
  </si>
  <si>
    <t>Joshua J Arvizu</t>
  </si>
  <si>
    <t>(520) 333-8522</t>
  </si>
  <si>
    <t>(520) 815-0889</t>
  </si>
  <si>
    <t>ROC 338243 CR-39</t>
  </si>
  <si>
    <t>C127</t>
  </si>
  <si>
    <t>Right Now Plumbing and Heating</t>
  </si>
  <si>
    <t>Stephen Abinadi Bairn</t>
  </si>
  <si>
    <t>(480) 363-5232</t>
  </si>
  <si>
    <t>(520) 955-1454</t>
  </si>
  <si>
    <t>Co-owners: Joseph Thomas Obresley | ROC 317913 CR-37</t>
  </si>
  <si>
    <t>C128</t>
  </si>
  <si>
    <t>A &amp; A Cooling &amp; Heating LLC</t>
  </si>
  <si>
    <t>Scott Rucas</t>
  </si>
  <si>
    <t>(480) 266-3678</t>
  </si>
  <si>
    <t>(480) 757-1440</t>
  </si>
  <si>
    <t>scott@aacoolingaz.com</t>
  </si>
  <si>
    <t>Contact title 'Business Owner' - verify decision maker | Owner found via Apollo</t>
  </si>
  <si>
    <t>C129</t>
  </si>
  <si>
    <t>Morehart Air Conditioning and Heating</t>
  </si>
  <si>
    <t>Joshua Morehart</t>
  </si>
  <si>
    <t>(480) 217-0715</t>
  </si>
  <si>
    <t>(623) 738-4004</t>
  </si>
  <si>
    <t>josh@morehartac.com</t>
  </si>
  <si>
    <t>ROC 280802 CR-39</t>
  </si>
  <si>
    <t>C130</t>
  </si>
  <si>
    <t>ABC Air Conditioning, Inc.</t>
  </si>
  <si>
    <t>Tom E Smedley</t>
  </si>
  <si>
    <t>(602) 710-4484</t>
  </si>
  <si>
    <t>(602) 971-8700</t>
  </si>
  <si>
    <t>ROC 154157</t>
  </si>
  <si>
    <t>C131</t>
  </si>
  <si>
    <t>Cooler Tymes LLC</t>
  </si>
  <si>
    <t>Michael Greco</t>
  </si>
  <si>
    <t>(734) 629-7874</t>
  </si>
  <si>
    <t>Litchfield Park</t>
  </si>
  <si>
    <t>(623) 206-6770</t>
  </si>
  <si>
    <t>Contact title 'Realtor' - verify decision maker | ROC 270097 CR-39</t>
  </si>
  <si>
    <t>C132</t>
  </si>
  <si>
    <t>Kendall Plumbing &amp; Rooter</t>
  </si>
  <si>
    <t>Kendall Ray Adair</t>
  </si>
  <si>
    <t>(602) 469-2585</t>
  </si>
  <si>
    <t>(480) 969-1040</t>
  </si>
  <si>
    <t>ROC 198778 R-37R</t>
  </si>
  <si>
    <t>C133</t>
  </si>
  <si>
    <t>Phend Plumbing and Rooter LLC</t>
  </si>
  <si>
    <t>C134</t>
  </si>
  <si>
    <t>Proficient Mechanical</t>
  </si>
  <si>
    <t>Anthony Joseph Goegan</t>
  </si>
  <si>
    <t>(480) 799-5851</t>
  </si>
  <si>
    <t>(480) 908-9483</t>
  </si>
  <si>
    <t>anthonygoegan@proficientmechanical.com</t>
  </si>
  <si>
    <t>ROC 336389 CR-39</t>
  </si>
  <si>
    <t>C135</t>
  </si>
  <si>
    <t>Northern Arizona Heating &amp; Air</t>
  </si>
  <si>
    <t>Andrew Jon Chinander</t>
  </si>
  <si>
    <t>(928) 460-3069</t>
  </si>
  <si>
    <t>(928) 772-7751</t>
  </si>
  <si>
    <t>andy@nazair.net</t>
  </si>
  <si>
    <t>VERIFY: Apollo matched a different/parent org | Co-owners: Mark Martin | ROC 217728 CR-39</t>
  </si>
  <si>
    <t>C136</t>
  </si>
  <si>
    <t>Water Pros Plumbing</t>
  </si>
  <si>
    <t>Mitchell Grant Allen</t>
  </si>
  <si>
    <t>(480) 244-8985</t>
  </si>
  <si>
    <t>(480) 459-4424</t>
  </si>
  <si>
    <t>mitch@waterprosplumbing.com</t>
  </si>
  <si>
    <t>ROC 323563 CR-37</t>
  </si>
  <si>
    <t>C137</t>
  </si>
  <si>
    <t>Canyon Plumbing Solutions</t>
  </si>
  <si>
    <t>Thomas Allen Bush</t>
  </si>
  <si>
    <t>(623) 401-7524</t>
  </si>
  <si>
    <t>(928) 266-2190</t>
  </si>
  <si>
    <t>tom@canyonplumbingsolutions.com</t>
  </si>
  <si>
    <t>ROC 357691 R-37R</t>
  </si>
  <si>
    <t>C138</t>
  </si>
  <si>
    <t>Mortensen Custom Plumbing</t>
  </si>
  <si>
    <t>Martin Roy Mortensen</t>
  </si>
  <si>
    <t>(928) 699-6293</t>
  </si>
  <si>
    <t>(928) 774-4357</t>
  </si>
  <si>
    <t>Contact title 'Owner/Plumbing Technician' - verify decision maker | ROC 275788 R-37</t>
  </si>
  <si>
    <t>C139</t>
  </si>
  <si>
    <t>Northern Arizona Plumbing Solutions</t>
  </si>
  <si>
    <t>Keith Michael Singleton</t>
  </si>
  <si>
    <t>(718) 772-7014</t>
  </si>
  <si>
    <t>(928) 301-1298</t>
  </si>
  <si>
    <t>Contact title 'Master Plumber' - verify decision maker | ROC 350536 CR-37</t>
  </si>
  <si>
    <t>C140</t>
  </si>
  <si>
    <t>Yellowstone Plumbing &amp; Drains</t>
  </si>
  <si>
    <t>Joshua Caleb Chasteen</t>
  </si>
  <si>
    <t>(480) 276-4550</t>
  </si>
  <si>
    <t>(480) 404-5226</t>
  </si>
  <si>
    <t>Contact title 'Entrepreneur' - verify decision maker | ROC 356064 CR-37</t>
  </si>
  <si>
    <t>C141</t>
  </si>
  <si>
    <t>Bohen Air Heating and Cooling</t>
  </si>
  <si>
    <t>Martin W Smaluch</t>
  </si>
  <si>
    <t>(623) 330-3024</t>
  </si>
  <si>
    <t>martin@bohenair.com</t>
  </si>
  <si>
    <t>ROC 335944 CR-39</t>
  </si>
  <si>
    <t>C142</t>
  </si>
  <si>
    <t>AIRzona Comfort Solutions</t>
  </si>
  <si>
    <t>Jeff Wilson</t>
  </si>
  <si>
    <t>(928) 239-8863</t>
  </si>
  <si>
    <t>Fort Mohave</t>
  </si>
  <si>
    <t>(928) 444-5792</t>
  </si>
  <si>
    <t>ROC 300506 CR-39</t>
  </si>
  <si>
    <t>C143</t>
  </si>
  <si>
    <t>D-Best Plumbing Inc.</t>
  </si>
  <si>
    <t>CLAYTON Petty</t>
  </si>
  <si>
    <t>(928) 254-1241</t>
  </si>
  <si>
    <t>Camp Verde</t>
  </si>
  <si>
    <t>(928) 567-8755</t>
  </si>
  <si>
    <t>ROC 303307 CR-37</t>
  </si>
  <si>
    <t>C144</t>
  </si>
  <si>
    <t>My Guy Cooling &amp; Heating</t>
  </si>
  <si>
    <t>Garrett Allen DeSpain</t>
  </si>
  <si>
    <t>(928) 386-5701</t>
  </si>
  <si>
    <t>(480) 875-5705</t>
  </si>
  <si>
    <t>Contact title 'Owner and HVAC Specialist' - verify decision maker | ROC 346830 CR-39</t>
  </si>
  <si>
    <t>C145</t>
  </si>
  <si>
    <t>Golden Rule Plumbing, LLC</t>
  </si>
  <si>
    <t>Devan Bustamante</t>
  </si>
  <si>
    <t>(520) 709-2173</t>
  </si>
  <si>
    <t>(480) 357-6512</t>
  </si>
  <si>
    <t>ROC 253826 CR-37</t>
  </si>
  <si>
    <t>C146</t>
  </si>
  <si>
    <t>Sapper HVAC</t>
  </si>
  <si>
    <t>Sunny Bert</t>
  </si>
  <si>
    <t>(480) 709-3912</t>
  </si>
  <si>
    <t>(602) 206-7359</t>
  </si>
  <si>
    <t>ROC 360142 CR-39</t>
  </si>
  <si>
    <t>C147</t>
  </si>
  <si>
    <t>CozyHome</t>
  </si>
  <si>
    <t>Elijah James Chamberlain</t>
  </si>
  <si>
    <t>(928) 853-0423</t>
  </si>
  <si>
    <t>(928) 628-6528</t>
  </si>
  <si>
    <t>eli@cozyhomeaz.com</t>
  </si>
  <si>
    <t>ROC 328407 R-39R</t>
  </si>
  <si>
    <t>C148</t>
  </si>
  <si>
    <t>Icon Mechanical Inc</t>
  </si>
  <si>
    <t>Ernesto Jimenez Jr</t>
  </si>
  <si>
    <t>+1 623-204-0591</t>
  </si>
  <si>
    <t>(623) 386-7804</t>
  </si>
  <si>
    <t>Cell pulled from Apollo contacts | ROC 309574 CR-39</t>
  </si>
  <si>
    <t>C149</t>
  </si>
  <si>
    <t>Afterhours Services</t>
  </si>
  <si>
    <t>Frederick Eugene Gray</t>
  </si>
  <si>
    <t>(520) 559-9454</t>
  </si>
  <si>
    <t>Sierra Vista</t>
  </si>
  <si>
    <t>(520) 459-5257</t>
  </si>
  <si>
    <t>ROC 337499 CR-39</t>
  </si>
  <si>
    <t>C150</t>
  </si>
  <si>
    <t>GNS Heating and Cooling</t>
  </si>
  <si>
    <t>GUY PATRICK NOLAN</t>
  </si>
  <si>
    <t>(520) 507-6945</t>
  </si>
  <si>
    <t>Willcox</t>
  </si>
  <si>
    <t>(520) 507-5617</t>
  </si>
  <si>
    <t>guy@gnsheatingcooling.com</t>
  </si>
  <si>
    <t>ROC 285088 CR-39</t>
  </si>
  <si>
    <t>C151</t>
  </si>
  <si>
    <t>AZ A/C AND HEAT SERVICES</t>
  </si>
  <si>
    <t>Fahim Mohebati</t>
  </si>
  <si>
    <t>(480) 772-0229</t>
  </si>
  <si>
    <t>(480) 979-0575</t>
  </si>
  <si>
    <t>ROC 352265 CR-39</t>
  </si>
  <si>
    <t>C152</t>
  </si>
  <si>
    <t>Steve's Ultimate Air Heating &amp; Cooling Services LLC</t>
  </si>
  <si>
    <t>Steven Dominski</t>
  </si>
  <si>
    <t>(480) 390-9841</t>
  </si>
  <si>
    <t>(480) 458-7287</t>
  </si>
  <si>
    <t>ROC 267871 CR-39</t>
  </si>
  <si>
    <t>C153</t>
  </si>
  <si>
    <t>Whitewater Plumbing and Drain, LLC</t>
  </si>
  <si>
    <t>Shane Andrew Merkley</t>
  </si>
  <si>
    <t>(480) 267-5901</t>
  </si>
  <si>
    <t>ROC 322930 R-37R</t>
  </si>
  <si>
    <t>C154</t>
  </si>
  <si>
    <t>ALDACO AIR LLC</t>
  </si>
  <si>
    <t>SERGIO ALDACO Sr</t>
  </si>
  <si>
    <t>+1 602-690-2546</t>
  </si>
  <si>
    <t>(623) 229-8822</t>
  </si>
  <si>
    <t>Cell pulled from Apollo contacts | ROC 271959 R-39R</t>
  </si>
  <si>
    <t>C155</t>
  </si>
  <si>
    <t>Zephyr Heating &amp; Air Conditioning</t>
  </si>
  <si>
    <t>Phillip D Nicholson</t>
  </si>
  <si>
    <t>(925) 980-4655</t>
  </si>
  <si>
    <t>(480) 390-8343</t>
  </si>
  <si>
    <t>ROC 355973 CR-39</t>
  </si>
  <si>
    <t>C156</t>
  </si>
  <si>
    <t>Serenity Plumbing</t>
  </si>
  <si>
    <t>Michael Bradley Epsen</t>
  </si>
  <si>
    <t>(480) 776-9039</t>
  </si>
  <si>
    <t>ROC 225203</t>
  </si>
  <si>
    <t>C157</t>
  </si>
  <si>
    <t>Total Pro AC</t>
  </si>
  <si>
    <t>Jeffrey Robert Melady</t>
  </si>
  <si>
    <t>+1 480-364-4735</t>
  </si>
  <si>
    <t>(480) 261-3638</t>
  </si>
  <si>
    <t>Cell pulled from Apollo contacts | ROC 338783 CR-39</t>
  </si>
  <si>
    <t>C158</t>
  </si>
  <si>
    <t>Southwest Plumbing Services LLC</t>
  </si>
  <si>
    <t>Justin Noga</t>
  </si>
  <si>
    <t>(612) 619-0252</t>
  </si>
  <si>
    <t>(480) 999-5678</t>
  </si>
  <si>
    <t>ROC 345281 CR-37</t>
  </si>
  <si>
    <t>C159</t>
  </si>
  <si>
    <t>Elsea Plumbing Inc.</t>
  </si>
  <si>
    <t>Dustin P Elsea</t>
  </si>
  <si>
    <t>(928) 925-3459</t>
  </si>
  <si>
    <t>(928) 848-0189</t>
  </si>
  <si>
    <t>ROC 232301 R-37R</t>
  </si>
  <si>
    <t>C160</t>
  </si>
  <si>
    <t>Maricopa Air Conditioning and Heating</t>
  </si>
  <si>
    <t>Stephen Michael Wolff</t>
  </si>
  <si>
    <t>(602) 206-1596</t>
  </si>
  <si>
    <t>(480) 941-3945</t>
  </si>
  <si>
    <t>steve@maricopaac.com</t>
  </si>
  <si>
    <t>ROC 169512</t>
  </si>
  <si>
    <t>C161</t>
  </si>
  <si>
    <t>Courtesy Plumbing of AZ, LLC</t>
  </si>
  <si>
    <t>Ryan T Kenyon</t>
  </si>
  <si>
    <t>(623) 939-7166</t>
  </si>
  <si>
    <t>(623) 247-7952</t>
  </si>
  <si>
    <t>Contact title 'journey man' - verify decision maker | ROC 268468 C-37</t>
  </si>
  <si>
    <t>C162</t>
  </si>
  <si>
    <t>Kool­-Wave Air Conditioning &amp; Heating</t>
  </si>
  <si>
    <t>Brady Wayne Walters</t>
  </si>
  <si>
    <t>(928) 486-5983</t>
  </si>
  <si>
    <t>(928) 855-5665</t>
  </si>
  <si>
    <t>wbrady@koolwaveair.com</t>
  </si>
  <si>
    <t>ROC 166549 CR-39</t>
  </si>
  <si>
    <t>C163</t>
  </si>
  <si>
    <t>Sorensen Heating and Cooling</t>
  </si>
  <si>
    <t>Brian David Sorensen</t>
  </si>
  <si>
    <t>(602) 363-5661</t>
  </si>
  <si>
    <t>(623) 322-0747</t>
  </si>
  <si>
    <t>ROC 230935 R-39R</t>
  </si>
  <si>
    <t>C164</t>
  </si>
  <si>
    <t>Compton Plumbing Services</t>
  </si>
  <si>
    <t>Michael Homer Compton</t>
  </si>
  <si>
    <t>(408) 723-2523</t>
  </si>
  <si>
    <t>(480) 926-3931</t>
  </si>
  <si>
    <t>michael@comptonservicesllc.com</t>
  </si>
  <si>
    <t>Contact title 'Field Service Technician' - verify decision maker | ROC 308511 CR-37</t>
  </si>
  <si>
    <t>C165</t>
  </si>
  <si>
    <t>Rapid Air LLC</t>
  </si>
  <si>
    <t>Hector Alvarez</t>
  </si>
  <si>
    <t>(928) 329-7070</t>
  </si>
  <si>
    <t>ROC 170256 CR-39</t>
  </si>
  <si>
    <t>C166</t>
  </si>
  <si>
    <t>Air Boss, LLC.</t>
  </si>
  <si>
    <t>Guy Edgar Adair</t>
  </si>
  <si>
    <t>(928) 205-8457</t>
  </si>
  <si>
    <t>(928) 537-5054</t>
  </si>
  <si>
    <t>ROC 233699 CR-39</t>
  </si>
  <si>
    <t>C167</t>
  </si>
  <si>
    <t>Village Plumbing, LLC</t>
  </si>
  <si>
    <t>Douglas Scott Robinett</t>
  </si>
  <si>
    <t>(928) 821-3070</t>
  </si>
  <si>
    <t>ROC 293677 CR-77</t>
  </si>
  <si>
    <t>C168</t>
  </si>
  <si>
    <t>Three Phase Mechanical</t>
  </si>
  <si>
    <t>Robert Kenneth Schroeder</t>
  </si>
  <si>
    <t>(828) 244-1968</t>
  </si>
  <si>
    <t>(480) 671-0833</t>
  </si>
  <si>
    <t>ROC 247803 R-39R</t>
  </si>
  <si>
    <t>C169</t>
  </si>
  <si>
    <t>RNAIR LLC</t>
  </si>
  <si>
    <t>Alfredo Valadez</t>
  </si>
  <si>
    <t>(928) 271-0556</t>
  </si>
  <si>
    <t>(928) 503-9920</t>
  </si>
  <si>
    <t>ROC 325051 CR-39</t>
  </si>
  <si>
    <t>C170</t>
  </si>
  <si>
    <t>Viking Air Inc</t>
  </si>
  <si>
    <t>Stephanie Lynn Harvey</t>
  </si>
  <si>
    <t>(928) 246-9510</t>
  </si>
  <si>
    <t>(928) 782-0060</t>
  </si>
  <si>
    <t>stephanie.harvey@vikingair.com</t>
  </si>
  <si>
    <t>ROC 269629 CR-39</t>
  </si>
  <si>
    <t>C171</t>
  </si>
  <si>
    <t>Azp Services Llc</t>
  </si>
  <si>
    <t>Jarad Matthew Brown</t>
  </si>
  <si>
    <t>(480) 988-1511</t>
  </si>
  <si>
    <t>(602) 351-0738</t>
  </si>
  <si>
    <t>jarad@azpservices.com</t>
  </si>
  <si>
    <t>ROC 337021 CR-37</t>
  </si>
  <si>
    <t>C172</t>
  </si>
  <si>
    <t>Russell &amp; Sons</t>
  </si>
  <si>
    <t>Jeremiah William Russell</t>
  </si>
  <si>
    <t>(916) 802-4692</t>
  </si>
  <si>
    <t>(928) 414-3977</t>
  </si>
  <si>
    <t>ROC 352654 CR-39</t>
  </si>
  <si>
    <t>C173</t>
  </si>
  <si>
    <t>Mechanical Air Control of Arizona LLC</t>
  </si>
  <si>
    <t>Brian Gorrell</t>
  </si>
  <si>
    <t>(928) 542-2640</t>
  </si>
  <si>
    <t>ROC 270236 CR-39</t>
  </si>
  <si>
    <t>C174</t>
  </si>
  <si>
    <t>True Plumbing LLC</t>
  </si>
  <si>
    <t>Jesse Escobar</t>
  </si>
  <si>
    <t>(623) 320-6944</t>
  </si>
  <si>
    <t>jesse.plumbing@trueplumbingllc.com</t>
  </si>
  <si>
    <t>ROC 337578 CR-37</t>
  </si>
  <si>
    <t>C175</t>
  </si>
  <si>
    <t>Horizon Heating &amp; Air LLC</t>
  </si>
  <si>
    <t>Tyler Joseph Shelton</t>
  </si>
  <si>
    <t>(760) 622-0504</t>
  </si>
  <si>
    <t>(928) 719-3234</t>
  </si>
  <si>
    <t>tylers@horizonheatac.com</t>
  </si>
  <si>
    <t>ROC 340833 R-39R</t>
  </si>
  <si>
    <t>C176</t>
  </si>
  <si>
    <t>Vintage Plumbing LLC</t>
  </si>
  <si>
    <t>Joseph Francisco Lechuga</t>
  </si>
  <si>
    <t>(602) 872-6774</t>
  </si>
  <si>
    <t>ROC 322051 CR-37</t>
  </si>
  <si>
    <t>C177</t>
  </si>
  <si>
    <t>Near Me Plumbing &amp; Drains LLC</t>
  </si>
  <si>
    <t>Jordan Tipton Tipton</t>
  </si>
  <si>
    <t>(602) 525-8313</t>
  </si>
  <si>
    <t>(602) 649-6441</t>
  </si>
  <si>
    <t>Contact title 'Journeyman Plumber Lead' - verify decision maker | ROC 334319 CR-37</t>
  </si>
  <si>
    <t>C178</t>
  </si>
  <si>
    <t>R and N PLUMBING</t>
  </si>
  <si>
    <t>Raymond Shull</t>
  </si>
  <si>
    <t>(559) 804-9609</t>
  </si>
  <si>
    <t>(928) 263-2789</t>
  </si>
  <si>
    <t>ROC 353736 CR-37</t>
  </si>
  <si>
    <t>C179</t>
  </si>
  <si>
    <t>Lighthouse Plumbing, LLC</t>
  </si>
  <si>
    <t>John Mark VanderPloeg</t>
  </si>
  <si>
    <t>(480) 352-7025</t>
  </si>
  <si>
    <t>(480) 389-5045</t>
  </si>
  <si>
    <t>john@lighthouse.plumbing</t>
  </si>
  <si>
    <t>ROC 303015 CR-37</t>
  </si>
  <si>
    <t>C180</t>
  </si>
  <si>
    <t>Kramer's Air Conditioning, LLC</t>
  </si>
  <si>
    <t>DERON ARTHUR KRAMER</t>
  </si>
  <si>
    <t>(760) 272-8976</t>
  </si>
  <si>
    <t>(928) 718-2520</t>
  </si>
  <si>
    <t>deron@rvacinc.com</t>
  </si>
  <si>
    <t>ROC 342805 CR-39</t>
  </si>
  <si>
    <t>C181</t>
  </si>
  <si>
    <t>Hatch Plumbing</t>
  </si>
  <si>
    <t>DOUGLAS HATCH HATCH</t>
  </si>
  <si>
    <t>(928) 699-1814</t>
  </si>
  <si>
    <t>(928) 773-0216</t>
  </si>
  <si>
    <t>ROC 147090 CR-37</t>
  </si>
  <si>
    <t>C182</t>
  </si>
  <si>
    <t>Ponderosa Plumbing</t>
  </si>
  <si>
    <t>Matthew Roberson</t>
  </si>
  <si>
    <t>(405) 413-9343</t>
  </si>
  <si>
    <t>Pine</t>
  </si>
  <si>
    <t>(928) 476-4727</t>
  </si>
  <si>
    <t>Contact title 'Plumber' - verify decision maker | ROC 362060 CR-37</t>
  </si>
  <si>
    <t>C183</t>
  </si>
  <si>
    <t>Signature Plumbing</t>
  </si>
  <si>
    <t>Joshua Budka</t>
  </si>
  <si>
    <t>(928) 716-3713</t>
  </si>
  <si>
    <t>ROC 275048 CR-37</t>
  </si>
  <si>
    <t>C184</t>
  </si>
  <si>
    <t>Pipe Dreams Plumbing</t>
  </si>
  <si>
    <t>Joshua David Dowd</t>
  </si>
  <si>
    <t>(928) 774-4100</t>
  </si>
  <si>
    <t>ROC 230734 C-37</t>
  </si>
  <si>
    <t>C185</t>
  </si>
  <si>
    <t>Sears Heating and Air Conditioning</t>
  </si>
  <si>
    <t>Brandon Leigh Foxhoven</t>
  </si>
  <si>
    <t>+1 317-514-1190</t>
  </si>
  <si>
    <t>Bullhead City</t>
  </si>
  <si>
    <t>(623) 250-7956</t>
  </si>
  <si>
    <t>VERIFY: Apollo matched a different/parent org | Other locations: Show Low | Cell pulled from Apollo contacts | ROC 345006 CR-39</t>
  </si>
  <si>
    <t>C186</t>
  </si>
  <si>
    <t>Ables Mechanical</t>
  </si>
  <si>
    <t>Scott Anthony Ables</t>
  </si>
  <si>
    <t>(602) 326-3906</t>
  </si>
  <si>
    <t>Payson</t>
  </si>
  <si>
    <t>(928) 970-0035</t>
  </si>
  <si>
    <t>scott@ablesmechanical.com</t>
  </si>
  <si>
    <t>ROC 323144 CR-39</t>
  </si>
  <si>
    <t>C187</t>
  </si>
  <si>
    <t>Mr. Fix It of Sierra Vista</t>
  </si>
  <si>
    <t>John Aaron Kerr</t>
  </si>
  <si>
    <t>(520) 227-8194</t>
  </si>
  <si>
    <t>ROC 315572 CR-37 | EBITDA = 12% revenue proxy</t>
  </si>
  <si>
    <t>C188</t>
  </si>
  <si>
    <t>Moyer's Heating &amp; Cooling Inc.</t>
  </si>
  <si>
    <t>Michael Henry Moyer</t>
  </si>
  <si>
    <t>(928) 772-4346</t>
  </si>
  <si>
    <t>mike@moyershvac.com</t>
  </si>
  <si>
    <t>ROC 137374 CR-39 | EBITDA = 12% revenue proxy</t>
  </si>
  <si>
    <t>C189</t>
  </si>
  <si>
    <t>Parker &amp; Sons</t>
  </si>
  <si>
    <t>Roger Keith Kittrell</t>
  </si>
  <si>
    <t>(602) 424-9619</t>
  </si>
  <si>
    <t>Other locations: Tucson | ROC 152656 CR-39 | EBITDA = 12% revenue proxy</t>
  </si>
  <si>
    <t>C190</t>
  </si>
  <si>
    <t>Silverado Rooter &amp; Plumbing</t>
  </si>
  <si>
    <t>Leroy Michael Johnson</t>
  </si>
  <si>
    <t>(520) 696-0000</t>
  </si>
  <si>
    <t>leroy@silveradoplumbing.com</t>
  </si>
  <si>
    <t>ROC 201381 CR-37 | EBITDA = 12% revenue proxy</t>
  </si>
  <si>
    <t>C191</t>
  </si>
  <si>
    <t>Blue Plumbing and Drain Cleaning LLC</t>
  </si>
  <si>
    <t>Barbara Susan Brasher</t>
  </si>
  <si>
    <t>(928) 775-9388</t>
  </si>
  <si>
    <t>ROC 279103 R-37R | EBITDA = 12% revenue proxy | Size est. midpoint - ZoomInfo 1-10 employees, &lt;$5M revenue</t>
  </si>
  <si>
    <t>C192</t>
  </si>
  <si>
    <t>Rite Way Heating, Cooling &amp; Plumbing</t>
  </si>
  <si>
    <t>Richard Walter</t>
  </si>
  <si>
    <t>(520) 314-5053</t>
  </si>
  <si>
    <t>rwalter@ritewayac.com</t>
  </si>
  <si>
    <t>C193</t>
  </si>
  <si>
    <t>Rite Way Heating, Cooling &amp; Plumbing: Sierra Vista</t>
  </si>
  <si>
    <t>(520) 415-5681</t>
  </si>
  <si>
    <t>C194</t>
  </si>
  <si>
    <t>Acme Leak Detection, Inc</t>
  </si>
  <si>
    <t>Michael Thomas Sandvall</t>
  </si>
  <si>
    <t>(928) 605-7872</t>
  </si>
  <si>
    <t>mikes@acmeleakdetection.com</t>
  </si>
  <si>
    <t>ROC 337699 CR-37 | EBITDA = 12% revenue proxy</t>
  </si>
  <si>
    <t>C195</t>
  </si>
  <si>
    <t>Reliance Heating &amp; Air Conditioning</t>
  </si>
  <si>
    <t>Dalen Thomas Blumentritt</t>
  </si>
  <si>
    <t>(602) 607-2150</t>
  </si>
  <si>
    <t>dalen@relianceac.com</t>
  </si>
  <si>
    <t>ROC 166909 R-39R | EBITDA = 12% revenue proxy</t>
  </si>
  <si>
    <t>C196</t>
  </si>
  <si>
    <t>Climate Pro LLC</t>
  </si>
  <si>
    <t>Daniel Justin Ozment</t>
  </si>
  <si>
    <t>(480) 485-7151</t>
  </si>
  <si>
    <t>dozment@climateprollc.com</t>
  </si>
  <si>
    <t>ROC 199426 CR-39 | EBITDA = 12% revenue proxy</t>
  </si>
  <si>
    <t>C197</t>
  </si>
  <si>
    <t>White Mountain Heating &amp; Cooling LLC.</t>
  </si>
  <si>
    <t>Steven Brett Brimhall</t>
  </si>
  <si>
    <t>(928) 537-9642</t>
  </si>
  <si>
    <t>ROC 265058 CR-39 | EBITDA = 12% revenue proxy</t>
  </si>
  <si>
    <t>C198</t>
  </si>
  <si>
    <t>Perry Heating, Cooling and Plumbing</t>
  </si>
  <si>
    <t>Michael Lowell Dauenhauer</t>
  </si>
  <si>
    <t>(520) 200-5425</t>
  </si>
  <si>
    <t>ROC 339807 CR-37 | EBITDA = 12% revenue proxy</t>
  </si>
  <si>
    <t>C199</t>
  </si>
  <si>
    <t>Jaycox Air Conditioning And Heating</t>
  </si>
  <si>
    <t>Daniel Robert Jaycox JR</t>
  </si>
  <si>
    <t>(623) 937-7532</t>
  </si>
  <si>
    <t>ROC 333083 CR-39 | EBITDA = 12% revenue proxy</t>
  </si>
  <si>
    <t>C200</t>
  </si>
  <si>
    <t>Al Coronado Plumbing</t>
  </si>
  <si>
    <t>Alfonso Coronado</t>
  </si>
  <si>
    <t>(520) 278-5780</t>
  </si>
  <si>
    <t>al@alcoronadoplumbing.com</t>
  </si>
  <si>
    <t>ROC 289733 CR-37 | EBITDA = 12% revenue proxy</t>
  </si>
  <si>
    <t>C201</t>
  </si>
  <si>
    <t>Cummings Plumbing Heating and Cooling</t>
  </si>
  <si>
    <t>Jake Andrew Cummings</t>
  </si>
  <si>
    <t>(520) 333-2121</t>
  </si>
  <si>
    <t>jake.cummings@ovs.com</t>
  </si>
  <si>
    <t>Co-owners: Kevin Jon Cummings | ROC 113429 R-37R | EBITDA = 12% revenue proxy</t>
  </si>
  <si>
    <t>C202</t>
  </si>
  <si>
    <t>Ken Muncy Air Conditioning</t>
  </si>
  <si>
    <t>Gordon MUNCY</t>
  </si>
  <si>
    <t>(480) 210-9071</t>
  </si>
  <si>
    <t>ROC 105783 R-39R | EBITDA = 12% revenue proxy</t>
  </si>
  <si>
    <t>C203</t>
  </si>
  <si>
    <t>ACE Home Services</t>
  </si>
  <si>
    <t>Timothy E J Herring</t>
  </si>
  <si>
    <t>(928) 216-4960</t>
  </si>
  <si>
    <t>ROC 343860 CR-39 | EBITDA = 12% revenue proxy</t>
  </si>
  <si>
    <t>C204</t>
  </si>
  <si>
    <t>Scottsdale Plumbing Co</t>
  </si>
  <si>
    <t>Timothy John Harris</t>
  </si>
  <si>
    <t>(480) 945-9583</t>
  </si>
  <si>
    <t>ROC 268561 C-37 | EBITDA = 12% revenue proxy</t>
  </si>
  <si>
    <t>C205</t>
  </si>
  <si>
    <t>Air Maintenance Heating &amp; Cooling</t>
  </si>
  <si>
    <t>William Stephen Rogers</t>
  </si>
  <si>
    <t>(520) 449-2431</t>
  </si>
  <si>
    <t>Co-owners: Frank Ernest Yslas Jr; John Fosbinder; RAVI KUMAR SWAMY; FRANCISCA BOTELLO; Russell Sargent | ROC 111230 R-39R | EBITDA = 12% revenue proxy</t>
  </si>
  <si>
    <t>C206</t>
  </si>
  <si>
    <t>Collins Comfort Masters</t>
  </si>
  <si>
    <t>James Molina</t>
  </si>
  <si>
    <t>(480) 212-9220</t>
  </si>
  <si>
    <t>jmolina@collinscomfort.com</t>
  </si>
  <si>
    <t>Owner found via Apollo | ROC 331329 CR-39 | EBITDA = 12% revenue proxy</t>
  </si>
  <si>
    <t>C207</t>
  </si>
  <si>
    <t>Donley A/C &amp; Plumbing</t>
  </si>
  <si>
    <t>Ken Dicicco</t>
  </si>
  <si>
    <t>(602) 529-1357</t>
  </si>
  <si>
    <t>kdicicco@donleyservice.com</t>
  </si>
  <si>
    <t>C208</t>
  </si>
  <si>
    <t>Agape Air Heating &amp; Cooling</t>
  </si>
  <si>
    <t>Gary Lee Stueland</t>
  </si>
  <si>
    <t>(602) 755-6854</t>
  </si>
  <si>
    <t>gary.s@agapeair.com</t>
  </si>
  <si>
    <t>ROC 320248 CR-39 | EBITDA = 12% revenue proxy</t>
  </si>
  <si>
    <t>C209</t>
  </si>
  <si>
    <t>Picture Rocks Cooling, Heating &amp; Plumbing, LLC</t>
  </si>
  <si>
    <t>Ronnie Arenas</t>
  </si>
  <si>
    <t>(520) 492-0748</t>
  </si>
  <si>
    <t>ROC 208709 CR-39 | EBITDA = 12% revenue proxy | Size est. midpoint - ZoomInfo 11-50 employees, &lt;$5M revenue</t>
  </si>
  <si>
    <t>C210</t>
  </si>
  <si>
    <t>John's Heating, Cooling, and Plumbing</t>
  </si>
  <si>
    <t>Bradley Duane Parks</t>
  </si>
  <si>
    <t>(480) 648-0921</t>
  </si>
  <si>
    <t>ROC 84417 R-39R | EBITDA = 12% revenue proxy</t>
  </si>
  <si>
    <t>C211</t>
  </si>
  <si>
    <t>Benjamin Franklin Plumbing of Phoenix, AZ</t>
  </si>
  <si>
    <t>Mike Brewer</t>
  </si>
  <si>
    <t>(480) 223-9348</t>
  </si>
  <si>
    <t>mike.brewer@benfranklinplumbingaz.com</t>
  </si>
  <si>
    <t>C212</t>
  </si>
  <si>
    <t>Benjamin Franklin The Punctual Plumber</t>
  </si>
  <si>
    <t>Michael Brewer</t>
  </si>
  <si>
    <t>(602) 786-5183</t>
  </si>
  <si>
    <t>ROC 200353 CR-37 | EBITDA = 12% revenue proxy</t>
  </si>
  <si>
    <t>C213</t>
  </si>
  <si>
    <t>Action Plumbing Heating Air &amp; Electric</t>
  </si>
  <si>
    <t>Stephen M Anderson Jr</t>
  </si>
  <si>
    <t>(480) 808-1641</t>
  </si>
  <si>
    <t>Co-owners: Joshua Christian Jordan | ROC 355576 R-37R | EBITDA = 12% revenue proxy</t>
  </si>
  <si>
    <t>C214</t>
  </si>
  <si>
    <t>Honest Air Inc.</t>
  </si>
  <si>
    <t>Jeff Scott Scarberry</t>
  </si>
  <si>
    <t>(480) 934-0407</t>
  </si>
  <si>
    <t>ROC 170197 | EBITDA = 12% revenue proxy</t>
  </si>
  <si>
    <t>C215</t>
  </si>
  <si>
    <t>Air Conditioning of Arizona</t>
  </si>
  <si>
    <t>Troy Richard Davila</t>
  </si>
  <si>
    <t>(480) 250-3882</t>
  </si>
  <si>
    <t>troy@acofaz.net</t>
  </si>
  <si>
    <t>ROC 252603 CR-39 | EBITDA = 12% revenue proxy</t>
  </si>
  <si>
    <t>C216</t>
  </si>
  <si>
    <t>American Cooling And Heating</t>
  </si>
  <si>
    <t>Scot Martin Morgan</t>
  </si>
  <si>
    <t>(480) 699-2516</t>
  </si>
  <si>
    <t>scot@americancoolingandheating.com</t>
  </si>
  <si>
    <t>ROC 183933 CR-79 | EBITDA = 12% revenue proxy</t>
  </si>
  <si>
    <t>C217</t>
  </si>
  <si>
    <t>Boyer Heating &amp; Cooling</t>
  </si>
  <si>
    <t>Toby Lloyd Thomas</t>
  </si>
  <si>
    <t>(928) 779-4543</t>
  </si>
  <si>
    <t>ROC 339671 CR-39 | EBITDA = 12% revenue proxy</t>
  </si>
  <si>
    <t>C218</t>
  </si>
  <si>
    <t>Scottsdale Air Heating &amp; Cooling</t>
  </si>
  <si>
    <t>(602) 834-5334</t>
  </si>
  <si>
    <t>Co-owners: Joe Mitchell Warner; Reuben McCutcheon; Joshua Manuel Sanchez; Matthew John Morse | Other locations: Phoenix | ROC 268561 C-37 | EBITDA = 12% revenue proxy</t>
  </si>
  <si>
    <t>C219</t>
  </si>
  <si>
    <t>Air Control Home Services</t>
  </si>
  <si>
    <t>James Edward Jensen</t>
  </si>
  <si>
    <t>(928) 235-4840</t>
  </si>
  <si>
    <t>jamie@aircontrolaz.com</t>
  </si>
  <si>
    <t>Co-owners: Adriel Montes | Other locations: Bullhead City; Kingman | ROC 105758 R-39R | EBITDA = 12% revenue proxy</t>
  </si>
  <si>
    <t>C220</t>
  </si>
  <si>
    <t>Alaskan Air Conditioning &amp; Heating</t>
  </si>
  <si>
    <t>Timothy Edward Cannon Jr</t>
  </si>
  <si>
    <t>(602) 529-5555</t>
  </si>
  <si>
    <t>Other locations: Scottsdale | ROC 240693 CR-39 | EBITDA = 12% revenue proxy</t>
  </si>
  <si>
    <t>C221</t>
  </si>
  <si>
    <t>Goettl's High Desert Mechanical</t>
  </si>
  <si>
    <t>Bruce Adam Goettl II</t>
  </si>
  <si>
    <t>(928) 985-6132</t>
  </si>
  <si>
    <t>Other locations: Cottonwood; Dewey; Prescott Valley | ROC 95880 C-39 | EBITDA = 12% revenue proxy</t>
  </si>
  <si>
    <t>C222</t>
  </si>
  <si>
    <t>Aire Serv of North Central Arizona</t>
  </si>
  <si>
    <t>Tim R Roth</t>
  </si>
  <si>
    <t>(888) 224-0848</t>
  </si>
  <si>
    <t>ncarizona.owner@aireserv.com</t>
  </si>
  <si>
    <t>ROC 297131 CR-39 | EBITDA = 12% revenue proxy</t>
  </si>
  <si>
    <t>C223</t>
  </si>
  <si>
    <t>Comfort Systems of Arizona LLC</t>
  </si>
  <si>
    <t>Cole Erick Thornsley</t>
  </si>
  <si>
    <t>(928) 774-9034</t>
  </si>
  <si>
    <t>ROC 355404 CR-39 | EBITDA = 12% revenue proxy</t>
  </si>
  <si>
    <t>C224</t>
  </si>
  <si>
    <t>TAZ Plumbing</t>
  </si>
  <si>
    <t>Juan Alberto Grijalva</t>
  </si>
  <si>
    <t>(520) 886-1755</t>
  </si>
  <si>
    <t>juan@tazplumbing.com</t>
  </si>
  <si>
    <t>ROC 332971 CR-37 | EBITDA = 12% revenue proxy</t>
  </si>
  <si>
    <t>C225</t>
  </si>
  <si>
    <t>Brutinel Plumbing &amp; Electrical, INC.</t>
  </si>
  <si>
    <t>Wesley R Baker</t>
  </si>
  <si>
    <t>(520) 836-5802</t>
  </si>
  <si>
    <t>jenny@brutinel.com</t>
  </si>
  <si>
    <t>ROC 67458 R-37R | EBITDA = 12% revenue proxy</t>
  </si>
  <si>
    <t>C226</t>
  </si>
  <si>
    <t>Indian Air</t>
  </si>
  <si>
    <t>Jason G Parkis</t>
  </si>
  <si>
    <t>(928) 772-8890</t>
  </si>
  <si>
    <t>jason@indianair.com</t>
  </si>
  <si>
    <t>ROC 245471 CR-39 | EBITDA = 12% revenue proxy</t>
  </si>
  <si>
    <t>C227</t>
  </si>
  <si>
    <t>Shamrock Heating &amp; Cooling</t>
  </si>
  <si>
    <t>Jeffrey Sean Stein</t>
  </si>
  <si>
    <t>(602) 560-8689</t>
  </si>
  <si>
    <t>ROC 118281 R-39R | EBITDA = 12% revenue proxy</t>
  </si>
  <si>
    <t>C228</t>
  </si>
  <si>
    <t>Smiley Plumbing</t>
  </si>
  <si>
    <t>Walter Lewis Gotschall Jr</t>
  </si>
  <si>
    <t>(623) 583-9400</t>
  </si>
  <si>
    <t>ROC 145493 CR-37 | EBITDA = 12% revenue proxy</t>
  </si>
  <si>
    <t>C229</t>
  </si>
  <si>
    <t>Family Air LLC</t>
  </si>
  <si>
    <t>James G Beard III</t>
  </si>
  <si>
    <t>(520) 399-5850</t>
  </si>
  <si>
    <t>ROC 216359 CR-39 | EBITDA = 12% revenue proxy | Size est. midpoint - ZoomInfo 11-50 employees, $5.1M revenue, Tucson</t>
  </si>
  <si>
    <t>C230</t>
  </si>
  <si>
    <t>B &amp; J Refrigeration Inc. - Heating and Cooling</t>
  </si>
  <si>
    <t>Mickey Shawn Mullins</t>
  </si>
  <si>
    <t>(520) 326-9672</t>
  </si>
  <si>
    <t>Co-owners: VICTOR JIANG | ROC 104645 C-39 | EBITDA = 12% revenue proxy</t>
  </si>
  <si>
    <t>C231</t>
  </si>
  <si>
    <t>Huachuca Plumbing LLC</t>
  </si>
  <si>
    <t>Omar Habib Correa</t>
  </si>
  <si>
    <t>(520) 459-6303</t>
  </si>
  <si>
    <t>ROC 198096 CR-37 | EBITDA = 12% revenue proxy</t>
  </si>
  <si>
    <t>C232</t>
  </si>
  <si>
    <t>Just Air LLC</t>
  </si>
  <si>
    <t>James Edward Mattingly</t>
  </si>
  <si>
    <t>(602) 595-8544</t>
  </si>
  <si>
    <t>j.mattingly@justairllc.com</t>
  </si>
  <si>
    <t>ROC 221611 | EBITDA = 12% revenue proxy</t>
  </si>
  <si>
    <t>C233</t>
  </si>
  <si>
    <t>North Mechanical Heating &amp; Air Conditioning</t>
  </si>
  <si>
    <t>David Roy North II</t>
  </si>
  <si>
    <t>(928) 468-9400</t>
  </si>
  <si>
    <t>ROC 196159 CR-39 | EBITDA = 12% revenue proxy</t>
  </si>
  <si>
    <t>C234</t>
  </si>
  <si>
    <t>North Mechanical Heating and Cooling</t>
  </si>
  <si>
    <t>(928) 263-8570</t>
  </si>
  <si>
    <t>C235</t>
  </si>
  <si>
    <t>A Plus Plumbing</t>
  </si>
  <si>
    <t>Elias Iskandar Elghazal</t>
  </si>
  <si>
    <t>(480) 899-5959</t>
  </si>
  <si>
    <t>Co-owners: Randy Lee Trumbauer | ROC 175175 CR-39 | EBITDA = 12% revenue proxy</t>
  </si>
  <si>
    <t>C236</t>
  </si>
  <si>
    <t>Goettl Air Conditioning and Plumbing - Phoenix AZ</t>
  </si>
  <si>
    <t>Jake Gress</t>
  </si>
  <si>
    <t>(602) 517-0039</t>
  </si>
  <si>
    <t>jake.gress@goettl.com</t>
  </si>
  <si>
    <t>VERIFY: size data looks like parent/franchise org | Owner found via Apollo | Size est. midpoint - large PE-backed multi-state chain (PitchBook/LinkedIn), far above band</t>
  </si>
  <si>
    <t>C237</t>
  </si>
  <si>
    <t>Bell Air Conditioning, LLC.</t>
  </si>
  <si>
    <t>Thomas Christopher Dillman</t>
  </si>
  <si>
    <t>Sun City</t>
  </si>
  <si>
    <t>(623) 748-3324</t>
  </si>
  <si>
    <t>ROC 231155 CR-39</t>
  </si>
  <si>
    <t>C238</t>
  </si>
  <si>
    <t>Emergency Air Heating, Cooling and Plumbing</t>
  </si>
  <si>
    <t>Keith M Thompson</t>
  </si>
  <si>
    <t>(602) 926-0581</t>
  </si>
  <si>
    <t>Co-owners: Jose Arturo Resendiz; Saul Enrique Cubas II; Rick Enrique CUbas II; Jack Russell Bredeweg | Other locations: Glendale | ROC 238723 CR-37</t>
  </si>
  <si>
    <t>C239</t>
  </si>
  <si>
    <t>Goettl Air Conditioning and Plumbing - Tucson AZ</t>
  </si>
  <si>
    <t>(520) 657-0336</t>
  </si>
  <si>
    <t>C240</t>
  </si>
  <si>
    <t>Bumble Bee Home Services</t>
  </si>
  <si>
    <t>Michael Alan Krpata</t>
  </si>
  <si>
    <t>(623) 404-2566</t>
  </si>
  <si>
    <t>ROC 357153 R-39R</t>
  </si>
  <si>
    <t>C241</t>
  </si>
  <si>
    <t>The Plumber Guy</t>
  </si>
  <si>
    <t>George William Manuel III</t>
  </si>
  <si>
    <t>(480) 852-2489</t>
  </si>
  <si>
    <t>VERIFY: Apollo matched a different/parent org | ROC 350454 | Size est. midpoint - ZoomInfo 1-10 employees (may undercount; 3.6k reviews, multi-location)</t>
  </si>
  <si>
    <t>C242</t>
  </si>
  <si>
    <t>American Home Water &amp; Air</t>
  </si>
  <si>
    <t>Thomas Gainard Atkinson</t>
  </si>
  <si>
    <t>(602) 726-1448</t>
  </si>
  <si>
    <t>ROC 326306 R-39R</t>
  </si>
  <si>
    <t>C243</t>
  </si>
  <si>
    <t>Rescue One Air Cooling, Heating &amp; Plumbing</t>
  </si>
  <si>
    <t>Daniel Joseph Santoro</t>
  </si>
  <si>
    <t>(602) 536-9593</t>
  </si>
  <si>
    <t>Co-owners: Patrick Tyler Daily Fitzgerald | ROC 345145 CR-39</t>
  </si>
  <si>
    <t>C244</t>
  </si>
  <si>
    <t>A/C &amp; Plumbing Doctors</t>
  </si>
  <si>
    <t>Douglas Benjamin Davis</t>
  </si>
  <si>
    <t>(602) 767-1830</t>
  </si>
  <si>
    <t>doug@theacdoctors.com</t>
  </si>
  <si>
    <t>ROC 241341 CR-39</t>
  </si>
  <si>
    <t>C245</t>
  </si>
  <si>
    <t>Desert Diamond Air Cooling &amp; Heating</t>
  </si>
  <si>
    <t>Ricky Patton</t>
  </si>
  <si>
    <t>(623) 246-2377</t>
  </si>
  <si>
    <t>Co-owners: Carlo Cardella | ROC 152154 CR-37 | Size est. midpoint - ZoomInfo 11-50 employees, &lt;$5M revenue</t>
  </si>
  <si>
    <t>C246</t>
  </si>
  <si>
    <t>ASAP Plumbing</t>
  </si>
  <si>
    <t>Joseph Michael Pruett</t>
  </si>
  <si>
    <t>(480) 933-1511</t>
  </si>
  <si>
    <t>ROC 295527 CR-37</t>
  </si>
  <si>
    <t>C247</t>
  </si>
  <si>
    <t>Just Better Air Conditioning and Heating LLC</t>
  </si>
  <si>
    <t>Joseph Bunsick</t>
  </si>
  <si>
    <t>(480) 631-9418</t>
  </si>
  <si>
    <t>joeb@justbetterair.com</t>
  </si>
  <si>
    <t>ROC 283970</t>
  </si>
  <si>
    <t>C248</t>
  </si>
  <si>
    <t>A Quality HVAC and Plumbing Services LLC</t>
  </si>
  <si>
    <t>Clinton Paul Cary</t>
  </si>
  <si>
    <t>(623) 257-5406</t>
  </si>
  <si>
    <t>clint@aqualityhvac.org</t>
  </si>
  <si>
    <t>Co-owners: Jacob Chad Bingham | ROC 255314 R-39R | Size est. midpoint - ZoomInfo 1-10 employees, &lt;$5M (may undercount; ~2k reviews)</t>
  </si>
  <si>
    <t>C249</t>
  </si>
  <si>
    <t>Drip Plumbing</t>
  </si>
  <si>
    <t>Haiden Nelson Hendricks</t>
  </si>
  <si>
    <t>(480) 679-6292</t>
  </si>
  <si>
    <t>haiden@dripplumbingaz.com</t>
  </si>
  <si>
    <t>ROC 340152 CR-37</t>
  </si>
  <si>
    <t>C250</t>
  </si>
  <si>
    <t>AirTime Cooling and Heating</t>
  </si>
  <si>
    <t>(480) 573-7029</t>
  </si>
  <si>
    <t>Co-owners: Patrick Tyler Daily Fitzgerald | ROC 351313 CR-39</t>
  </si>
  <si>
    <t>C251</t>
  </si>
  <si>
    <t>911 Air Repair</t>
  </si>
  <si>
    <t>Raymond Anthony Nieves</t>
  </si>
  <si>
    <t>(480) 360-1234</t>
  </si>
  <si>
    <t>raymond.nieves@911-ac.com</t>
  </si>
  <si>
    <t>ROC 312225 CR-39</t>
  </si>
  <si>
    <t>C252</t>
  </si>
  <si>
    <t>Wyman Plumbing &amp; Mechanical LLC</t>
  </si>
  <si>
    <t>Erik Douglas Wyman</t>
  </si>
  <si>
    <t>(623) 250-5259</t>
  </si>
  <si>
    <t>Other locations: Phoenix; Scottsdale | ROC 309216</t>
  </si>
  <si>
    <t>C253</t>
  </si>
  <si>
    <t>AZ Home Services Group AC Repair &amp; Plumbing Services</t>
  </si>
  <si>
    <t>AZ Group</t>
  </si>
  <si>
    <t>(602) 806-7212</t>
  </si>
  <si>
    <t>C254</t>
  </si>
  <si>
    <t>Robins Plumbing, Inc</t>
  </si>
  <si>
    <t>Brian Kieth Robins</t>
  </si>
  <si>
    <t>(623) 486-4657</t>
  </si>
  <si>
    <t>brian@icecofreezer.com</t>
  </si>
  <si>
    <t>Other locations: Glendale | ROC 203677</t>
  </si>
  <si>
    <t>C255</t>
  </si>
  <si>
    <t>Tri-State A/C Hero</t>
  </si>
  <si>
    <t>Richmond Stewart Dubois</t>
  </si>
  <si>
    <t>(928) 444-4395</t>
  </si>
  <si>
    <t>ROC 311760 CR-39</t>
  </si>
  <si>
    <t>C256</t>
  </si>
  <si>
    <t>Faucet Doctor Plumbing and HVAC Services</t>
  </si>
  <si>
    <t>Gregory W Singletary</t>
  </si>
  <si>
    <t>(623) 214-7161</t>
  </si>
  <si>
    <t>ROC 320540 R-37R</t>
  </si>
  <si>
    <t>C257</t>
  </si>
  <si>
    <t>Al &amp; Riley's Air Conditioning and Sheet Metal</t>
  </si>
  <si>
    <t>Clifford Leland Kinser</t>
  </si>
  <si>
    <t>(520) 836-8450</t>
  </si>
  <si>
    <t>VERIFY: Apollo matched a different/parent org | ROC 282665 CR-39 | Size est. midpoint - ZoomInfo 1-10 employees, &lt;$5M (est. since 1974; may undercount)</t>
  </si>
  <si>
    <t>C258</t>
  </si>
  <si>
    <t>The Plumber</t>
  </si>
  <si>
    <t>Alexandro James-Paul Espinoza</t>
  </si>
  <si>
    <t>(480) 923-5066</t>
  </si>
  <si>
    <t>ROC 326344</t>
  </si>
  <si>
    <t>C259</t>
  </si>
  <si>
    <t>Desert Water Plumbing and Rooter</t>
  </si>
  <si>
    <t>Bradley John Koestner</t>
  </si>
  <si>
    <t>(602) 641-2998</t>
  </si>
  <si>
    <t>ROC 259601 CR-37</t>
  </si>
  <si>
    <t>C260</t>
  </si>
  <si>
    <t>Paragon Service Pros Heating and Air Conditioning</t>
  </si>
  <si>
    <t>Chad Eric Richardson</t>
  </si>
  <si>
    <t>(480) 999-9725</t>
  </si>
  <si>
    <t>Other locations: Tempe | ROC 333094 CR-39 | Size est. midpoint - ZoomInfo 11-50 employees, &lt;$5M revenue</t>
  </si>
  <si>
    <t>C261</t>
  </si>
  <si>
    <t>All American Air</t>
  </si>
  <si>
    <t>Robert Brian Wyatt</t>
  </si>
  <si>
    <t>(928) 706-9490</t>
  </si>
  <si>
    <t>ROC 340138 CR-39 | Size est. midpoint - ZoomInfo 11-50 employees, &lt;$5M revenue</t>
  </si>
  <si>
    <t>C262</t>
  </si>
  <si>
    <t>Plumbers Near Me, LLC</t>
  </si>
  <si>
    <t>Oded Cohen</t>
  </si>
  <si>
    <t>(602) 641-8882</t>
  </si>
  <si>
    <t>chandler@plumbersnearme.services</t>
  </si>
  <si>
    <t>ROC 337586</t>
  </si>
  <si>
    <t>C263</t>
  </si>
  <si>
    <t>AC Repair Near Me</t>
  </si>
  <si>
    <t>(602) 780-7100</t>
  </si>
  <si>
    <t>ROC 337558 CR-39</t>
  </si>
  <si>
    <t>C264</t>
  </si>
  <si>
    <t>Bumble Bee Air Conditioning</t>
  </si>
  <si>
    <t>(480) 966-2901</t>
  </si>
  <si>
    <t>ROC 146727</t>
  </si>
  <si>
    <t>C265</t>
  </si>
  <si>
    <t>Assurance Plumbing and Heating</t>
  </si>
  <si>
    <t>Donald Lewis Wilson Jr</t>
  </si>
  <si>
    <t>(928) 779-1589</t>
  </si>
  <si>
    <t>ROC 328367 CR-37</t>
  </si>
  <si>
    <t>C266</t>
  </si>
  <si>
    <t>Plumbing by Jake</t>
  </si>
  <si>
    <t>(928) 615-8228</t>
  </si>
  <si>
    <t>ROC 333030 CR-37</t>
  </si>
  <si>
    <t>C267</t>
  </si>
  <si>
    <t>AZ Home Services Group of Queen Creek</t>
  </si>
  <si>
    <t>(480) 223-1181</t>
  </si>
  <si>
    <t>C268</t>
  </si>
  <si>
    <t>Mountain View Air Conditioning &amp; Heating, LLC</t>
  </si>
  <si>
    <t>Ronald Harold Gravley</t>
  </si>
  <si>
    <t>Hereford</t>
  </si>
  <si>
    <t>(520) 803-8884</t>
  </si>
  <si>
    <t>Co-owners: Arthur Guerra Trujillo; Matthew Allen Millsap | ROC 155052 R-37R</t>
  </si>
  <si>
    <t>C269</t>
  </si>
  <si>
    <t>Fiscor Plumbing and Air</t>
  </si>
  <si>
    <t>Kevin Joseph Fiscor</t>
  </si>
  <si>
    <t>(928) 436-0529</t>
  </si>
  <si>
    <t>kevin@fiscorhvac.com</t>
  </si>
  <si>
    <t>Co-owners: Victor Paul Brian Rancour | Other locations: Flagstaff; Prescott Valley | ROC 313494 CR-39 | Size est. midpoint - ZoomInfo 1-10 employees, &lt;$5M revenue</t>
  </si>
  <si>
    <t>C270</t>
  </si>
  <si>
    <t>Evans Air Conditioning &amp; Heating</t>
  </si>
  <si>
    <t>Dennis Brian Evans</t>
  </si>
  <si>
    <t>(480) 464-2665</t>
  </si>
  <si>
    <t>ROC 214323 CR-39 | Size est. midpoint - ZoomInfo 1-10 employees, &lt;$5M revenue</t>
  </si>
  <si>
    <t>C271</t>
  </si>
  <si>
    <t>A/C Rangers Heating &amp; Cooling</t>
  </si>
  <si>
    <t>Bradley Davis Rogers</t>
  </si>
  <si>
    <t>(480) 818-4772</t>
  </si>
  <si>
    <t>ROC 328460 CR-39</t>
  </si>
  <si>
    <t>C272</t>
  </si>
  <si>
    <t>Vista Pros Heating &amp; Cooling, Inc.</t>
  </si>
  <si>
    <t>James Paul Ruby</t>
  </si>
  <si>
    <t>(520) 497-5560</t>
  </si>
  <si>
    <t>jimmy@vista-pros.com</t>
  </si>
  <si>
    <t>ROC 339516 CR-39 | Size est. midpoint - ZoomInfo 11-50 employees, &lt;$5M revenue</t>
  </si>
  <si>
    <t>C273</t>
  </si>
  <si>
    <t>Air Care Cooling, Heating and Plumbing</t>
  </si>
  <si>
    <t>David Keith Schuman</t>
  </si>
  <si>
    <t>(480) 238-2273</t>
  </si>
  <si>
    <t>ROC 197366 R-39R</t>
  </si>
  <si>
    <t>C274</t>
  </si>
  <si>
    <t>Emergency Master Plumbing &amp; Air</t>
  </si>
  <si>
    <t>Austin Adame</t>
  </si>
  <si>
    <t>(623) 584-4706</t>
  </si>
  <si>
    <t>ROC 328920 CR-37 | Size est. midpoint - ZoomInfo 1-10 employees, &lt;$5M revenue</t>
  </si>
  <si>
    <t>C275</t>
  </si>
  <si>
    <t>Plumbers Near Me - Water Heater &amp; Plumbing Services</t>
  </si>
  <si>
    <t>Plumbers Chandler</t>
  </si>
  <si>
    <t>(480) 674-5931</t>
  </si>
  <si>
    <t>C276</t>
  </si>
  <si>
    <t>Champion Air</t>
  </si>
  <si>
    <t>Joshua James Blood</t>
  </si>
  <si>
    <t>(480) 681-7470</t>
  </si>
  <si>
    <t>Other locations: Phoenix | ROC 328617</t>
  </si>
  <si>
    <t>C277</t>
  </si>
  <si>
    <t>Thompson Family Plumbing and Drain</t>
  </si>
  <si>
    <t>john P thompson III</t>
  </si>
  <si>
    <t>(928) 216-2268</t>
  </si>
  <si>
    <t>Co-owners: Michael Allen Towe | ROC 324620 CR-37</t>
  </si>
  <si>
    <t>C278</t>
  </si>
  <si>
    <t>True North Air Conditioning</t>
  </si>
  <si>
    <t>John Michael Stevens ll</t>
  </si>
  <si>
    <t>(480) 378-9591</t>
  </si>
  <si>
    <t>ROC 328159 CR-39 | Size est. midpoint - ZoomInfo 1-10 employees, &lt;$5M revenue</t>
  </si>
  <si>
    <t>C279</t>
  </si>
  <si>
    <t>Knockout Plumbing, LLC</t>
  </si>
  <si>
    <t>David Daniel Harper</t>
  </si>
  <si>
    <t>(602) 536-8613</t>
  </si>
  <si>
    <t>dharper@knockoutplumbingaz.com</t>
  </si>
  <si>
    <t>ROC 328354 CR-37</t>
  </si>
  <si>
    <t>C280</t>
  </si>
  <si>
    <t>King Charles Plumbing &amp; Air Conditioning</t>
  </si>
  <si>
    <t>Ryan Pinney</t>
  </si>
  <si>
    <t>(623) 888-8000</t>
  </si>
  <si>
    <t>service@kingcharles.com</t>
  </si>
  <si>
    <t>ROC 335541 CR-39</t>
  </si>
  <si>
    <t>C281</t>
  </si>
  <si>
    <t>Air Central Heating &amp; Cooling</t>
  </si>
  <si>
    <t>Tris Cole Gillette</t>
  </si>
  <si>
    <t>(928) 329-7384</t>
  </si>
  <si>
    <t>Co-owners: Jesus Hector Gonzalez; Richard Michael Harmon; Steve Russell | ROC 89465 C-37 | Size est. midpoint - ZoomInfo 11-50 employees, &lt;$5M revenue</t>
  </si>
  <si>
    <t>C282</t>
  </si>
  <si>
    <t>Economy Plumbing Service LLC</t>
  </si>
  <si>
    <t>Bryan Eugene Foerster</t>
  </si>
  <si>
    <t>(520) 885-3510</t>
  </si>
  <si>
    <t>ROC 229967 CR-37</t>
  </si>
  <si>
    <t>C283</t>
  </si>
  <si>
    <t>A1 Air Conditioning &amp; Heating LLC</t>
  </si>
  <si>
    <t>Michael Alexander Bell maxwell JR</t>
  </si>
  <si>
    <t>(520) 675-0737</t>
  </si>
  <si>
    <t>ROC 336204 CR-39</t>
  </si>
  <si>
    <t>C284</t>
  </si>
  <si>
    <t>Signature Heating, Cooling and Plumbing</t>
  </si>
  <si>
    <t>Brandon A Johnson</t>
  </si>
  <si>
    <t>(520) 201-8043</t>
  </si>
  <si>
    <t>Co-owners: Russell Sargent | Other locations: Oro Valley | ROC 320116 CR-39</t>
  </si>
  <si>
    <t>C285</t>
  </si>
  <si>
    <t>HVAC Near Me</t>
  </si>
  <si>
    <t>Eran Sharabi</t>
  </si>
  <si>
    <t>(602) 932-0124</t>
  </si>
  <si>
    <t>ROC 339464 CR-39</t>
  </si>
  <si>
    <t>C286</t>
  </si>
  <si>
    <t>George Henry's Plumbing, Heating, &amp; Cooling LLC</t>
  </si>
  <si>
    <t>Duffy Michael Root</t>
  </si>
  <si>
    <t>(928) 474-5037</t>
  </si>
  <si>
    <t>Other locations: Prescott | ROC 280046 CR-37</t>
  </si>
  <si>
    <t>C287</t>
  </si>
  <si>
    <t>Froggy Fix LLC</t>
  </si>
  <si>
    <t>Justin D Harrah</t>
  </si>
  <si>
    <t>(480) 933-3764</t>
  </si>
  <si>
    <t>justin@froggyfix.com</t>
  </si>
  <si>
    <t>ROC 347678 CR-37</t>
  </si>
  <si>
    <t>C288</t>
  </si>
  <si>
    <t>Simon's Plumbing</t>
  </si>
  <si>
    <t>Simon Cupi</t>
  </si>
  <si>
    <t>(602) 739-4117</t>
  </si>
  <si>
    <t>simon@simonsplumbingaz.com</t>
  </si>
  <si>
    <t>ROC 323513 | Size est. midpoint - ZoomInfo 1-10 employees, &lt;$5M revenue, Phoenix AZ</t>
  </si>
  <si>
    <t>C289</t>
  </si>
  <si>
    <t>Mountainside Air Conditioning Repair</t>
  </si>
  <si>
    <t>Arthur Standifer II</t>
  </si>
  <si>
    <t>(480) 914-3425</t>
  </si>
  <si>
    <t>Co-owners: THOMAS D DOEPKE | Other locations: Peoria | ROC 291591 R-37R</t>
  </si>
  <si>
    <t>C290</t>
  </si>
  <si>
    <t>Simba Plumbing LLC</t>
  </si>
  <si>
    <t>Stefan Stefanovic</t>
  </si>
  <si>
    <t>(602) 962-3537</t>
  </si>
  <si>
    <t>info@simbaplumbing.co</t>
  </si>
  <si>
    <t>ROC 327259 | Size est. midpoint - ZoomInfo 1-10 employees, &lt;$5M revenue</t>
  </si>
  <si>
    <t>C291</t>
  </si>
  <si>
    <t>Suttle Air</t>
  </si>
  <si>
    <t>James Lee Suttle</t>
  </si>
  <si>
    <t>(602) 492-6620</t>
  </si>
  <si>
    <t>james@suttleair.com</t>
  </si>
  <si>
    <t>ROC 336760 CR-39</t>
  </si>
  <si>
    <t>C292</t>
  </si>
  <si>
    <t>Service General HVAC</t>
  </si>
  <si>
    <t>Rodney Joseph Obiedzenski Jr</t>
  </si>
  <si>
    <t>(928) 438-2665</t>
  </si>
  <si>
    <t>ROC 352943 CR-39</t>
  </si>
  <si>
    <t>C293</t>
  </si>
  <si>
    <t>Summit Plumbing Pros LLC</t>
  </si>
  <si>
    <t>Ty Lemieux</t>
  </si>
  <si>
    <t>(480) 470-8706</t>
  </si>
  <si>
    <t>ROC 338366</t>
  </si>
  <si>
    <t>C294</t>
  </si>
  <si>
    <t>Quality Comfort Heating &amp; Air</t>
  </si>
  <si>
    <t>Michael Anthony Ybarra</t>
  </si>
  <si>
    <t>(928) 302-3877</t>
  </si>
  <si>
    <t>mike@qualitycomfortaz.com</t>
  </si>
  <si>
    <t>ROC 347268 CR-39</t>
  </si>
  <si>
    <t>C295</t>
  </si>
  <si>
    <t>Angry Pipe Plumbing Solutions, LLC.</t>
  </si>
  <si>
    <t>Greg Richmond</t>
  </si>
  <si>
    <t>(480) 238-0429</t>
  </si>
  <si>
    <t>greg@angrypipe.com</t>
  </si>
  <si>
    <t>ROC 299161 CR-37 | Size est. midpoint - ZoomInfo 1-10 employees, &lt;$5M revenue, Queen Creek AZ</t>
  </si>
  <si>
    <t>C296</t>
  </si>
  <si>
    <t>Rad Plumbing</t>
  </si>
  <si>
    <t>Robert D Radcliff III</t>
  </si>
  <si>
    <t>(602) 825-0745</t>
  </si>
  <si>
    <t>Co-owners: Travis William Driscoll | ROC 350590 CR-37</t>
  </si>
  <si>
    <t>C297</t>
  </si>
  <si>
    <t>Arid Valley Plumbing</t>
  </si>
  <si>
    <t>Riley Layne Owens</t>
  </si>
  <si>
    <t>(480) 485-2832</t>
  </si>
  <si>
    <t>riley@aridvalleyaz.com</t>
  </si>
  <si>
    <t>ROC 325935 CR-37</t>
  </si>
  <si>
    <t>C298</t>
  </si>
  <si>
    <t>Desert Husky HVAC/R Services</t>
  </si>
  <si>
    <t>Kevin Marin Tirado</t>
  </si>
  <si>
    <t>(520) 415-8200</t>
  </si>
  <si>
    <t>ROC 336245 CR-39</t>
  </si>
  <si>
    <t>C299</t>
  </si>
  <si>
    <t>Imperial Plumbing</t>
  </si>
  <si>
    <t>Benjamin Paul Samorano Jr</t>
  </si>
  <si>
    <t>(520) 222-7665</t>
  </si>
  <si>
    <t>ROC 341779 R-37R</t>
  </si>
  <si>
    <t>C300</t>
  </si>
  <si>
    <t>Flush King Plumbing</t>
  </si>
  <si>
    <t>Bruce James Kimura</t>
  </si>
  <si>
    <t>(602) 644-1950</t>
  </si>
  <si>
    <t>ROC 362421 CR-39 | Size est. midpoint - ZoomInfo 1-10 employees, &lt;$5M revenue, Scottsdale AZ</t>
  </si>
  <si>
    <t>C301</t>
  </si>
  <si>
    <t>AZ Quality Plumbing LLC</t>
  </si>
  <si>
    <t>Luis Manuel Ascencio</t>
  </si>
  <si>
    <t>(480) 415-3507</t>
  </si>
  <si>
    <t>ROC 323555 R-37R</t>
  </si>
  <si>
    <t>C302</t>
  </si>
  <si>
    <t>Juniors Plumbing LLC</t>
  </si>
  <si>
    <t>robert keith wills</t>
  </si>
  <si>
    <t>(480) 285-5064</t>
  </si>
  <si>
    <t>ROC 330974 CR-37</t>
  </si>
  <si>
    <t>C303</t>
  </si>
  <si>
    <t>Tankless Pros Az</t>
  </si>
  <si>
    <t>Sidney buddy Baysinger</t>
  </si>
  <si>
    <t>(602) 833-1533</t>
  </si>
  <si>
    <t>sid@tanklessprosaz.com</t>
  </si>
  <si>
    <t>ROC 335298</t>
  </si>
  <si>
    <t>C304</t>
  </si>
  <si>
    <t>Patriotic Plumbing And Rooter</t>
  </si>
  <si>
    <t>Jazmin inecilia Vega</t>
  </si>
  <si>
    <t>(602) 755-9373</t>
  </si>
  <si>
    <t>jaz@patrioticplumbingandrooter.com</t>
  </si>
  <si>
    <t>Other locations: Surprise | ROC 339467 CR-37</t>
  </si>
  <si>
    <t>C305</t>
  </si>
  <si>
    <t>Desert Sun Heating, Cooling &amp; Refrigeration Inc.</t>
  </si>
  <si>
    <t>Jose Venegas Martinez</t>
  </si>
  <si>
    <t>(520) 466-1489</t>
  </si>
  <si>
    <t>josem@desertsunhvac.com</t>
  </si>
  <si>
    <t>ROC 243161 CR-39</t>
  </si>
  <si>
    <t>C306</t>
  </si>
  <si>
    <t>Alex &amp; Bros Plumbing</t>
  </si>
  <si>
    <t>Aleksander Cupi</t>
  </si>
  <si>
    <t>(480) 349-5386</t>
  </si>
  <si>
    <t>ROC 339088 CR-37</t>
  </si>
  <si>
    <t>C307</t>
  </si>
  <si>
    <t>Accurate Air</t>
  </si>
  <si>
    <t>Tom Wood II</t>
  </si>
  <si>
    <t>(480) 894-2998</t>
  </si>
  <si>
    <t>ROC 59025 R-39R</t>
  </si>
  <si>
    <t>C308</t>
  </si>
  <si>
    <t>Superior Heating and Air Conditioning</t>
  </si>
  <si>
    <t>Aaron James Couste</t>
  </si>
  <si>
    <t>(602) 610-7638</t>
  </si>
  <si>
    <t>a.couste@shac.co</t>
  </si>
  <si>
    <t>ROC 343366 CR-39</t>
  </si>
  <si>
    <t>C309</t>
  </si>
  <si>
    <t>City Heating and Cooling LLC</t>
  </si>
  <si>
    <t>Tonya Faye Gonzales</t>
  </si>
  <si>
    <t>(520) 339-7228</t>
  </si>
  <si>
    <t>ROC 339200 CR-39</t>
  </si>
  <si>
    <t>C310</t>
  </si>
  <si>
    <t>Premier Plumbing And Rooter</t>
  </si>
  <si>
    <t>Aaron Thomas McCabe</t>
  </si>
  <si>
    <t>(480) 875-3855</t>
  </si>
  <si>
    <t>ROC 338975 CR-37</t>
  </si>
  <si>
    <t>C311</t>
  </si>
  <si>
    <t>Viking Heating and Air Conditioning</t>
  </si>
  <si>
    <t>Nicole Bridge Viking Heating and Air Conditioning LLC</t>
  </si>
  <si>
    <t>(480) 689-5167</t>
  </si>
  <si>
    <t>VERIFY: Apollo matched a different/parent org | ROC 316534 CR-39 | Size est. midpoint - about page team photo shows 9 people</t>
  </si>
  <si>
    <t>C312</t>
  </si>
  <si>
    <t>The Cooling &amp; Plumbing Co</t>
  </si>
  <si>
    <t>Jeramy Monday</t>
  </si>
  <si>
    <t>(480) 813-1155</t>
  </si>
  <si>
    <t>ROC 323418 CR-39</t>
  </si>
  <si>
    <t>C313</t>
  </si>
  <si>
    <t>Bianco Plumbing LLC</t>
  </si>
  <si>
    <t>Jack Bianco Bianco Plumbing LLC</t>
  </si>
  <si>
    <t>(928) 369-6253</t>
  </si>
  <si>
    <t>ROC 196166 R-37</t>
  </si>
  <si>
    <t>C314</t>
  </si>
  <si>
    <t>ASAP Air Conditioning And Heating</t>
  </si>
  <si>
    <t>Wayne Elmer Wierzgacz</t>
  </si>
  <si>
    <t>(480) 654-2727</t>
  </si>
  <si>
    <t>ROC 104266 R-39R</t>
  </si>
  <si>
    <t>C315</t>
  </si>
  <si>
    <t>Hicken Air</t>
  </si>
  <si>
    <t>Ryan Hicken</t>
  </si>
  <si>
    <t>(480) 686-1919</t>
  </si>
  <si>
    <t>ryan.hicken@wellsfargo.com</t>
  </si>
  <si>
    <t>ROC 255435 CR-39</t>
  </si>
  <si>
    <t>C316</t>
  </si>
  <si>
    <t>Cactus Plumbing And Air</t>
  </si>
  <si>
    <t>Roy Scot Jones</t>
  </si>
  <si>
    <t>(480) 418-9912</t>
  </si>
  <si>
    <t>Other locations: Avondale; Chandler; Gilbert; Glendale; Phoenix; Tempe | ROC 336756</t>
  </si>
  <si>
    <t>C317</t>
  </si>
  <si>
    <t>OX Plumbing Services LLC</t>
  </si>
  <si>
    <t>Erik Ramon Caballero</t>
  </si>
  <si>
    <t>(623) 294-7109</t>
  </si>
  <si>
    <t>erikcaballero@oxplumbing.com</t>
  </si>
  <si>
    <t>ROC 347174 | Size est. midpoint - site: family-owned, owner-operated; no headcount</t>
  </si>
  <si>
    <t>C318</t>
  </si>
  <si>
    <t>My Plumber Plumbing Services LLC</t>
  </si>
  <si>
    <t>Joseph Leo Duchene III</t>
  </si>
  <si>
    <t>(520) 313-7513</t>
  </si>
  <si>
    <t>ROC 337614 R-37R</t>
  </si>
  <si>
    <t>C319</t>
  </si>
  <si>
    <t>Oasis Air Conditioning &amp; Heating</t>
  </si>
  <si>
    <t>Paul Murrieta</t>
  </si>
  <si>
    <t>Green Valley</t>
  </si>
  <si>
    <t>(520) 648-1755</t>
  </si>
  <si>
    <t>pmurrieta@oasiscoolingheating.com</t>
  </si>
  <si>
    <t>VERIFY: Apollo matched a different/parent org | Co-owners: Elliott Wade Roper; Bradley Robert Serpico | ROC 88627 R-39R | Size est. midpoint - website team page lists 15 staff</t>
  </si>
  <si>
    <t>C320</t>
  </si>
  <si>
    <t>Dunn Plumbing and Drain Service LLC</t>
  </si>
  <si>
    <t>Michael Brian Dunn</t>
  </si>
  <si>
    <t>(520) 310-0551</t>
  </si>
  <si>
    <t>ROC 295393 CR-37</t>
  </si>
  <si>
    <t>C321</t>
  </si>
  <si>
    <t>1UP PLUMBING</t>
  </si>
  <si>
    <t>Terrence Richard Kay</t>
  </si>
  <si>
    <t>(602) 558-1363</t>
  </si>
  <si>
    <t>info@1upplumbingaz.com</t>
  </si>
  <si>
    <t>ROC 346661 R-37R</t>
  </si>
  <si>
    <t>C322</t>
  </si>
  <si>
    <t>Springs Plumbing</t>
  </si>
  <si>
    <t>Alan Kryemadhi</t>
  </si>
  <si>
    <t>(480) 265-6936</t>
  </si>
  <si>
    <t>ROC 341019 | Size est. midpoint - LinkedIn shows master plumber self-employed</t>
  </si>
  <si>
    <t>C323</t>
  </si>
  <si>
    <t>Mesa Plumbing Co</t>
  </si>
  <si>
    <t>Russell Frederick James II</t>
  </si>
  <si>
    <t>(480) 418-1225</t>
  </si>
  <si>
    <t>VERIFY: Apollo matched a different/parent org | ROC 203402 CR-37</t>
  </si>
  <si>
    <t>C324</t>
  </si>
  <si>
    <t>Sea Breeze Cooling</t>
  </si>
  <si>
    <t>Ahsan Waqar</t>
  </si>
  <si>
    <t>(623) 444-6400</t>
  </si>
  <si>
    <t>ROC 323331 CR-39</t>
  </si>
  <si>
    <t>C325</t>
  </si>
  <si>
    <t>Plumber Kings</t>
  </si>
  <si>
    <t>Christopher Leigh DeVore</t>
  </si>
  <si>
    <t>(520) 447-6991</t>
  </si>
  <si>
    <t>ROC 335723 CR-37</t>
  </si>
  <si>
    <t>C326</t>
  </si>
  <si>
    <t>American Conditioned Air</t>
  </si>
  <si>
    <t>Michael Wolters</t>
  </si>
  <si>
    <t>(520) 623-2430</t>
  </si>
  <si>
    <t>ROC 71836 C-39 | Size est. midpoint - team page lists 8 managers/foremen implying larger field staff</t>
  </si>
  <si>
    <t>C327</t>
  </si>
  <si>
    <t>Harms Services</t>
  </si>
  <si>
    <t>Jake Dennis Harms</t>
  </si>
  <si>
    <t>Cottonwood</t>
  </si>
  <si>
    <t>(928) 641-6286</t>
  </si>
  <si>
    <t>ROC 342041 CR-37</t>
  </si>
  <si>
    <t>C328</t>
  </si>
  <si>
    <t>Precise Air &amp; Heating</t>
  </si>
  <si>
    <t>Kevin Glenn Lewis</t>
  </si>
  <si>
    <t>(602) 396-0869</t>
  </si>
  <si>
    <t>kevin@preciseairandheating.com</t>
  </si>
  <si>
    <t>ROC 350583 CR-39 | Size est. midpoint - site cites 50 yrs combined experience; small owner-run shop</t>
  </si>
  <si>
    <t>C329</t>
  </si>
  <si>
    <t>Pridemark Plumbing</t>
  </si>
  <si>
    <t>DONALD A JABLONOWSKI</t>
  </si>
  <si>
    <t>(623) 239-2606</t>
  </si>
  <si>
    <t>ROC 319398 CR-37</t>
  </si>
  <si>
    <t>C330</t>
  </si>
  <si>
    <t>Affordable Plumbing, Rooter and Water Heaters</t>
  </si>
  <si>
    <t>(480) 660-8900</t>
  </si>
  <si>
    <t>ROC 345439</t>
  </si>
  <si>
    <t>C331</t>
  </si>
  <si>
    <t>Greenway Heating &amp; Cooling LLC</t>
  </si>
  <si>
    <t>WILLIAM HARRISON</t>
  </si>
  <si>
    <t>(928) 727-4929</t>
  </si>
  <si>
    <t>ROC 291202 CR-39</t>
  </si>
  <si>
    <t>C332</t>
  </si>
  <si>
    <t>Franklin Plumbing Services</t>
  </si>
  <si>
    <t>Michael Edward Macon</t>
  </si>
  <si>
    <t>(928) 445-1045</t>
  </si>
  <si>
    <t>ROC 87389 R-37</t>
  </si>
  <si>
    <t>C333</t>
  </si>
  <si>
    <t>River Valley Air Conditioning, Inc.</t>
  </si>
  <si>
    <t>Donald Arthur Kramer</t>
  </si>
  <si>
    <t>(928) 798-5430</t>
  </si>
  <si>
    <t>Other locations: Bullhead City; Kingman | ROC 200411 R-39R | Size est. midpoint - 4-generation family firm since 1955; no explicit headcount</t>
  </si>
  <si>
    <t>C334</t>
  </si>
  <si>
    <t>The Cool Guy</t>
  </si>
  <si>
    <t>Josue Burciaga</t>
  </si>
  <si>
    <t>(480) 793-9330</t>
  </si>
  <si>
    <t>ROC 318019 CR-39</t>
  </si>
  <si>
    <t>C335</t>
  </si>
  <si>
    <t>Quick Refrigeration</t>
  </si>
  <si>
    <t>James Francis Gilmore</t>
  </si>
  <si>
    <t>(928) 220-8108</t>
  </si>
  <si>
    <t>ROC 202640 C-39</t>
  </si>
  <si>
    <t>C336</t>
  </si>
  <si>
    <t>Above All Plumbing LLC</t>
  </si>
  <si>
    <t>Vanessa Victoria Miller</t>
  </si>
  <si>
    <t>(928) 366-1770</t>
  </si>
  <si>
    <t>ROC 292381 CR-37</t>
  </si>
  <si>
    <t>C337</t>
  </si>
  <si>
    <t>Vertex Heating &amp; Cooling</t>
  </si>
  <si>
    <t>Juan A Alvarez</t>
  </si>
  <si>
    <t>(480) 524-7052</t>
  </si>
  <si>
    <t>juan@vertexcooling.com</t>
  </si>
  <si>
    <t>ROC 336459 CR-39</t>
  </si>
  <si>
    <t>C338</t>
  </si>
  <si>
    <t>Authentic Plumbing, LLC</t>
  </si>
  <si>
    <t>Eddie Romero Castillo Jr</t>
  </si>
  <si>
    <t>(602) 541-2361</t>
  </si>
  <si>
    <t>ROC 335195 CR-37</t>
  </si>
  <si>
    <t>C339</t>
  </si>
  <si>
    <t>Bradford Heating and Cooling</t>
  </si>
  <si>
    <t>Kenneth Bradford Baker</t>
  </si>
  <si>
    <t>(623) 624-6246</t>
  </si>
  <si>
    <t>ROC 353859 R-39R</t>
  </si>
  <si>
    <t>C340</t>
  </si>
  <si>
    <t>Heath's Air LLC</t>
  </si>
  <si>
    <t>Heath Michael Bauldry</t>
  </si>
  <si>
    <t>(480) 470-7777</t>
  </si>
  <si>
    <t>ROC 323244</t>
  </si>
  <si>
    <t>C341</t>
  </si>
  <si>
    <t>C&amp;H Plumbing</t>
  </si>
  <si>
    <t>Jace Rex Baum</t>
  </si>
  <si>
    <t>Snowflake</t>
  </si>
  <si>
    <t>(928) 532-7500</t>
  </si>
  <si>
    <t>Other locations: Pinetop | ROC 210115 CR-37</t>
  </si>
  <si>
    <t>C342</t>
  </si>
  <si>
    <t>Pro Solutions Air</t>
  </si>
  <si>
    <t>Chad M Librizzi</t>
  </si>
  <si>
    <t>(623) 232-8425</t>
  </si>
  <si>
    <t>ROC 285896 CR-39</t>
  </si>
  <si>
    <t>C343</t>
  </si>
  <si>
    <t>Arizona Cooling and Heating Specialists LLC</t>
  </si>
  <si>
    <t>Khaled Ali Taiba</t>
  </si>
  <si>
    <t>(480) 246-7600</t>
  </si>
  <si>
    <t>ROC 345033</t>
  </si>
  <si>
    <t>C344</t>
  </si>
  <si>
    <t>Red Rock Air Heating &amp; Cooling LLC</t>
  </si>
  <si>
    <t>Chad Murphy</t>
  </si>
  <si>
    <t>(623) 581-7099</t>
  </si>
  <si>
    <t>chad@redrockair.com</t>
  </si>
  <si>
    <t>ROC 285257 R-39R</t>
  </si>
  <si>
    <t>C345</t>
  </si>
  <si>
    <t>Armstrong Plumbing</t>
  </si>
  <si>
    <t>Roger Allen Armstrong</t>
  </si>
  <si>
    <t>(602) 962-0888</t>
  </si>
  <si>
    <t>roger@armstrong-plumbing.com</t>
  </si>
  <si>
    <t>ROC 332580 CR-37</t>
  </si>
  <si>
    <t>C346</t>
  </si>
  <si>
    <t>Craig Plumbing Inc.</t>
  </si>
  <si>
    <t>Craig Michael Ainsworth</t>
  </si>
  <si>
    <t>(928) 453-7173</t>
  </si>
  <si>
    <t>ROC 366534 CR-37</t>
  </si>
  <si>
    <t>C347</t>
  </si>
  <si>
    <t>Master Rooter</t>
  </si>
  <si>
    <t>Zachary Michael Bowling</t>
  </si>
  <si>
    <t>(602) 661-7781</t>
  </si>
  <si>
    <t>ROC 329721</t>
  </si>
  <si>
    <t>C348</t>
  </si>
  <si>
    <t>A/C Experts</t>
  </si>
  <si>
    <t>Russ Ward</t>
  </si>
  <si>
    <t>(480) 386-6980</t>
  </si>
  <si>
    <t>russ@acexpertsaz.com</t>
  </si>
  <si>
    <t>ROC 323593 CR-39</t>
  </si>
  <si>
    <t>C349</t>
  </si>
  <si>
    <t>Jungle Cat Heating &amp; Cooling</t>
  </si>
  <si>
    <t>Matthew Jay Puett</t>
  </si>
  <si>
    <t>(928) 227-3228</t>
  </si>
  <si>
    <t>ROC 283575 R-39R</t>
  </si>
  <si>
    <t>C350</t>
  </si>
  <si>
    <t>All Season Plumbing And Air</t>
  </si>
  <si>
    <t>James Joseph Philo Jr</t>
  </si>
  <si>
    <t>(623) 304-8128</t>
  </si>
  <si>
    <t>Other locations: Glendale; Tempe | ROC 348428</t>
  </si>
  <si>
    <t>C351</t>
  </si>
  <si>
    <t>HilCo Air Conditioning &amp; Heating</t>
  </si>
  <si>
    <t>Brian Peter Mc Queen</t>
  </si>
  <si>
    <t>(623) 972-5195</t>
  </si>
  <si>
    <t>VERIFY: Apollo matched a different/parent org | ROC 237746 CR-39</t>
  </si>
  <si>
    <t>C352</t>
  </si>
  <si>
    <t>Asa Plumbing Phoenix</t>
  </si>
  <si>
    <t>Tzvi Asa</t>
  </si>
  <si>
    <t>(480) 796-4060</t>
  </si>
  <si>
    <t>tzvi@asaplumbingaz.com</t>
  </si>
  <si>
    <t>C353</t>
  </si>
  <si>
    <t>Neighborhood Plumber &amp; Drain Service</t>
  </si>
  <si>
    <t>Forrest Hendershot</t>
  </si>
  <si>
    <t>(602) 755-9098</t>
  </si>
  <si>
    <t>C354</t>
  </si>
  <si>
    <t>Stellar Plumbing</t>
  </si>
  <si>
    <t>Curtis Lee Stratman</t>
  </si>
  <si>
    <t>(928) 533-3446</t>
  </si>
  <si>
    <t>VERIFY: Apollo matched a different/parent org | ROC 336559 CR-37</t>
  </si>
  <si>
    <t>C355</t>
  </si>
  <si>
    <t>Falcon Air Conditioning</t>
  </si>
  <si>
    <t>Michael Scott Wright</t>
  </si>
  <si>
    <t>(480) 813-3613</t>
  </si>
  <si>
    <t>ROC 157820</t>
  </si>
  <si>
    <t>C356</t>
  </si>
  <si>
    <t>Monster Air &amp; Mechanical LLC</t>
  </si>
  <si>
    <t>christopher Robin SCOTT</t>
  </si>
  <si>
    <t>(602) 616-0127</t>
  </si>
  <si>
    <t>ROC 279696 CR-39</t>
  </si>
  <si>
    <t>C357</t>
  </si>
  <si>
    <t>Air Repair, Inc.</t>
  </si>
  <si>
    <t>Jeramie Moore</t>
  </si>
  <si>
    <t>(480) 204-5535</t>
  </si>
  <si>
    <t>jeramie@azairrepairinc.com</t>
  </si>
  <si>
    <t>ROC 299134 CR-39</t>
  </si>
  <si>
    <t>C358</t>
  </si>
  <si>
    <t>Apple Plumbing Services</t>
  </si>
  <si>
    <t>Randall L Vore</t>
  </si>
  <si>
    <t>(480) 664-8098</t>
  </si>
  <si>
    <t>randy@appleplumbingaz.com</t>
  </si>
  <si>
    <t>ROC 283837</t>
  </si>
  <si>
    <t>C359</t>
  </si>
  <si>
    <t>Platinum Air Heating &amp; Cooling, LLC</t>
  </si>
  <si>
    <t>Andrew C Rollins</t>
  </si>
  <si>
    <t>(520) 867-9861</t>
  </si>
  <si>
    <t>ROC 355439</t>
  </si>
  <si>
    <t>C360</t>
  </si>
  <si>
    <t>William's Air Conditioning &amp; Heating</t>
  </si>
  <si>
    <t>Timothy Williams</t>
  </si>
  <si>
    <t>(623) 250-2910</t>
  </si>
  <si>
    <t>Co-owners: Gordon Michael Verville | ROC 251244 CR-39</t>
  </si>
  <si>
    <t>C361</t>
  </si>
  <si>
    <t>Qual-Tech Air Conditioning and Heating</t>
  </si>
  <si>
    <t>Christian David Sanchez</t>
  </si>
  <si>
    <t>(623) 234-3608</t>
  </si>
  <si>
    <t>christian@qualtechachtg.com</t>
  </si>
  <si>
    <t>ROC 246700 R-39</t>
  </si>
  <si>
    <t>C362</t>
  </si>
  <si>
    <t>Mario Bros Heating &amp; Cooling</t>
  </si>
  <si>
    <t>Mario Rodriguez</t>
  </si>
  <si>
    <t>(623) 606-4647</t>
  </si>
  <si>
    <t>ROC 324190 CR-39</t>
  </si>
  <si>
    <t>C363</t>
  </si>
  <si>
    <t>AC Solutions Air Conditioning and Heating</t>
  </si>
  <si>
    <t>DAVID MARK ESTRADA</t>
  </si>
  <si>
    <t>(602) 788-0909</t>
  </si>
  <si>
    <t>ROC 203394 CR-39</t>
  </si>
  <si>
    <t>C364</t>
  </si>
  <si>
    <t>Fairway Cooling &amp; Heating LLC</t>
  </si>
  <si>
    <t>Julian Lorenzo Vargas</t>
  </si>
  <si>
    <t>Oro Valley</t>
  </si>
  <si>
    <t>(520) 328-8424</t>
  </si>
  <si>
    <t>ROC 316583 CR-39</t>
  </si>
  <si>
    <t>C365</t>
  </si>
  <si>
    <t>Pro Tech HVAC</t>
  </si>
  <si>
    <t>Carlos Hernandez Diaz</t>
  </si>
  <si>
    <t>(602) 471-9137</t>
  </si>
  <si>
    <t>ROC 331556 CR-39</t>
  </si>
  <si>
    <t>C366</t>
  </si>
  <si>
    <t>Pink Plumbing and Sewer</t>
  </si>
  <si>
    <t>Luis Antonio Hernandez</t>
  </si>
  <si>
    <t>(602) 562-5290</t>
  </si>
  <si>
    <t>ROC 299159 CR-37</t>
  </si>
  <si>
    <t>C367</t>
  </si>
  <si>
    <t>Mountain Comfort Heating &amp; Cooling, Inc.</t>
  </si>
  <si>
    <t>Charles Shumway</t>
  </si>
  <si>
    <t>(928) 537-4264</t>
  </si>
  <si>
    <t>ROC 356537 CR-39</t>
  </si>
  <si>
    <t>C368</t>
  </si>
  <si>
    <t>Nothing But Water Heaters</t>
  </si>
  <si>
    <t>David Joseph Leahy III</t>
  </si>
  <si>
    <t>(480) 953-2328</t>
  </si>
  <si>
    <t>ROC 352484 CR-37</t>
  </si>
  <si>
    <t>C369</t>
  </si>
  <si>
    <t>Cactus Plumbing &amp; Air</t>
  </si>
  <si>
    <t>(623) 294-2452</t>
  </si>
  <si>
    <t>ROC 336756</t>
  </si>
  <si>
    <t>C370</t>
  </si>
  <si>
    <t>Total Care Heating &amp; Cooling LLC</t>
  </si>
  <si>
    <t>Sammy Sayegh</t>
  </si>
  <si>
    <t>(602) 550-0722</t>
  </si>
  <si>
    <t>ROC 313935 CR-39</t>
  </si>
  <si>
    <t>C371</t>
  </si>
  <si>
    <t>Samons Air Conditioning</t>
  </si>
  <si>
    <t>Larry Dean Gibson</t>
  </si>
  <si>
    <t>(928) 880-2199</t>
  </si>
  <si>
    <t>ROC 277821 CR-39</t>
  </si>
  <si>
    <t>C372</t>
  </si>
  <si>
    <t>Competition Cooling and Heat</t>
  </si>
  <si>
    <t>Jason Eugene Rice</t>
  </si>
  <si>
    <t>(480) 309-9309</t>
  </si>
  <si>
    <t>ROC 304547 CR-39</t>
  </si>
  <si>
    <t>C373</t>
  </si>
  <si>
    <t>480 Mechanical LLC</t>
  </si>
  <si>
    <t>Dominic Rafael Golliher</t>
  </si>
  <si>
    <t>(480) 525-6900</t>
  </si>
  <si>
    <t>dominicg@480mechanical.com</t>
  </si>
  <si>
    <t>ROC 329506 CR-39</t>
  </si>
  <si>
    <t>C374</t>
  </si>
  <si>
    <t>Greenwood Air</t>
  </si>
  <si>
    <t>Stephen M Greenwood</t>
  </si>
  <si>
    <t>(602) 647-0121</t>
  </si>
  <si>
    <t>s-greenwood@newbury-college.ac.uk</t>
  </si>
  <si>
    <t>ROC 325882 CR-39</t>
  </si>
  <si>
    <t>C375</t>
  </si>
  <si>
    <t>McCabe Plumbing and Water Treatment</t>
  </si>
  <si>
    <t>Patrick Sean McCabe</t>
  </si>
  <si>
    <t>(480) 299-5203</t>
  </si>
  <si>
    <t>service@mccabeplumbingaz.com</t>
  </si>
  <si>
    <t>ROC 327011 CR-37</t>
  </si>
  <si>
    <t>C376</t>
  </si>
  <si>
    <t>Lenear Plumbing</t>
  </si>
  <si>
    <t>Braxton Adams</t>
  </si>
  <si>
    <t>(480) 915-4749</t>
  </si>
  <si>
    <t>ROC 340991 CR-37</t>
  </si>
  <si>
    <t>C377</t>
  </si>
  <si>
    <t>Barber Plumbing LLC</t>
  </si>
  <si>
    <t>David Allen Barber Jr</t>
  </si>
  <si>
    <t>(928) 369-8673</t>
  </si>
  <si>
    <t>ROC 279111 R-37R</t>
  </si>
  <si>
    <t>C378</t>
  </si>
  <si>
    <t>Campbell's A/C</t>
  </si>
  <si>
    <t>Brian Allen Campbell</t>
  </si>
  <si>
    <t>(928) 326-3709</t>
  </si>
  <si>
    <t>ROC 177188 CR-39</t>
  </si>
  <si>
    <t>C379</t>
  </si>
  <si>
    <t>Affordable Plumbing Solutions</t>
  </si>
  <si>
    <t>David Gene Lynch</t>
  </si>
  <si>
    <t>(928) 925-6541</t>
  </si>
  <si>
    <t>ROC 289160 CR-37</t>
  </si>
  <si>
    <t>C380</t>
  </si>
  <si>
    <t>Streamline Plumbing AZ</t>
  </si>
  <si>
    <t>Richard J Woyak Jr</t>
  </si>
  <si>
    <t>(480) 238-5000</t>
  </si>
  <si>
    <t>ROC 331518 R-37R</t>
  </si>
  <si>
    <t>C381</t>
  </si>
  <si>
    <t>AC and Plumbing Pro</t>
  </si>
  <si>
    <t>Samuel James Yingling</t>
  </si>
  <si>
    <t>(480) 865-5163</t>
  </si>
  <si>
    <t>ROC 350347 CR-39</t>
  </si>
  <si>
    <t>C382</t>
  </si>
  <si>
    <t>Polar Cooling</t>
  </si>
  <si>
    <t>James Andrew Reeder</t>
  </si>
  <si>
    <t>(928) 344-2632</t>
  </si>
  <si>
    <t>jreeder@polarcooling.net</t>
  </si>
  <si>
    <t>ROC 262294 R-39</t>
  </si>
  <si>
    <t>C383</t>
  </si>
  <si>
    <t>Sweet Dreams Plumbing</t>
  </si>
  <si>
    <t>Daniel J Cifelli</t>
  </si>
  <si>
    <t>(602) 463-9751</t>
  </si>
  <si>
    <t>ROC 320094</t>
  </si>
  <si>
    <t>C384</t>
  </si>
  <si>
    <t>EcoEnergy Solutions</t>
  </si>
  <si>
    <t>Fernando Zavala</t>
  </si>
  <si>
    <t>(928) 782-1011</t>
  </si>
  <si>
    <t>fernando@ecosolutionsusa.com</t>
  </si>
  <si>
    <t>ROC 337967 CR-39</t>
  </si>
  <si>
    <t>C385</t>
  </si>
  <si>
    <t>ServWorx Plumbing</t>
  </si>
  <si>
    <t>Cale McKay</t>
  </si>
  <si>
    <t>(480) 418-4727</t>
  </si>
  <si>
    <t>office@servworxplumbing.com</t>
  </si>
  <si>
    <t>ROC 340137 CR-37</t>
  </si>
  <si>
    <t>C386</t>
  </si>
  <si>
    <t>Omnia Plumbing</t>
  </si>
  <si>
    <t>Mikel Oka</t>
  </si>
  <si>
    <t>(480) 772-8342</t>
  </si>
  <si>
    <t>ROC 339178</t>
  </si>
  <si>
    <t>C387</t>
  </si>
  <si>
    <t>Best By Farr LLC</t>
  </si>
  <si>
    <t>Nicolas Edward Farr</t>
  </si>
  <si>
    <t>(928) 282-2250</t>
  </si>
  <si>
    <t>ROC 179570 CR-79</t>
  </si>
  <si>
    <t>C388</t>
  </si>
  <si>
    <t>Bisbee Plumbing LLC</t>
  </si>
  <si>
    <t>Emmanuel Lopez</t>
  </si>
  <si>
    <t>Bisbee</t>
  </si>
  <si>
    <t>(520) 367-3260</t>
  </si>
  <si>
    <t>ROC 229768 CR-37</t>
  </si>
  <si>
    <t>C389</t>
  </si>
  <si>
    <t>Just Plumbing</t>
  </si>
  <si>
    <t>(520) 876-5878</t>
  </si>
  <si>
    <t>ROC 221611</t>
  </si>
  <si>
    <t>C390</t>
  </si>
  <si>
    <t>New Era Plumbing</t>
  </si>
  <si>
    <t>Marcos Hernandez Flores</t>
  </si>
  <si>
    <t>(480) 440-6730</t>
  </si>
  <si>
    <t>ROC 356725 CR-39</t>
  </si>
  <si>
    <t>C391</t>
  </si>
  <si>
    <t>Quam Comfort Heating &amp; Cooling</t>
  </si>
  <si>
    <t>Stefan Peter Quam</t>
  </si>
  <si>
    <t>(480) 508-7443</t>
  </si>
  <si>
    <t>ROC 350008 CR-39</t>
  </si>
  <si>
    <t>C392</t>
  </si>
  <si>
    <t>Felix Appliance Heating &amp; Air</t>
  </si>
  <si>
    <t>Robert Felix</t>
  </si>
  <si>
    <t>(520) 201-3150</t>
  </si>
  <si>
    <t>robert@felixappliancerepair.net</t>
  </si>
  <si>
    <t>ROC 330229 CR-39</t>
  </si>
  <si>
    <t>C393</t>
  </si>
  <si>
    <t>AZBLUE Cooling &amp; Heating</t>
  </si>
  <si>
    <t>Diego Arizmendi</t>
  </si>
  <si>
    <t>(623) 414-0721</t>
  </si>
  <si>
    <t>Other locations: Avondale | ROC 344644 CR-39</t>
  </si>
  <si>
    <t>C394</t>
  </si>
  <si>
    <t>ER Heating &amp; Air Conditioning LLC</t>
  </si>
  <si>
    <t>Emanuel Cociorvan</t>
  </si>
  <si>
    <t>(602) 446-0608</t>
  </si>
  <si>
    <t>ROC 338319 CR-39</t>
  </si>
  <si>
    <t>C395</t>
  </si>
  <si>
    <t>Eagle Plumbing 1 LLC</t>
  </si>
  <si>
    <t>Robert D Balsiger</t>
  </si>
  <si>
    <t>Huachuca City</t>
  </si>
  <si>
    <t>(520) 720-4675</t>
  </si>
  <si>
    <t>ROC 340077 CR-37</t>
  </si>
  <si>
    <t>C396</t>
  </si>
  <si>
    <t>Tucson Plumbing and Drain</t>
  </si>
  <si>
    <t>Kevin Ghadiri Khamjani</t>
  </si>
  <si>
    <t>(520) 523-7377</t>
  </si>
  <si>
    <t>ROC 344964 R-37R</t>
  </si>
  <si>
    <t>C397</t>
  </si>
  <si>
    <t>R.E.D. Plumbing Inc.</t>
  </si>
  <si>
    <t>Russell Forrest Riggs</t>
  </si>
  <si>
    <t>Dewey</t>
  </si>
  <si>
    <t>(928) 772-9296</t>
  </si>
  <si>
    <t>ROC 188176 CR-77</t>
  </si>
  <si>
    <t>C398</t>
  </si>
  <si>
    <t>East Valley Air Conditioning Services LLC</t>
  </si>
  <si>
    <t>Kyle Dillon Gunville</t>
  </si>
  <si>
    <t>(602) 869-4275</t>
  </si>
  <si>
    <t>ROC 337370</t>
  </si>
  <si>
    <t>C399</t>
  </si>
  <si>
    <t>Your Plumber, Heating &amp; Air</t>
  </si>
  <si>
    <t>Matthew Scott Field</t>
  </si>
  <si>
    <t>(928) 774-1015</t>
  </si>
  <si>
    <t>ROC 336900 CR-37</t>
  </si>
  <si>
    <t>C400</t>
  </si>
  <si>
    <t>Hero AC &amp; Heat llc</t>
  </si>
  <si>
    <t>Samuel Lara</t>
  </si>
  <si>
    <t>(520) 518-0754</t>
  </si>
  <si>
    <t>ROC 338116 CR-39</t>
  </si>
  <si>
    <t>C401</t>
  </si>
  <si>
    <t>NE Mechanical LLC</t>
  </si>
  <si>
    <t>nabeel yolyos danial</t>
  </si>
  <si>
    <t>(623) 332-0295</t>
  </si>
  <si>
    <t>ROC 333762 CR-39</t>
  </si>
  <si>
    <t>C402</t>
  </si>
  <si>
    <t>DC Family Plumbing</t>
  </si>
  <si>
    <t>Devon James Carr</t>
  </si>
  <si>
    <t>(480) 300-4791</t>
  </si>
  <si>
    <t>devon@dcfamilyplumbing.com</t>
  </si>
  <si>
    <t>ROC 324833 CR-37</t>
  </si>
  <si>
    <t>C403</t>
  </si>
  <si>
    <t>Freedom Plumbing Services</t>
  </si>
  <si>
    <t>Jon Eric Swartz</t>
  </si>
  <si>
    <t>(928) 235-2101</t>
  </si>
  <si>
    <t>contact@freedomplumbingservicesaz.com</t>
  </si>
  <si>
    <t>ROC 354363 CR-37</t>
  </si>
  <si>
    <t>C404</t>
  </si>
  <si>
    <t>American Plumbing and Rooter</t>
  </si>
  <si>
    <t>Richard Tomaszewski III</t>
  </si>
  <si>
    <t>(480) 888-5213</t>
  </si>
  <si>
    <t>ROC 312836 CR-37</t>
  </si>
  <si>
    <t>C405</t>
  </si>
  <si>
    <t>Sunshine Air Conditioning Inc.</t>
  </si>
  <si>
    <t>Robert Anthony Koerber</t>
  </si>
  <si>
    <t>(928) 680-3338</t>
  </si>
  <si>
    <t>tredman@sunshineac.com</t>
  </si>
  <si>
    <t>ROC 308019 CR-39</t>
  </si>
  <si>
    <t>C406</t>
  </si>
  <si>
    <t>bluefrog Plumbing and Drain of Gilbert</t>
  </si>
  <si>
    <t>Jesse D Brown</t>
  </si>
  <si>
    <t>(480) 757-6295</t>
  </si>
  <si>
    <t>ROC 354208 CR-37</t>
  </si>
  <si>
    <t>C407</t>
  </si>
  <si>
    <t>AC Medics Hvac/Plumbing</t>
  </si>
  <si>
    <t>Cesar Muñoz</t>
  </si>
  <si>
    <t>(623) 266-2660</t>
  </si>
  <si>
    <t>ROC 349678 CR-39</t>
  </si>
  <si>
    <t>C408</t>
  </si>
  <si>
    <t>Burnett's Plumbing</t>
  </si>
  <si>
    <t>Tommy John Burnett</t>
  </si>
  <si>
    <t>(602) 472-1007</t>
  </si>
  <si>
    <t>ROC 345309 CR-37</t>
  </si>
  <si>
    <t>C409</t>
  </si>
  <si>
    <t>Cooling Specialists</t>
  </si>
  <si>
    <t>(480) 452-8604</t>
  </si>
  <si>
    <t>C410</t>
  </si>
  <si>
    <t>Roto-Rooter Plumbing and Drain Service</t>
  </si>
  <si>
    <t>Kevin Robert Fix</t>
  </si>
  <si>
    <t>(928) 264-6206</t>
  </si>
  <si>
    <t>ROC 159873 CR-37</t>
  </si>
  <si>
    <t>C411</t>
  </si>
  <si>
    <t>Aurora Plumbing &amp; Mechanical, LLC</t>
  </si>
  <si>
    <t>David Michael Danberg</t>
  </si>
  <si>
    <t>(623) 234-4496</t>
  </si>
  <si>
    <t>ROC 311936 CR-37</t>
  </si>
  <si>
    <t>C412</t>
  </si>
  <si>
    <t>Sun Valley Air Conditioning &amp; Heating</t>
  </si>
  <si>
    <t>Ralph Anthony LaMorte</t>
  </si>
  <si>
    <t>(480) 565-7408</t>
  </si>
  <si>
    <t>Co-owners: Darrin Lee Maneth; Taylor Jon Bullock; Frank William Rye; Daniel John Seckler | ROC 211064 CR-37</t>
  </si>
  <si>
    <t>C413</t>
  </si>
  <si>
    <t>Berg's Heating &amp; Air Conditioning Co.</t>
  </si>
  <si>
    <t>Richard Steven Berg</t>
  </si>
  <si>
    <t>(520) 612-1281</t>
  </si>
  <si>
    <t>Co-owners: Tyler Richard Johnston | ROC 70024 C-39</t>
  </si>
  <si>
    <t>C414</t>
  </si>
  <si>
    <t>Alpha-Plumbing Services</t>
  </si>
  <si>
    <t>David Allen Wasserman Jr</t>
  </si>
  <si>
    <t>(623) 734-7465</t>
  </si>
  <si>
    <t>ROC 345448 CR-37</t>
  </si>
  <si>
    <t>C415</t>
  </si>
  <si>
    <t>Air Time</t>
  </si>
  <si>
    <t>(928) 299-3741</t>
  </si>
  <si>
    <t>C416</t>
  </si>
  <si>
    <t>Qualified Comfort Air Conditioning and Heating</t>
  </si>
  <si>
    <t>Derek Patrick Coleman</t>
  </si>
  <si>
    <t>(520) 236-0585</t>
  </si>
  <si>
    <t>ROC 322381 CR-39</t>
  </si>
  <si>
    <t>C417</t>
  </si>
  <si>
    <t>S3 Plumbing</t>
  </si>
  <si>
    <t>Sultan Alwahabi</t>
  </si>
  <si>
    <t>(480) 332-3591</t>
  </si>
  <si>
    <t>ROC 340552</t>
  </si>
  <si>
    <t>C418</t>
  </si>
  <si>
    <t>Hub Heating and Cooling</t>
  </si>
  <si>
    <t>Todd Alder Arnell</t>
  </si>
  <si>
    <t>(480) 999-6848</t>
  </si>
  <si>
    <t>todd@hubhvac.com</t>
  </si>
  <si>
    <t>ROC 319984 CR-39</t>
  </si>
  <si>
    <t>C419</t>
  </si>
  <si>
    <t>Eco Solutions HVAC</t>
  </si>
  <si>
    <t>Scott Joseph Martindale</t>
  </si>
  <si>
    <t>Marana</t>
  </si>
  <si>
    <t>(520) 488-4713</t>
  </si>
  <si>
    <t>ROC 350807 CR-39</t>
  </si>
  <si>
    <t>C420</t>
  </si>
  <si>
    <t>Ufirst Heating &amp; Cooling</t>
  </si>
  <si>
    <t>Juan C Morales</t>
  </si>
  <si>
    <t>(623) 259-4917</t>
  </si>
  <si>
    <t>juanmorales@ufirstservice.com</t>
  </si>
  <si>
    <t>ROC 244760 CR-39</t>
  </si>
  <si>
    <t>C421</t>
  </si>
  <si>
    <t>Alphabet Plumbing &amp; Rooter Inc</t>
  </si>
  <si>
    <t>Elijah A Wherley</t>
  </si>
  <si>
    <t>(928) 778-3772</t>
  </si>
  <si>
    <t>ROC 225063 C-37</t>
  </si>
  <si>
    <t>C422</t>
  </si>
  <si>
    <t>Roadrunner Plumber</t>
  </si>
  <si>
    <t>Chad Garrett Beekman</t>
  </si>
  <si>
    <t>(602) 579-7612</t>
  </si>
  <si>
    <t>chad@roadrunnerplumber.com</t>
  </si>
  <si>
    <t>ROC 333364 CR-37</t>
  </si>
  <si>
    <t>C423</t>
  </si>
  <si>
    <t>Ocean Plumbing LLC</t>
  </si>
  <si>
    <t>Jordan Stefanov Georgiev</t>
  </si>
  <si>
    <t>(602) 755-3860</t>
  </si>
  <si>
    <t>oceanplumbing@oceanplumbingaz.com</t>
  </si>
  <si>
    <t>ROC 340664</t>
  </si>
  <si>
    <t>C424</t>
  </si>
  <si>
    <t>Huffman's Heating &amp; Cooling LLC</t>
  </si>
  <si>
    <t>Andrew Lee Huffman</t>
  </si>
  <si>
    <t>(623) 606-1145</t>
  </si>
  <si>
    <t>Other locations: Surprise | ROC 332353 CR-39</t>
  </si>
  <si>
    <t>C425</t>
  </si>
  <si>
    <t>Dinosaur Plumbing</t>
  </si>
  <si>
    <t>Robert Vito Scirica II</t>
  </si>
  <si>
    <t>(520) 955-7700</t>
  </si>
  <si>
    <t>ROC 301454 CR-37</t>
  </si>
  <si>
    <t>C426</t>
  </si>
  <si>
    <t>M&amp;R Refrigeration - AC Repair</t>
  </si>
  <si>
    <t>Matthew Coxe</t>
  </si>
  <si>
    <t>(602) 703-6125</t>
  </si>
  <si>
    <t>C427</t>
  </si>
  <si>
    <t>Mountain Vista Plumbing llc</t>
  </si>
  <si>
    <t>Nicholas Kevin Santee</t>
  </si>
  <si>
    <t>(480) 847-9769</t>
  </si>
  <si>
    <t>ROC 338787</t>
  </si>
  <si>
    <t>C428</t>
  </si>
  <si>
    <t>Verde Plumbing Co. LLC</t>
  </si>
  <si>
    <t>Dennis Lee Green</t>
  </si>
  <si>
    <t>(480) 665-2205</t>
  </si>
  <si>
    <t>verdeplumbingcollc@gmail.com</t>
  </si>
  <si>
    <t>ROC 334366 R-37R</t>
  </si>
  <si>
    <t>C429</t>
  </si>
  <si>
    <t>Platinum Services Plumbing</t>
  </si>
  <si>
    <t>(480) 246-9330</t>
  </si>
  <si>
    <t>C430</t>
  </si>
  <si>
    <t>Always Plumbing, LLC</t>
  </si>
  <si>
    <t>Shawn William Henry</t>
  </si>
  <si>
    <t>(480) 658-0066</t>
  </si>
  <si>
    <t>ROC 343405</t>
  </si>
  <si>
    <t>C431</t>
  </si>
  <si>
    <t>Sun Air Services</t>
  </si>
  <si>
    <t>Jeffery Scott Dubek</t>
  </si>
  <si>
    <t>(480) 543-9565</t>
  </si>
  <si>
    <t>ROC 339311 CR-39</t>
  </si>
  <si>
    <t>C432</t>
  </si>
  <si>
    <t>Payson Plumbing Solutions</t>
  </si>
  <si>
    <t>Caleb Shad Wood</t>
  </si>
  <si>
    <t>(928) 595-0772</t>
  </si>
  <si>
    <t>ROC 329521 CR-37</t>
  </si>
  <si>
    <t>C433</t>
  </si>
  <si>
    <t>Hometown Plumbing Pros</t>
  </si>
  <si>
    <t>Nicholas Winfield Pratt</t>
  </si>
  <si>
    <t>(623) 294-9002</t>
  </si>
  <si>
    <t>nicholas@hometownplumbingpros.com</t>
  </si>
  <si>
    <t>ROC 357087 CR-37</t>
  </si>
  <si>
    <t>C434</t>
  </si>
  <si>
    <t>Roto-Rooter Plumbing Drain Services</t>
  </si>
  <si>
    <t>(520) 747-0600</t>
  </si>
  <si>
    <t>VERIFY: size data looks like parent/franchise org | ROC 159873 CR-37</t>
  </si>
  <si>
    <t>C435</t>
  </si>
  <si>
    <t>Sierra Vista Plumbing, Inc.</t>
  </si>
  <si>
    <t>Jared Harrison Struse</t>
  </si>
  <si>
    <t>(520) 417-2105</t>
  </si>
  <si>
    <t>ROC 235334 CR-39</t>
  </si>
  <si>
    <t>C436</t>
  </si>
  <si>
    <t>Garrett Plumbing Inc.</t>
  </si>
  <si>
    <t>David M Garrett</t>
  </si>
  <si>
    <t>(480) 988-1133</t>
  </si>
  <si>
    <t>dave@garrettplumbingaz.com</t>
  </si>
  <si>
    <t>ROC 159620 CR-37</t>
  </si>
  <si>
    <t>C437</t>
  </si>
  <si>
    <t>Mountain High Plumbing Inc</t>
  </si>
  <si>
    <t>James Armand Velez</t>
  </si>
  <si>
    <t>(928) 774-3593</t>
  </si>
  <si>
    <t>ROC 153084 CR-37</t>
  </si>
  <si>
    <t>C438</t>
  </si>
  <si>
    <t>Antrim Air</t>
  </si>
  <si>
    <t>Anthony Dale Gilmore</t>
  </si>
  <si>
    <t>(480) 664-6575</t>
  </si>
  <si>
    <t>agilmore@antrimair.com</t>
  </si>
  <si>
    <t>ROC 272807 CR-39</t>
  </si>
  <si>
    <t>C439</t>
  </si>
  <si>
    <t>Air Flow Air Conditioning &amp; Refrigeration</t>
  </si>
  <si>
    <t>Aron Kauffman Kauffman</t>
  </si>
  <si>
    <t>(602) 245-3000</t>
  </si>
  <si>
    <t>aron@airflowaz.com</t>
  </si>
  <si>
    <t>ROC 303601 CR-39</t>
  </si>
  <si>
    <t>C440</t>
  </si>
  <si>
    <t>Ultimate Comfort HVAC LLC</t>
  </si>
  <si>
    <t>Christopher M Harper</t>
  </si>
  <si>
    <t>(520) 350-4104</t>
  </si>
  <si>
    <t>ROC 318376 CR-39</t>
  </si>
  <si>
    <t>C441</t>
  </si>
  <si>
    <t>Taylor Air Conditioning and Heating</t>
  </si>
  <si>
    <t>Joshua Scott Obermueller</t>
  </si>
  <si>
    <t>(520) 366-6041</t>
  </si>
  <si>
    <t>ROC 328879 CR-39</t>
  </si>
  <si>
    <t>C442</t>
  </si>
  <si>
    <t>Advanced Plumbing Solutions LLC</t>
  </si>
  <si>
    <t>Patrick Ga</t>
  </si>
  <si>
    <t>(928) 502-1522</t>
  </si>
  <si>
    <t>ROC 338188 CR-37</t>
  </si>
  <si>
    <t>C443</t>
  </si>
  <si>
    <t>PerfectTemp Heating &amp; Cooling</t>
  </si>
  <si>
    <t>chris Ethan buchanan</t>
  </si>
  <si>
    <t>(623) 400-6486</t>
  </si>
  <si>
    <t>ROC 266281 CR-39</t>
  </si>
  <si>
    <t>C444</t>
  </si>
  <si>
    <t>Elijah Air LLC heating and cooling</t>
  </si>
  <si>
    <t>Jesus Perez</t>
  </si>
  <si>
    <t>(623) 235-6916</t>
  </si>
  <si>
    <t>ROC 320176 R-39R</t>
  </si>
  <si>
    <t>C445</t>
  </si>
  <si>
    <t>That1Plumber LLC</t>
  </si>
  <si>
    <t>Isaac A Jimenez</t>
  </si>
  <si>
    <t>(928) 504-1081</t>
  </si>
  <si>
    <t>isaac.jimenez@that1plumberllc.com</t>
  </si>
  <si>
    <t>ROC 359262 CR-37</t>
  </si>
  <si>
    <t>C446</t>
  </si>
  <si>
    <t>Salt River Air</t>
  </si>
  <si>
    <t>Alberto Velazquez Celis</t>
  </si>
  <si>
    <t>(480) 201-4942</t>
  </si>
  <si>
    <t>ROC 334859 CR-39</t>
  </si>
  <si>
    <t>C447</t>
  </si>
  <si>
    <t>D R Plumbing Heating &amp; Cooling</t>
  </si>
  <si>
    <t>Don Michael Romero</t>
  </si>
  <si>
    <t>(928) 532-3278</t>
  </si>
  <si>
    <t>ROC 292442 CR-39</t>
  </si>
  <si>
    <t>C448</t>
  </si>
  <si>
    <t>Total Plumbing &amp; Drain</t>
  </si>
  <si>
    <t>Damon Meredith</t>
  </si>
  <si>
    <t>(480) 915-3968</t>
  </si>
  <si>
    <t>ROC 363625</t>
  </si>
  <si>
    <t>C449</t>
  </si>
  <si>
    <t>Mission Plumbing LLC</t>
  </si>
  <si>
    <t>Jorge Tirado</t>
  </si>
  <si>
    <t>Somerton</t>
  </si>
  <si>
    <t>(928) 722-5800</t>
  </si>
  <si>
    <t>missionplumbing@gmail.com</t>
  </si>
  <si>
    <t>ROC 214245 CR-37</t>
  </si>
  <si>
    <t>C450</t>
  </si>
  <si>
    <t>Moreno’s Premium Plumbing LLC</t>
  </si>
  <si>
    <t>Jared Moreno</t>
  </si>
  <si>
    <t>Florence</t>
  </si>
  <si>
    <t>(480) 399-1678</t>
  </si>
  <si>
    <t>ROC 354933 CR-37</t>
  </si>
  <si>
    <t>C451</t>
  </si>
  <si>
    <t>Rainwater Plumbing and HVAC</t>
  </si>
  <si>
    <t>Monte Dean Rossi</t>
  </si>
  <si>
    <t>(480) 577-7748</t>
  </si>
  <si>
    <t>Co-owners: Ben Escalante Mavis | ROC 339739 CR-37</t>
  </si>
  <si>
    <t>C452</t>
  </si>
  <si>
    <t>Action Air Conditioning</t>
  </si>
  <si>
    <t>Casey Harrison</t>
  </si>
  <si>
    <t>(480) 651-4002</t>
  </si>
  <si>
    <t>ROC 339126</t>
  </si>
  <si>
    <t>C453</t>
  </si>
  <si>
    <t>Franks Air Conditioning &amp; Heating, Inc</t>
  </si>
  <si>
    <t>Frank Mario Martinez</t>
  </si>
  <si>
    <t>(928) 783-3648</t>
  </si>
  <si>
    <t>Co-owners: Frank David Cereska; Francisco Carlos Corral | ROC 194591 CR-39</t>
  </si>
  <si>
    <t>C454</t>
  </si>
  <si>
    <t>DeModica Air Conditioning</t>
  </si>
  <si>
    <t>Johnathan Hunter DeModica</t>
  </si>
  <si>
    <t>(480) 599-1067</t>
  </si>
  <si>
    <t>ROC 341665</t>
  </si>
  <si>
    <t>C455</t>
  </si>
  <si>
    <t>Milo's Plumbing</t>
  </si>
  <si>
    <t>Luis Ismael Chavez</t>
  </si>
  <si>
    <t>(928) 941-3112</t>
  </si>
  <si>
    <t>luischavez@milosplumbingllc.com</t>
  </si>
  <si>
    <t>ROC 240719 CR-37</t>
  </si>
  <si>
    <t>C456</t>
  </si>
  <si>
    <t>Estrella Mountain Plumbing LLC</t>
  </si>
  <si>
    <t>Tommy Jason Barba</t>
  </si>
  <si>
    <t>(623) 221-7922</t>
  </si>
  <si>
    <t>tommy@estrellamountainplumbing.com</t>
  </si>
  <si>
    <t>ROC 280905 R-37</t>
  </si>
  <si>
    <t>C457</t>
  </si>
  <si>
    <t>Hot Solutions HVAC</t>
  </si>
  <si>
    <t>David Joseph Schaefer</t>
  </si>
  <si>
    <t>(928) 302-6474</t>
  </si>
  <si>
    <t>ROC 344388 CR-39</t>
  </si>
  <si>
    <t>C458</t>
  </si>
  <si>
    <t>Scott's A/C &amp; Heating LLC</t>
  </si>
  <si>
    <t>Scott Dunlap</t>
  </si>
  <si>
    <t>(520) 723-5109</t>
  </si>
  <si>
    <t>ROC 321358 CR-39</t>
  </si>
  <si>
    <t>C459</t>
  </si>
  <si>
    <t>Arizona Elite Plumbing</t>
  </si>
  <si>
    <t>Kenneth Bernard Wujcik</t>
  </si>
  <si>
    <t>(520) 396-3937</t>
  </si>
  <si>
    <t>ken@arizonaeliteplumbing.com</t>
  </si>
  <si>
    <t>ROC 274356 CR-37</t>
  </si>
  <si>
    <t>C460</t>
  </si>
  <si>
    <t>Impact Plumbing</t>
  </si>
  <si>
    <t>Carlos Armando Valenzuela</t>
  </si>
  <si>
    <t>(623) 330-0858</t>
  </si>
  <si>
    <t>ROC 306050 CR-37</t>
  </si>
  <si>
    <t>C461</t>
  </si>
  <si>
    <t>Roy Dossey Plumbing</t>
  </si>
  <si>
    <t>Roy Edward Dossey</t>
  </si>
  <si>
    <t>(480) 963-3302</t>
  </si>
  <si>
    <t>cathi@roydosseyplumbing.com</t>
  </si>
  <si>
    <t>ROC 60375 R-37R</t>
  </si>
  <si>
    <t>C462</t>
  </si>
  <si>
    <t>Action Plumbing</t>
  </si>
  <si>
    <t>(928) 367-1626</t>
  </si>
  <si>
    <t>C463</t>
  </si>
  <si>
    <t>Equi-Tech Mechanical Air Conditioning &amp; Heating</t>
  </si>
  <si>
    <t>Donald Andrew Hoch Jr</t>
  </si>
  <si>
    <t>(480) 983-4979</t>
  </si>
  <si>
    <t>Other locations: Mesa | ROC 91457 R-39</t>
  </si>
  <si>
    <t>C464</t>
  </si>
  <si>
    <t>Edge Plumbing</t>
  </si>
  <si>
    <t>Michael Dean Luke</t>
  </si>
  <si>
    <t>(623) 208-1668</t>
  </si>
  <si>
    <t>ROC 356513 CR-37</t>
  </si>
  <si>
    <t>C465</t>
  </si>
  <si>
    <t>Four Seazons Heating and Cooling</t>
  </si>
  <si>
    <t>Jason Joseph Terenti</t>
  </si>
  <si>
    <t>(928) 486-3012</t>
  </si>
  <si>
    <t>ROC 356726 CR-39</t>
  </si>
  <si>
    <t>C466</t>
  </si>
  <si>
    <t>Dewey's Plumbing</t>
  </si>
  <si>
    <t>Christopher Lawrence Spannagel</t>
  </si>
  <si>
    <t>(928) 301-8798</t>
  </si>
  <si>
    <t>ROC 301690 CR-77</t>
  </si>
  <si>
    <t>C467</t>
  </si>
  <si>
    <t>Royal Plumbing &amp; Rooter Services</t>
  </si>
  <si>
    <t>Joel Jeshua Flores</t>
  </si>
  <si>
    <t>(928) 526-3659</t>
  </si>
  <si>
    <t>ROC 363743 CR-37</t>
  </si>
  <si>
    <t>C468</t>
  </si>
  <si>
    <t>Iron Horse Plumbing &amp; Air</t>
  </si>
  <si>
    <t>Jerry David Crumb</t>
  </si>
  <si>
    <t>(480) 808-9990</t>
  </si>
  <si>
    <t>Co-owners: Jeremy John Thompson | ROC 360562 CR-37</t>
  </si>
  <si>
    <t>C469</t>
  </si>
  <si>
    <t>The Weatherman A/C and Heating LLC</t>
  </si>
  <si>
    <t>Kyle William Woodward</t>
  </si>
  <si>
    <t>(928) 486-9945</t>
  </si>
  <si>
    <t>ROC 295310 CR-39</t>
  </si>
  <si>
    <t>C470</t>
  </si>
  <si>
    <t>Royal Mechanical Services LLC.</t>
  </si>
  <si>
    <t>John Paul Arteaga</t>
  </si>
  <si>
    <t>(602) 350-6137</t>
  </si>
  <si>
    <t>jarteaga@royalmechaz.com</t>
  </si>
  <si>
    <t>ROC 333918 CR-39</t>
  </si>
  <si>
    <t>C471</t>
  </si>
  <si>
    <t>J D'Uva Services Plumbing, Inc.</t>
  </si>
  <si>
    <t>Joseph Randal D'Uva</t>
  </si>
  <si>
    <t>(928) 505-1751</t>
  </si>
  <si>
    <t>Co-owners: Barry Carles Carles | ROC 217913 CR-37</t>
  </si>
  <si>
    <t>C472</t>
  </si>
  <si>
    <t>Cares Home Services Corp</t>
  </si>
  <si>
    <t>Jacob Middleton</t>
  </si>
  <si>
    <t>(520) 780-0103</t>
  </si>
  <si>
    <t>ROC 333265 R-39R</t>
  </si>
  <si>
    <t>C473</t>
  </si>
  <si>
    <t>Kooltech Refrigeration LLC</t>
  </si>
  <si>
    <t>Eduardo Barajas</t>
  </si>
  <si>
    <t>(928) 503-1818</t>
  </si>
  <si>
    <t>ROC 341970 CR-39</t>
  </si>
  <si>
    <t>C474</t>
  </si>
  <si>
    <t>Dalton's AC Heating &amp; Refrigeration</t>
  </si>
  <si>
    <t>Jonathon Charles Dalton</t>
  </si>
  <si>
    <t>(928) 567-7171</t>
  </si>
  <si>
    <t>office@daltonac.net</t>
  </si>
  <si>
    <t>ROC 251979 CR-39</t>
  </si>
  <si>
    <t>C475</t>
  </si>
  <si>
    <t>San Tan Air</t>
  </si>
  <si>
    <t>Christopher Rathmann</t>
  </si>
  <si>
    <t>(602) 885-1560</t>
  </si>
  <si>
    <t>ROC 291061 CR-39</t>
  </si>
  <si>
    <t>C476</t>
  </si>
  <si>
    <t>West Valley Plumbing LLC</t>
  </si>
  <si>
    <t>Ritesh Prasad</t>
  </si>
  <si>
    <t>(623) 471-5700</t>
  </si>
  <si>
    <t>ROC 326551 CR-37</t>
  </si>
  <si>
    <t>C477</t>
  </si>
  <si>
    <t>Trio Quality Service -Heating &amp; Air Conditioning, Plumbing</t>
  </si>
  <si>
    <t>Danny Duke Chatter</t>
  </si>
  <si>
    <t>(928) 451-5662</t>
  </si>
  <si>
    <t>info@trioqualityservice.com</t>
  </si>
  <si>
    <t>ROC 330163 CR-39</t>
  </si>
  <si>
    <t>C478</t>
  </si>
  <si>
    <t>Wild West Mechanical Heating and Cooling</t>
  </si>
  <si>
    <t>Mark Anthony Silva</t>
  </si>
  <si>
    <t>(928) 451-1234</t>
  </si>
  <si>
    <t>Co-owners: Bonnie Frances Pyles; Cody Petersen | ROC 325341 CR-39</t>
  </si>
  <si>
    <t>C479</t>
  </si>
  <si>
    <t>Sapphire Plumbing Company LLC</t>
  </si>
  <si>
    <t>Carlos Julian Ortiz Pacheco</t>
  </si>
  <si>
    <t>(520) 369-8892</t>
  </si>
  <si>
    <t>ROC 361896 R-37R</t>
  </si>
  <si>
    <t>C480</t>
  </si>
  <si>
    <t>Nauman Brothers Heating &amp; Cooling</t>
  </si>
  <si>
    <t>Jeremy Lee Nauman</t>
  </si>
  <si>
    <t>(480) 665-6224</t>
  </si>
  <si>
    <t>ROC 343110 CR-39</t>
  </si>
  <si>
    <t>C481</t>
  </si>
  <si>
    <t>Integrity Plumbing Solutions</t>
  </si>
  <si>
    <t>William Lee Romero</t>
  </si>
  <si>
    <t>(520) 280-4132</t>
  </si>
  <si>
    <t>ROC 358871 R-37R</t>
  </si>
  <si>
    <t>C482</t>
  </si>
  <si>
    <t>Gonzales Plumbing Repair LLC</t>
  </si>
  <si>
    <t>Isidro Ralph Gonzales</t>
  </si>
  <si>
    <t>(480) 284-6669</t>
  </si>
  <si>
    <t>ROC 351206 CR-37</t>
  </si>
  <si>
    <t>C483</t>
  </si>
  <si>
    <t>Werx Plumbing and Air</t>
  </si>
  <si>
    <t>Keven Estrada</t>
  </si>
  <si>
    <t>(602) 499-1791</t>
  </si>
  <si>
    <t>kevene@werxplumbingandair.com</t>
  </si>
  <si>
    <t>ROC 356643 CR-37</t>
  </si>
  <si>
    <t>C484</t>
  </si>
  <si>
    <t>Pruitt's Plumbing, LLC</t>
  </si>
  <si>
    <t>Mike Patrick Pruitt</t>
  </si>
  <si>
    <t>(928) 854-8777</t>
  </si>
  <si>
    <t>mike.p@pruittsplumbingllc.com</t>
  </si>
  <si>
    <t>ROC 198225 R-37</t>
  </si>
  <si>
    <t>C485</t>
  </si>
  <si>
    <t>JC's Plumbing</t>
  </si>
  <si>
    <t>Jeremiah C Crespo</t>
  </si>
  <si>
    <t>(928) 301-7326</t>
  </si>
  <si>
    <t>ROC 339181 CR-37</t>
  </si>
  <si>
    <t>C486</t>
  </si>
  <si>
    <t>City Plumbing and Rooter Az LlC</t>
  </si>
  <si>
    <t>Paul Abraham Belcher III</t>
  </si>
  <si>
    <t>(833) 747-3973</t>
  </si>
  <si>
    <t>ROC 362148 CR-37</t>
  </si>
  <si>
    <t>C487</t>
  </si>
  <si>
    <t>Tucson Plumbing Solutions</t>
  </si>
  <si>
    <t>Leonard Dean Nahrgang</t>
  </si>
  <si>
    <t>(520) 367-4744</t>
  </si>
  <si>
    <t>ROC 343014 CR-37</t>
  </si>
  <si>
    <t>C488</t>
  </si>
  <si>
    <t>Due-All Air Conditioning &amp; Heating</t>
  </si>
  <si>
    <t>Winston Lee Owens II</t>
  </si>
  <si>
    <t>(480) 988-0070</t>
  </si>
  <si>
    <t>ROC 140358 CR-39</t>
  </si>
  <si>
    <t>C489</t>
  </si>
  <si>
    <t>Legacy Plumbing Solutions LLC</t>
  </si>
  <si>
    <t>Wikus Hattingh</t>
  </si>
  <si>
    <t>(602) 559-1095</t>
  </si>
  <si>
    <t>ROC 360572 CR-37</t>
  </si>
  <si>
    <t>C490</t>
  </si>
  <si>
    <t>All Affordable Plumbing, Restoration, and Air Conditioning</t>
  </si>
  <si>
    <t>John Wesley Close III</t>
  </si>
  <si>
    <t>(928) 329-1048</t>
  </si>
  <si>
    <t>ROC 331111 CR-39</t>
  </si>
  <si>
    <t>C491</t>
  </si>
  <si>
    <t>Rescue Plumbing Services</t>
  </si>
  <si>
    <t>Enrique Marcos Cardenas</t>
  </si>
  <si>
    <t>(480) 286-5372</t>
  </si>
  <si>
    <t>ROC 333354 CR-37</t>
  </si>
  <si>
    <t>C492</t>
  </si>
  <si>
    <t>American Air Solutions</t>
  </si>
  <si>
    <t>David DeSplinter</t>
  </si>
  <si>
    <t>(520) 559-6484</t>
  </si>
  <si>
    <t>ROC 335260 CR-39</t>
  </si>
  <si>
    <t>C493</t>
  </si>
  <si>
    <t>Air Quality of Kingman Inc</t>
  </si>
  <si>
    <t>Alan Christophe Behrends</t>
  </si>
  <si>
    <t>(928) 753-9192</t>
  </si>
  <si>
    <t>ROC 183056 CR-39</t>
  </si>
  <si>
    <t>C494</t>
  </si>
  <si>
    <t>Lomeli Air Heating and Cooling</t>
  </si>
  <si>
    <t>Luis Antonio Lomeli</t>
  </si>
  <si>
    <t>(602) 586-0088</t>
  </si>
  <si>
    <t>ROC 335050 CR-39</t>
  </si>
  <si>
    <t>C495</t>
  </si>
  <si>
    <t>AAM Plumbing Services LLC</t>
  </si>
  <si>
    <t>Janifa BEGUM Ali</t>
  </si>
  <si>
    <t>(520) 316-6732</t>
  </si>
  <si>
    <t>ROC 272547 CR-37</t>
  </si>
  <si>
    <t>C496</t>
  </si>
  <si>
    <t>Cool Beans Heating and Air</t>
  </si>
  <si>
    <t>KENDALL JAMES WOOD</t>
  </si>
  <si>
    <t>(480) 648-0325</t>
  </si>
  <si>
    <t>ROC 362603 CR-39</t>
  </si>
  <si>
    <t>C497</t>
  </si>
  <si>
    <t>Tortoise Heating and Air</t>
  </si>
  <si>
    <t>Kyle Wade Ransom</t>
  </si>
  <si>
    <t>(480) 670-2558</t>
  </si>
  <si>
    <t>ROC 347713 CR-39</t>
  </si>
  <si>
    <t>C498</t>
  </si>
  <si>
    <t>C2 Heating &amp; Air Conditioning</t>
  </si>
  <si>
    <t>Colton Chamberlain Chamberlain</t>
  </si>
  <si>
    <t>(928) 566-5343</t>
  </si>
  <si>
    <t>ROC 347420 CR-39</t>
  </si>
  <si>
    <t>C499</t>
  </si>
  <si>
    <t>Saguaro Air Solutions LLC</t>
  </si>
  <si>
    <t>Jesus Galaz Jr</t>
  </si>
  <si>
    <t>(520) 699-4237</t>
  </si>
  <si>
    <t>VERIFY: Apollo matched a different/parent org | ROC 346030 CR-39</t>
  </si>
  <si>
    <t>C500</t>
  </si>
  <si>
    <t>By choice heating and air</t>
  </si>
  <si>
    <t>kevin Dale Cox Jr</t>
  </si>
  <si>
    <t>(928) 278-0262</t>
  </si>
  <si>
    <t>ROC 319276 R-39R</t>
  </si>
  <si>
    <t>C501</t>
  </si>
  <si>
    <t>1st Choice Plumbing</t>
  </si>
  <si>
    <t>Michael Edward Rhoads</t>
  </si>
  <si>
    <t>(623) 552-6193</t>
  </si>
  <si>
    <t>VERIFY: Apollo matched a different/parent org | ROC 323182 CR-39</t>
  </si>
  <si>
    <t>C502</t>
  </si>
  <si>
    <t>Air Assurance</t>
  </si>
  <si>
    <t>Tony Medrano Jr</t>
  </si>
  <si>
    <t>(520) 840-5030</t>
  </si>
  <si>
    <t>ROC 292859 CR-39</t>
  </si>
  <si>
    <t>C503</t>
  </si>
  <si>
    <t>Gold Canyon Plumbing</t>
  </si>
  <si>
    <t>William Brian Kronebusch</t>
  </si>
  <si>
    <t>(480) 497-1110</t>
  </si>
  <si>
    <t>ROC 269970 CR-37</t>
  </si>
  <si>
    <t>C504</t>
  </si>
  <si>
    <t>Arraz AC</t>
  </si>
  <si>
    <t>Horacio Arraz</t>
  </si>
  <si>
    <t>(480) 589-8610</t>
  </si>
  <si>
    <t>horacio@arrazac.com</t>
  </si>
  <si>
    <t>ROC 348134 CR-39</t>
  </si>
  <si>
    <t>C505</t>
  </si>
  <si>
    <t>Pine Country Plumbing</t>
  </si>
  <si>
    <t>Michael Wayne Holvey</t>
  </si>
  <si>
    <t>(928) 899-1458</t>
  </si>
  <si>
    <t>ROC 337884 CR-37</t>
  </si>
  <si>
    <t>C506</t>
  </si>
  <si>
    <t>LeGrand Plumbing Services Inc.</t>
  </si>
  <si>
    <t>Wayne Legrand</t>
  </si>
  <si>
    <t>(928) 855-9266</t>
  </si>
  <si>
    <t>ROC 319826 CR-37</t>
  </si>
  <si>
    <t>C507</t>
  </si>
  <si>
    <t>Leo Prescott Air Conditioning &amp; Heating Repair</t>
  </si>
  <si>
    <t>Leo Severns</t>
  </si>
  <si>
    <t>(928) 308-1254</t>
  </si>
  <si>
    <t>ROC 304231 CR-39</t>
  </si>
  <si>
    <t>C508</t>
  </si>
  <si>
    <t>Master Mechanical</t>
  </si>
  <si>
    <t>Justin Kiah Smith</t>
  </si>
  <si>
    <t>(480) 400-0323</t>
  </si>
  <si>
    <t>ROC 313180 CR-39</t>
  </si>
  <si>
    <t>C509</t>
  </si>
  <si>
    <t>Accuracy Heating &amp; Cooling LLC</t>
  </si>
  <si>
    <t>Casey Alan Hyde</t>
  </si>
  <si>
    <t>(928) 515-4128</t>
  </si>
  <si>
    <t>casey@accuracyhvac.com</t>
  </si>
  <si>
    <t>ROC 325208 CR-39</t>
  </si>
  <si>
    <t>C510</t>
  </si>
  <si>
    <t>Emergency Plumbing Hero</t>
  </si>
  <si>
    <t>Thomas Devin Mcneil</t>
  </si>
  <si>
    <t>(623) 695-2386</t>
  </si>
  <si>
    <t>ROC 349522 CR-37</t>
  </si>
  <si>
    <t>C511</t>
  </si>
  <si>
    <t>Bee Plumbing</t>
  </si>
  <si>
    <t>Brennan James Page</t>
  </si>
  <si>
    <t>(928) 458-9567</t>
  </si>
  <si>
    <t>ROC 331773 R-37</t>
  </si>
  <si>
    <t>C512</t>
  </si>
  <si>
    <t>Papa Charlie's Heating-Cooling</t>
  </si>
  <si>
    <t>Frank Martin Chavez</t>
  </si>
  <si>
    <t>(928) 606-4016</t>
  </si>
  <si>
    <t>ROC 242380 R-39R</t>
  </si>
  <si>
    <t>C513</t>
  </si>
  <si>
    <t>Arizona Refrigeration Company</t>
  </si>
  <si>
    <t>Paul Michael Diaz</t>
  </si>
  <si>
    <t>(520) 637-0317</t>
  </si>
  <si>
    <t>ROC 333202 CR-39</t>
  </si>
  <si>
    <t>C514</t>
  </si>
  <si>
    <t>Rivers Plumbing Services</t>
  </si>
  <si>
    <t>Christopher Rivers</t>
  </si>
  <si>
    <t>(623) 332-6329</t>
  </si>
  <si>
    <t>ROC 333507 CR-39</t>
  </si>
  <si>
    <t>C515</t>
  </si>
  <si>
    <t>Wild West Air and Heating</t>
  </si>
  <si>
    <t>Bonnie Frances Pyles</t>
  </si>
  <si>
    <t>(602) 684-6434</t>
  </si>
  <si>
    <t>ROC 346513 CR-39</t>
  </si>
  <si>
    <t>C516</t>
  </si>
  <si>
    <t>Cliff's Classic Care Plumbing, LLC</t>
  </si>
  <si>
    <t>Clifford Vincent Lao</t>
  </si>
  <si>
    <t>(520) 266-0051</t>
  </si>
  <si>
    <t>ROC 245812 CR-37</t>
  </si>
  <si>
    <t>C517</t>
  </si>
  <si>
    <t>Plunge, a plumbing co. llc</t>
  </si>
  <si>
    <t>Michelle Ryley</t>
  </si>
  <si>
    <t>(480) 878-0808</t>
  </si>
  <si>
    <t>ROC 356453</t>
  </si>
  <si>
    <t>C518</t>
  </si>
  <si>
    <t>Desert Freeze AC, LLC</t>
  </si>
  <si>
    <t>Esteffon Dorn</t>
  </si>
  <si>
    <t>(480) 797-3616</t>
  </si>
  <si>
    <t>esteffon@desertfreezeac.com</t>
  </si>
  <si>
    <t>ROC 348269 CR-39</t>
  </si>
  <si>
    <t>C519</t>
  </si>
  <si>
    <t>S&amp;H Remodel and Maintenance</t>
  </si>
  <si>
    <t>Logan Russell Stiver</t>
  </si>
  <si>
    <t>(480) 548-8754</t>
  </si>
  <si>
    <t>ROC 349876 CR-37</t>
  </si>
  <si>
    <t>C520</t>
  </si>
  <si>
    <t>Oro Valley Plumbing LLC</t>
  </si>
  <si>
    <t>Rick William Davis</t>
  </si>
  <si>
    <t>(520) 909-6605</t>
  </si>
  <si>
    <t>ROC 285210 CR-37</t>
  </si>
  <si>
    <t>C521</t>
  </si>
  <si>
    <t>Global HVAC and Appliances LLC</t>
  </si>
  <si>
    <t>RUSLAN MUKHAMETDINOV</t>
  </si>
  <si>
    <t>(602) 754-6303</t>
  </si>
  <si>
    <t>ROC 361223 R-39R</t>
  </si>
  <si>
    <t>C522</t>
  </si>
  <si>
    <t>ABS Plumbing Co</t>
  </si>
  <si>
    <t>Michael Pizzolanti</t>
  </si>
  <si>
    <t>(928) 368-5696</t>
  </si>
  <si>
    <t>ROC 156086 CR-37</t>
  </si>
  <si>
    <t>C523</t>
  </si>
  <si>
    <t>Desert Pioneer Plumbing</t>
  </si>
  <si>
    <t>Tyler Cole Hecimovich</t>
  </si>
  <si>
    <t>(602) 881-4361</t>
  </si>
  <si>
    <t>ROC 362005 CR-37</t>
  </si>
  <si>
    <t>C524</t>
  </si>
  <si>
    <t>Recon Air Systems</t>
  </si>
  <si>
    <t>Coby Duane Chandler</t>
  </si>
  <si>
    <t>(480) 444-6535</t>
  </si>
  <si>
    <t>ROC 324462 CR-39</t>
  </si>
  <si>
    <t>C525</t>
  </si>
  <si>
    <t>Lawhorn Plumbing LLC</t>
  </si>
  <si>
    <t>Charles Lawhorn</t>
  </si>
  <si>
    <t>(928) 529-7778</t>
  </si>
  <si>
    <t>ROC 342510 CR-37</t>
  </si>
  <si>
    <t>C526</t>
  </si>
  <si>
    <t>Pmi Air Llc</t>
  </si>
  <si>
    <t>Kevin Thomas Boisclair</t>
  </si>
  <si>
    <t>(928) 234-9494</t>
  </si>
  <si>
    <t>ROC 228187 CR-39</t>
  </si>
  <si>
    <t>C527</t>
  </si>
  <si>
    <t>Arizona Plumbing &amp; Restoration LLC</t>
  </si>
  <si>
    <t>Aaron Lloyd Simmons</t>
  </si>
  <si>
    <t>(520) 523-4143</t>
  </si>
  <si>
    <t>ROC 336394 CR-37</t>
  </si>
  <si>
    <t>C528</t>
  </si>
  <si>
    <t>Prescott Plumbing</t>
  </si>
  <si>
    <t>Charles Eugene Gerlich</t>
  </si>
  <si>
    <t>(928) 308-7504</t>
  </si>
  <si>
    <t>ROC 239872 CR-37</t>
  </si>
  <si>
    <t>C529</t>
  </si>
  <si>
    <t>Mr. Plumber AZ</t>
  </si>
  <si>
    <t>howard s shapiro</t>
  </si>
  <si>
    <t>(480) 821-9550</t>
  </si>
  <si>
    <t>ROC 183340 CR-37</t>
  </si>
  <si>
    <t>C530</t>
  </si>
  <si>
    <t>Shoreline Plumbing Sales Services</t>
  </si>
  <si>
    <t>Rick Norbert Budden</t>
  </si>
  <si>
    <t>(928) 453-2700</t>
  </si>
  <si>
    <t>ROC 193121 CR-37</t>
  </si>
  <si>
    <t>C531</t>
  </si>
  <si>
    <t>Queen Creek Air Conditioning</t>
  </si>
  <si>
    <t>Salvador Martinez</t>
  </si>
  <si>
    <t>(480) 466-3663</t>
  </si>
  <si>
    <t>ROC 286725 R-39R</t>
  </si>
  <si>
    <t>C532</t>
  </si>
  <si>
    <t>AZ Chill</t>
  </si>
  <si>
    <t>Andrew S Barascout</t>
  </si>
  <si>
    <t>(480) 426-8623</t>
  </si>
  <si>
    <t>ROC 329027 CR-39</t>
  </si>
  <si>
    <t>C533</t>
  </si>
  <si>
    <t>AZ Home Services Group AC Repair &amp; Plumbing Services of Mesa</t>
  </si>
  <si>
    <t>(602) 730-9081</t>
  </si>
  <si>
    <t>C534</t>
  </si>
  <si>
    <t>Cleverland Plumbing LLC</t>
  </si>
  <si>
    <t>Mohammed Nafiz</t>
  </si>
  <si>
    <t>(480) 793-5668</t>
  </si>
  <si>
    <t>ROC 340955 CR-37</t>
  </si>
  <si>
    <t>C535</t>
  </si>
  <si>
    <t>Precision Comfort</t>
  </si>
  <si>
    <t>STEPHEN L QUINN</t>
  </si>
  <si>
    <t>(520) 678-4073</t>
  </si>
  <si>
    <t>ROC 338212 CR-39</t>
  </si>
  <si>
    <t>C536</t>
  </si>
  <si>
    <t>Q Tech Heating &amp; Cooling LLC</t>
  </si>
  <si>
    <t>Ricardo Quintero</t>
  </si>
  <si>
    <t>(928) 527-4200</t>
  </si>
  <si>
    <t>ROC 283440 CR-39</t>
  </si>
  <si>
    <t>C537</t>
  </si>
  <si>
    <t>Got Air</t>
  </si>
  <si>
    <t>Michael Jay Muckey</t>
  </si>
  <si>
    <t>(520) 654-2597</t>
  </si>
  <si>
    <t>ROC 225009 CR-39</t>
  </si>
  <si>
    <t>C538</t>
  </si>
  <si>
    <t>Amos Plumbing and Heating, LLC</t>
  </si>
  <si>
    <t>Quince Calder Amos</t>
  </si>
  <si>
    <t>(928) 536-4618</t>
  </si>
  <si>
    <t>ROC 323504 CR-37</t>
  </si>
  <si>
    <t>C539</t>
  </si>
  <si>
    <t>Haines Plumbing Heating &amp; Cooling</t>
  </si>
  <si>
    <t>Peter Robert Haines</t>
  </si>
  <si>
    <t>(928) 892-8201</t>
  </si>
  <si>
    <t>ROC 332032 CR-39</t>
  </si>
  <si>
    <t>C540</t>
  </si>
  <si>
    <t>Airtech Air Conditioning and Heating</t>
  </si>
  <si>
    <t>Karl Joseph Kasprzyk</t>
  </si>
  <si>
    <t>(928) 412-2026</t>
  </si>
  <si>
    <t>Co-owners: Francisco Javier Suarez | ROC 95947 C-39</t>
  </si>
  <si>
    <t>C541</t>
  </si>
  <si>
    <t>Paganelli HVAC</t>
  </si>
  <si>
    <t>Michael Ralph Paganelli</t>
  </si>
  <si>
    <t>(480) 519-7724</t>
  </si>
  <si>
    <t>ROC 362405 CR-39</t>
  </si>
  <si>
    <t>C542</t>
  </si>
  <si>
    <t>GML Plumbing</t>
  </si>
  <si>
    <t>Gregory Michael LaFlamme</t>
  </si>
  <si>
    <t>(928) 897-9952</t>
  </si>
  <si>
    <t>greg@gmlplumbing.com</t>
  </si>
  <si>
    <t>Contact title 'Owner Plumber' - verify decision maker | ROC 265866 CR-37</t>
  </si>
  <si>
    <t>C543</t>
  </si>
  <si>
    <t>Mercury Air Conditioning &amp; Heating</t>
  </si>
  <si>
    <t>Kenneth Ronald Brown Jr</t>
  </si>
  <si>
    <t>(928) 854-4101</t>
  </si>
  <si>
    <t>ROC 190167 CR-39</t>
  </si>
  <si>
    <t>C544</t>
  </si>
  <si>
    <t>Glendale HVAC Services</t>
  </si>
  <si>
    <t>MICHAEL ANTONIO HERNANDEZ</t>
  </si>
  <si>
    <t>(623) 260-0444</t>
  </si>
  <si>
    <t>ROC 365409 CR-39</t>
  </si>
  <si>
    <t>C545</t>
  </si>
  <si>
    <t>Perea Plumbing LLC</t>
  </si>
  <si>
    <t>Adan Perea</t>
  </si>
  <si>
    <t>(520) 444-9594</t>
  </si>
  <si>
    <t>ROC 357704 R-37R</t>
  </si>
  <si>
    <t>C546</t>
  </si>
  <si>
    <t>Todd Norton Plumbing LLC.</t>
  </si>
  <si>
    <t>Patrick T Norton</t>
  </si>
  <si>
    <t>Patagonia</t>
  </si>
  <si>
    <t>(520) 394-0242</t>
  </si>
  <si>
    <t>ROC 264333 R-37R</t>
  </si>
  <si>
    <t>C547</t>
  </si>
  <si>
    <t>Arctic a/c and heating</t>
  </si>
  <si>
    <t>Brian Kent Wood</t>
  </si>
  <si>
    <t>(520) 812-5000</t>
  </si>
  <si>
    <t>ROC 345598 CR-39</t>
  </si>
  <si>
    <t>C548</t>
  </si>
  <si>
    <t>Prescott Heating &amp; Cooling</t>
  </si>
  <si>
    <t>(928) 216-2717</t>
  </si>
  <si>
    <t>ROC 358864 CR-39</t>
  </si>
  <si>
    <t>C549</t>
  </si>
  <si>
    <t>Polar Experts HVAC</t>
  </si>
  <si>
    <t>Cameron Josiah Goodall</t>
  </si>
  <si>
    <t>(480) 913-3257</t>
  </si>
  <si>
    <t>ROC 355011 CR-39</t>
  </si>
  <si>
    <t>C550</t>
  </si>
  <si>
    <t>Scottsdale Heating and Cooling</t>
  </si>
  <si>
    <t>(480) 870-8860</t>
  </si>
  <si>
    <t>Co-owners: Joe Mitchell Warner; Reuben McCutcheon; Joshua Manuel Sanchez; Matthew John Morse | ROC 268561 C-37</t>
  </si>
  <si>
    <t>C551</t>
  </si>
  <si>
    <t>Copper State Plumbing Services LLC</t>
  </si>
  <si>
    <t>Rocco Vincent Marafioti</t>
  </si>
  <si>
    <t>(602) 561-3391</t>
  </si>
  <si>
    <t>rocco@copperstateaz.com</t>
  </si>
  <si>
    <t>ROC 325698 CR-37</t>
  </si>
  <si>
    <t>C552</t>
  </si>
  <si>
    <t>Paragon Plumbing Inc</t>
  </si>
  <si>
    <t>Andrew David Ulibarri</t>
  </si>
  <si>
    <t>(928) 775-2343</t>
  </si>
  <si>
    <t>ROC 173306 CR-37</t>
  </si>
  <si>
    <t>C553</t>
  </si>
  <si>
    <t>AZ Home Services Group AC Repair &amp; Plumbing Services of Scottsdale</t>
  </si>
  <si>
    <t>(480) 923-3969</t>
  </si>
  <si>
    <t>C554</t>
  </si>
  <si>
    <t>Air Solutions Heating &amp; Cooling, LLC</t>
  </si>
  <si>
    <t>Michael Brooke Cabaniss</t>
  </si>
  <si>
    <t>(520) 288-3182</t>
  </si>
  <si>
    <t>Co-owners: Carlos M Calderon; MATTHEW Lawrence JACKSON; Tatiyana Marie Knaub | ROC 115320 R-37R</t>
  </si>
  <si>
    <t>C555</t>
  </si>
  <si>
    <t>Target Plumbing</t>
  </si>
  <si>
    <t>Lionel Martinez</t>
  </si>
  <si>
    <t>(480) 409-9226</t>
  </si>
  <si>
    <t>lionel@targetplumbingaz.com</t>
  </si>
  <si>
    <t>ROC 359651 CR-37</t>
  </si>
  <si>
    <t>C556</t>
  </si>
  <si>
    <t>Elston HVAC</t>
  </si>
  <si>
    <t>Robert Scott Elston</t>
  </si>
  <si>
    <t>ROC 334284 CR-39</t>
  </si>
  <si>
    <t>C557</t>
  </si>
  <si>
    <t>Yuma's Best Plumbing LLC</t>
  </si>
  <si>
    <t>Cesar Chavez</t>
  </si>
  <si>
    <t>(928) 345-9258</t>
  </si>
  <si>
    <t>yumasbestplumbing@hotmail.com</t>
  </si>
  <si>
    <t>ROC 203153 CR-37</t>
  </si>
  <si>
    <t>C558</t>
  </si>
  <si>
    <t>New Age Hvac, LLC</t>
  </si>
  <si>
    <t>Mason Tanner Paschich</t>
  </si>
  <si>
    <t>(602) 813-7747</t>
  </si>
  <si>
    <t>ROC 335936 CR-39</t>
  </si>
  <si>
    <t>C559</t>
  </si>
  <si>
    <t>Reinke Heating &amp; Air Conditioning</t>
  </si>
  <si>
    <t>MARK RICHARD REINKE</t>
  </si>
  <si>
    <t>(928) 768-8500</t>
  </si>
  <si>
    <t>ROC 86163 R-39R</t>
  </si>
  <si>
    <t>C560</t>
  </si>
  <si>
    <t>Comfort Air Solutions LLC</t>
  </si>
  <si>
    <t>Richard 'RJ' Joseph Bryant</t>
  </si>
  <si>
    <t>(928) 450-5534</t>
  </si>
  <si>
    <t>ROC 350951 CR-39</t>
  </si>
  <si>
    <t>C561</t>
  </si>
  <si>
    <t>AZ Home Services Group AC Repair &amp; Plumbing Services of Gilbert</t>
  </si>
  <si>
    <t>(480) 923-3299</t>
  </si>
  <si>
    <t>C562</t>
  </si>
  <si>
    <t>Capstone Cooling &amp; Heating LLC</t>
  </si>
  <si>
    <t>(520) 808-8092</t>
  </si>
  <si>
    <t>ROC 301557 CR-39</t>
  </si>
  <si>
    <t>C563</t>
  </si>
  <si>
    <t>Glacier Heating &amp; Air</t>
  </si>
  <si>
    <t>Jesus A Zuniga</t>
  </si>
  <si>
    <t>(928) 763-7571</t>
  </si>
  <si>
    <t>Co-owners: mark todd stanley | ROC 273923 CR-39</t>
  </si>
  <si>
    <t>C564</t>
  </si>
  <si>
    <t>Shiloh Plumbing</t>
  </si>
  <si>
    <t>Kanaan Channing Mills</t>
  </si>
  <si>
    <t>(928) 592-2763</t>
  </si>
  <si>
    <t>ROC 360605 CR-37</t>
  </si>
  <si>
    <t>C565</t>
  </si>
  <si>
    <t>The Cool Dude LLC</t>
  </si>
  <si>
    <t>Roko Berislav Huljev</t>
  </si>
  <si>
    <t>(928) 208-1457</t>
  </si>
  <si>
    <t>ROC 286012 CR-39</t>
  </si>
  <si>
    <t>C566</t>
  </si>
  <si>
    <t>Western Sky Mechanical</t>
  </si>
  <si>
    <t>Austin Charles Barton</t>
  </si>
  <si>
    <t>El Mirage</t>
  </si>
  <si>
    <t>(602) 767-5341</t>
  </si>
  <si>
    <t>ROC 366148 CR-79</t>
  </si>
  <si>
    <t>C567</t>
  </si>
  <si>
    <t>Desert Bloom Air LLC</t>
  </si>
  <si>
    <t>Ernest Perez</t>
  </si>
  <si>
    <t>(480) 849-3667</t>
  </si>
  <si>
    <t>ROC 364954 CR-39</t>
  </si>
  <si>
    <t>C568</t>
  </si>
  <si>
    <t>ASAP General Plumbing LLC</t>
  </si>
  <si>
    <t>Jesus Garcia de leon</t>
  </si>
  <si>
    <t>(928) 488-0391</t>
  </si>
  <si>
    <t>ROC 353024 CR-37</t>
  </si>
  <si>
    <t>C569</t>
  </si>
  <si>
    <t>AZ Home Services Group AC Repair &amp; Plumbing Services of Goodyear</t>
  </si>
  <si>
    <t>(623) 469-5911</t>
  </si>
  <si>
    <t>C570</t>
  </si>
  <si>
    <t>Tony’s Plumbing LLC</t>
  </si>
  <si>
    <t>Anthony Marcus Goodban</t>
  </si>
  <si>
    <t>(928) 278-2040</t>
  </si>
  <si>
    <t>ROC 363733 CR-37</t>
  </si>
  <si>
    <t>C571</t>
  </si>
  <si>
    <t>R&amp;R Mechanical LLC</t>
  </si>
  <si>
    <t>Ray A Ramos Jr</t>
  </si>
  <si>
    <t>(928) 595-1913</t>
  </si>
  <si>
    <t>ROC 329914 CR-39</t>
  </si>
  <si>
    <t>C572</t>
  </si>
  <si>
    <t>The Plumbing Plug</t>
  </si>
  <si>
    <t>Donald Glen Brooks</t>
  </si>
  <si>
    <t>(480) 848-2273</t>
  </si>
  <si>
    <t>ROC 335564 R-37R</t>
  </si>
  <si>
    <t>C573</t>
  </si>
  <si>
    <t>Amazing Air Heating &amp; Cooling</t>
  </si>
  <si>
    <t>Jack D Merriott Jr</t>
  </si>
  <si>
    <t>(520) 409-4526</t>
  </si>
  <si>
    <t>ROC 320623 CR-39</t>
  </si>
  <si>
    <t>C574</t>
  </si>
  <si>
    <t>Global Comfort LLC</t>
  </si>
  <si>
    <t>Adolfo Ochoa martinez</t>
  </si>
  <si>
    <t>(480) 869-6423</t>
  </si>
  <si>
    <t>ROC 336383 CR-39</t>
  </si>
  <si>
    <t>C575</t>
  </si>
  <si>
    <t>Ac Squad, Llc</t>
  </si>
  <si>
    <t>Luciano Galindo</t>
  </si>
  <si>
    <t>(623) 512-1128</t>
  </si>
  <si>
    <t>ROC 318665 CR-39</t>
  </si>
  <si>
    <t>C576</t>
  </si>
  <si>
    <t>Better Plumbing By Farr</t>
  </si>
  <si>
    <t>James Richard Farr</t>
  </si>
  <si>
    <t>(928) 680-9725</t>
  </si>
  <si>
    <t>ROC 144149 CR-37</t>
  </si>
  <si>
    <t>C577</t>
  </si>
  <si>
    <t>All Season Heating &amp; Air Conditioning</t>
  </si>
  <si>
    <t>(928) 754-4278</t>
  </si>
  <si>
    <t>ROC 348428</t>
  </si>
  <si>
    <t>C578</t>
  </si>
  <si>
    <t>Roger the Plumber</t>
  </si>
  <si>
    <t>Mitchel Anthony Kubat</t>
  </si>
  <si>
    <t>(928) 368-2220</t>
  </si>
  <si>
    <t>ROC 240133 CR-37</t>
  </si>
  <si>
    <t>C579</t>
  </si>
  <si>
    <t>Amado Electrical and Refrigeration LLC</t>
  </si>
  <si>
    <t>Rex Amado</t>
  </si>
  <si>
    <t>(505) 414-4258</t>
  </si>
  <si>
    <t>amadoelectric@cox.net</t>
  </si>
  <si>
    <t>ROC 264714 CR-39</t>
  </si>
  <si>
    <t>C580</t>
  </si>
  <si>
    <t>O'Connor Heating &amp; Cooling</t>
  </si>
  <si>
    <t>Robert Edward O Connor</t>
  </si>
  <si>
    <t>Star Valley</t>
  </si>
  <si>
    <t>(928) 474-2906</t>
  </si>
  <si>
    <t>Co-owners: Benjamin James O’Connor | ROC 217358 C-39</t>
  </si>
  <si>
    <t>C581</t>
  </si>
  <si>
    <t>Watkins Plumbing &amp; Service, LLC</t>
  </si>
  <si>
    <t>Christian Watkins</t>
  </si>
  <si>
    <t>(480) 881-1810</t>
  </si>
  <si>
    <t>ROC 349127 CR-37</t>
  </si>
  <si>
    <t>C582</t>
  </si>
  <si>
    <t>Guaranteed Comfort Heating and Cooling</t>
  </si>
  <si>
    <t>Christopher Wallace Pennycook</t>
  </si>
  <si>
    <t>(480) 885-1516</t>
  </si>
  <si>
    <t>christopher@wedoguarantee.com</t>
  </si>
  <si>
    <t>ROC 364352 CR-39</t>
  </si>
  <si>
    <t>C583</t>
  </si>
  <si>
    <t>Pride Plumbing</t>
  </si>
  <si>
    <t>Arnold Skip Boldt</t>
  </si>
  <si>
    <t>(928) 472-9171</t>
  </si>
  <si>
    <t>ROC 171493 CR-37</t>
  </si>
  <si>
    <t>C584</t>
  </si>
  <si>
    <t>Cactus Cool LLC</t>
  </si>
  <si>
    <t>Justin Charles Ashcroft</t>
  </si>
  <si>
    <t>(602) 384-1100</t>
  </si>
  <si>
    <t>ROC 364084 CR-39</t>
  </si>
  <si>
    <t>C585</t>
  </si>
  <si>
    <t>Tucson Water Pros LLC</t>
  </si>
  <si>
    <t>Erik Ramon Carrasco</t>
  </si>
  <si>
    <t>(520) 395-1358</t>
  </si>
  <si>
    <t>ROC 362360 CR-37</t>
  </si>
  <si>
    <t>C586</t>
  </si>
  <si>
    <t>NextGen Plumbing LLC</t>
  </si>
  <si>
    <t>Luca Kaloshi</t>
  </si>
  <si>
    <t>(623) 745-5979</t>
  </si>
  <si>
    <t>ROC 355868 CR-37</t>
  </si>
  <si>
    <t>C587</t>
  </si>
  <si>
    <t>Reliable Plumbing</t>
  </si>
  <si>
    <t>George Stephen Binney</t>
  </si>
  <si>
    <t>(928) 474-6576</t>
  </si>
  <si>
    <t>ROC 66053 R-37</t>
  </si>
  <si>
    <t>C588</t>
  </si>
  <si>
    <t>Desert Rock Air Conditioning &amp; Refrigeration</t>
  </si>
  <si>
    <t>Eduardo Duran Rayas</t>
  </si>
  <si>
    <t>(602) 901-2132</t>
  </si>
  <si>
    <t>ROC 363662 CR-39</t>
  </si>
  <si>
    <t>C589</t>
  </si>
  <si>
    <t>Plumbers Near Me, Water Heater, and Plumbing Services of Goodyear</t>
  </si>
  <si>
    <t>(602) 892-3070</t>
  </si>
  <si>
    <t>C590</t>
  </si>
  <si>
    <t>Tri-Sun Refrigeration Inc</t>
  </si>
  <si>
    <t>Oscar Martinez Martinez</t>
  </si>
  <si>
    <t>(928) 344-3386</t>
  </si>
  <si>
    <t>trisunyuma@aol.com</t>
  </si>
  <si>
    <t>ROC 55101 R-39R</t>
  </si>
  <si>
    <t>C591</t>
  </si>
  <si>
    <t>Precision Plumbing</t>
  </si>
  <si>
    <t>(520) 378-7071</t>
  </si>
  <si>
    <t>Co-owners: Alex Taylor; William Andrew Schettler; Hunter James Dragosh | ROC 126405 R-39R</t>
  </si>
  <si>
    <t>C592</t>
  </si>
  <si>
    <t>Moran Plumbing LLC</t>
  </si>
  <si>
    <t>Michael Patrick Moran</t>
  </si>
  <si>
    <t>(623) 293-7095</t>
  </si>
  <si>
    <t>michael.moran@mpmoran.co.uk</t>
  </si>
  <si>
    <t>ROC 209589 R-37</t>
  </si>
  <si>
    <t>C593</t>
  </si>
  <si>
    <t>A C &amp; Sons Custom Heating &amp; Cooling</t>
  </si>
  <si>
    <t>Anthony Castillo</t>
  </si>
  <si>
    <t>(928) 753-0455</t>
  </si>
  <si>
    <t>ROC 185873 CR-39</t>
  </si>
  <si>
    <t>C594</t>
  </si>
  <si>
    <t>H &amp; H Heating &amp; Cooling, LLC</t>
  </si>
  <si>
    <t>Scott Ryden</t>
  </si>
  <si>
    <t>(928) 961-3565</t>
  </si>
  <si>
    <t>ROC 323577 CR-39</t>
  </si>
  <si>
    <t>C595</t>
  </si>
  <si>
    <t>Indian Time Plumbing</t>
  </si>
  <si>
    <t>Dave Charles Metcalf</t>
  </si>
  <si>
    <t>(928) 758-9043</t>
  </si>
  <si>
    <t>ROC 248899 CR-37</t>
  </si>
  <si>
    <t>C596</t>
  </si>
  <si>
    <t>Queen Creek Plumbing Services</t>
  </si>
  <si>
    <t>(520) 339-6873</t>
  </si>
  <si>
    <t>C597</t>
  </si>
  <si>
    <t>Pink Dog Plumbing and Sewer</t>
  </si>
  <si>
    <t>robert Anthony clifford</t>
  </si>
  <si>
    <t>(928) 396-0004</t>
  </si>
  <si>
    <t>ROC 355416</t>
  </si>
  <si>
    <t>C598</t>
  </si>
  <si>
    <t>Certified Air Services, Inc</t>
  </si>
  <si>
    <t>Daniel Wayne Lewis</t>
  </si>
  <si>
    <t>(844) 921-0516</t>
  </si>
  <si>
    <t>ROC 320538 CR-58</t>
  </si>
  <si>
    <t>C599</t>
  </si>
  <si>
    <t>Skyline Plumbing Contractors</t>
  </si>
  <si>
    <t>Todd Heiman</t>
  </si>
  <si>
    <t>(928) 854-2699</t>
  </si>
  <si>
    <t>ROC 61017 R-37R</t>
  </si>
  <si>
    <t>C600</t>
  </si>
  <si>
    <t>All-Right Air Conditioning And Heating, Inc.</t>
  </si>
  <si>
    <t>Maria Rollo</t>
  </si>
  <si>
    <t>mrollo99@yahoo.com</t>
  </si>
  <si>
    <t>ROC 244565 CR-39</t>
  </si>
  <si>
    <t>C601</t>
  </si>
  <si>
    <t>Reliable Plumbing &amp; Heating</t>
  </si>
  <si>
    <t>(520) 666-6416</t>
  </si>
  <si>
    <t>Co-owners: RICHARD NOBLE BATES Jr; Jeffrey Greco; Christian David Stanley; Jose G. Flores | ROC 66053 R-37</t>
  </si>
  <si>
    <t>C602</t>
  </si>
  <si>
    <t>Element Plumbing, Heating &amp; Air</t>
  </si>
  <si>
    <t>Robert Boyd Barrios</t>
  </si>
  <si>
    <t>(928) 224-1898</t>
  </si>
  <si>
    <t>Co-owners: Luis Antonio Lopez | ROC 247354 CR-37</t>
  </si>
  <si>
    <t>C603</t>
  </si>
  <si>
    <t>Agave Plumbing</t>
  </si>
  <si>
    <t>David Cyril Honsik</t>
  </si>
  <si>
    <t>(928) 205-0093</t>
  </si>
  <si>
    <t>ROC 335638 CR-37</t>
  </si>
  <si>
    <t>C604</t>
  </si>
  <si>
    <t>First West Servicing Corp</t>
  </si>
  <si>
    <t>Lukas Alan Jafferian</t>
  </si>
  <si>
    <t>(520) 458-0545</t>
  </si>
  <si>
    <t>ROC 316509 CR-39</t>
  </si>
  <si>
    <t>C605</t>
  </si>
  <si>
    <t>Plumbers Near Me, Water Heater, and Plumbing Services of Peoria</t>
  </si>
  <si>
    <t>(623) 499-9099</t>
  </si>
  <si>
    <t>C606</t>
  </si>
  <si>
    <t>Hercules Industries</t>
  </si>
  <si>
    <t>Steve Davison</t>
  </si>
  <si>
    <t>(928) 235-2905</t>
  </si>
  <si>
    <t>VERIFY: size data looks like parent/franchise org | Owner found via Apollo</t>
  </si>
  <si>
    <t>C607</t>
  </si>
  <si>
    <t>Benchmark Plumbing Co</t>
  </si>
  <si>
    <t>Frederick Proudfoot</t>
  </si>
  <si>
    <t>(928) 718-5624</t>
  </si>
  <si>
    <t>ROC 357986 R-37R</t>
  </si>
  <si>
    <t>C608</t>
  </si>
  <si>
    <t>Raul's Plumbing Llc</t>
  </si>
  <si>
    <t>Raul Lopez Villasenor</t>
  </si>
  <si>
    <t>(520) 226-9453</t>
  </si>
  <si>
    <t>raulvillasenor@raulsplumbing.com</t>
  </si>
  <si>
    <t>ROC 208539 R-37R</t>
  </si>
  <si>
    <t>C609</t>
  </si>
  <si>
    <t>C A Plumbing Llc</t>
  </si>
  <si>
    <t>Carl Lee Arnold</t>
  </si>
  <si>
    <t>(928) 537-1395</t>
  </si>
  <si>
    <t>ROC 157641 CR-37</t>
  </si>
  <si>
    <t>C610</t>
  </si>
  <si>
    <t>One Hour Air Conditioning &amp; Heating</t>
  </si>
  <si>
    <t>Kevin Cerveri</t>
  </si>
  <si>
    <t>kevin.cerveri@onehourheatandair.com</t>
  </si>
  <si>
    <t>Co-owners: Jordan William Alexander Ristau; Eli Andrew Power | ROC 294948 CR-39</t>
  </si>
  <si>
    <t>C611</t>
  </si>
  <si>
    <t>Efficient Cooling and Heating</t>
  </si>
  <si>
    <t>Matthew Dale Browning</t>
  </si>
  <si>
    <t>(602) 332-1128</t>
  </si>
  <si>
    <t>Co-owners: Oscar Hugo Manzo | ROC 285715 CR-39</t>
  </si>
  <si>
    <t>C612</t>
  </si>
  <si>
    <t>Truly the Best Plumbing</t>
  </si>
  <si>
    <t>Mike Granados</t>
  </si>
  <si>
    <t>(520) 757-1697</t>
  </si>
  <si>
    <t>mgranados@trulythebestplumbing.com</t>
  </si>
  <si>
    <t>ROC 349381 R-37R</t>
  </si>
  <si>
    <t>C613</t>
  </si>
  <si>
    <t>Wildcat Heating and Cooling</t>
  </si>
  <si>
    <t>Devin S Johnson</t>
  </si>
  <si>
    <t>(520) 576-3430</t>
  </si>
  <si>
    <t>j.reid@wildcatheatingandcooling.com</t>
  </si>
  <si>
    <t>ROC 257964 R-39R</t>
  </si>
  <si>
    <t>C614</t>
  </si>
  <si>
    <t>Plumbers Near Me – Water Heater &amp; Plumbing Services of Tempe</t>
  </si>
  <si>
    <t>(480) 923-2770</t>
  </si>
  <si>
    <t>C615</t>
  </si>
  <si>
    <t>Oro Valley Heating and Cooling LLC</t>
  </si>
  <si>
    <t>(480) 797-4599</t>
  </si>
  <si>
    <t>C616</t>
  </si>
  <si>
    <t>Elevation Plumbing LLC</t>
  </si>
  <si>
    <t>Alex Gomez</t>
  </si>
  <si>
    <t>(928) 508-5502</t>
  </si>
  <si>
    <t>alex@gnglocating.com</t>
  </si>
  <si>
    <t>ROC 334445 CR-37</t>
  </si>
  <si>
    <t>C617</t>
  </si>
  <si>
    <t>Pueblo Mechanical &amp; Controls</t>
  </si>
  <si>
    <t>Steven Joseph Barry</t>
  </si>
  <si>
    <t>(800) 840-9170</t>
  </si>
  <si>
    <t>klevengood@pueblo-mechanical.com</t>
  </si>
  <si>
    <t>VERIFY: size data looks like parent/franchise org | Co-owners: Richard Carl Niemeyer | ROC 176640 CR-39</t>
  </si>
  <si>
    <t>C618</t>
  </si>
  <si>
    <t>Andrew's Plumbing LLC</t>
  </si>
  <si>
    <t>James Andrew Mecom</t>
  </si>
  <si>
    <t>(928) 692-8513</t>
  </si>
  <si>
    <t>ROC 178677 CR-37</t>
  </si>
  <si>
    <t>C619</t>
  </si>
  <si>
    <t>Service Plus Inc.</t>
  </si>
  <si>
    <t>Dave Gerald Keeney JR</t>
  </si>
  <si>
    <t>(928) 474-5664</t>
  </si>
  <si>
    <t>ROC 296562 CR-39</t>
  </si>
  <si>
    <t>C620</t>
  </si>
  <si>
    <t>HVAC Rebuilders</t>
  </si>
  <si>
    <t>Blair Alan Laird</t>
  </si>
  <si>
    <t>(928) 352-2164</t>
  </si>
  <si>
    <t>ROC 335219 CR-39</t>
  </si>
  <si>
    <t>C621</t>
  </si>
  <si>
    <t>PCS Air Conditioning</t>
  </si>
  <si>
    <t>(928) 577-4896</t>
  </si>
  <si>
    <t>EBITDA = 12% revenue proxy</t>
  </si>
  <si>
    <t>C622</t>
  </si>
  <si>
    <t>Russett Southwest Corporation</t>
  </si>
  <si>
    <t>(520) 654-4011</t>
  </si>
  <si>
    <t>ROC 32524 R-39R | EBITDA = 12% revenue proxy</t>
  </si>
  <si>
    <t>C623</t>
  </si>
  <si>
    <t>Sunstate Plumbing, Inc</t>
  </si>
  <si>
    <t>(623) 292-2573</t>
  </si>
  <si>
    <t>ROC 84810 C-37 | EBITDA = 12% revenue proxy</t>
  </si>
  <si>
    <t>C624</t>
  </si>
  <si>
    <t>AZ Auto Air</t>
  </si>
  <si>
    <t>(480) 464-1100</t>
  </si>
  <si>
    <t>EBITDA = 12% revenue proxy | Size est. midpoint - single-location automotive AC repair shop, family owned; est.</t>
  </si>
  <si>
    <t>C625</t>
  </si>
  <si>
    <t>Christian Brothers A/C, Plumbing &amp; Electrical</t>
  </si>
  <si>
    <t>(623) 321-5741</t>
  </si>
  <si>
    <t>C626</t>
  </si>
  <si>
    <t>Central Arizona Supply</t>
  </si>
  <si>
    <t>(928) 474-3516</t>
  </si>
  <si>
    <t>C627</t>
  </si>
  <si>
    <t>Ellsworth Air and Plumbing</t>
  </si>
  <si>
    <t>(623) 323-4466</t>
  </si>
  <si>
    <t>C628</t>
  </si>
  <si>
    <t>D&amp;H Air Conditioning &amp; Heating &amp; Plumbing</t>
  </si>
  <si>
    <t>(520) 402-1810</t>
  </si>
  <si>
    <t>Other locations: Tucson | EBITDA = 12% revenue proxy</t>
  </si>
  <si>
    <t>C629</t>
  </si>
  <si>
    <t>Valley Heating, Cooling &amp; Appliances</t>
  </si>
  <si>
    <t>(480) 649-0000</t>
  </si>
  <si>
    <t>C630</t>
  </si>
  <si>
    <t>Alaskan Air Conditioning &amp; Heating Tucson</t>
  </si>
  <si>
    <t>(520) 815-5555</t>
  </si>
  <si>
    <t>C631</t>
  </si>
  <si>
    <t>Aire Serv of E Glendale-Peoria</t>
  </si>
  <si>
    <t>(623) 246-1565</t>
  </si>
  <si>
    <t>C632</t>
  </si>
  <si>
    <t>1-800-PLUMBER +AIR</t>
  </si>
  <si>
    <t>+1 630-699-9931</t>
  </si>
  <si>
    <t>(480) 581-9796</t>
  </si>
  <si>
    <t>Cell pulled from Apollo contacts | EBITDA = 12% revenue proxy</t>
  </si>
  <si>
    <t>C633</t>
  </si>
  <si>
    <t>Bruce's Air Conditioning</t>
  </si>
  <si>
    <t>(602) 824-8919</t>
  </si>
  <si>
    <t>ROC 279917 C-39 | EBITDA = 12% revenue proxy</t>
  </si>
  <si>
    <t>C634</t>
  </si>
  <si>
    <t>Davis Plumbing &amp; Drain</t>
  </si>
  <si>
    <t>(480) 985-3012</t>
  </si>
  <si>
    <t>ROC 133845 R-37R | EBITDA = 12% revenue proxy</t>
  </si>
  <si>
    <t>C635</t>
  </si>
  <si>
    <t>Rainforest Plumbing &amp; Air</t>
  </si>
  <si>
    <t>(480) 359-4513</t>
  </si>
  <si>
    <t>ROC 151803 CR-37 | Size est. midpoint - website: 72 employees, 43 technicians, 50 trucks</t>
  </si>
  <si>
    <t>C636</t>
  </si>
  <si>
    <t>Ground Zero Plumbing, AC and Electrical - Chandler</t>
  </si>
  <si>
    <t>(480) 448-0603</t>
  </si>
  <si>
    <t>C637</t>
  </si>
  <si>
    <t>One Hour Heating &amp; Air Conditioning® of Kingman</t>
  </si>
  <si>
    <t>(928) 585-5334</t>
  </si>
  <si>
    <t>VERIFY: size data looks like parent/franchise org | Cell pulled from Apollo contacts | Size est. midpoint - Pitzer's One Hour, dominant Kingman shop, 2000+ reviews; est.</t>
  </si>
  <si>
    <t>C638</t>
  </si>
  <si>
    <t>Mr. Rooter Plumbing of Tucson</t>
  </si>
  <si>
    <t>(520) 448-2253</t>
  </si>
  <si>
    <t>VERIFY: size data looks like parent/franchise org | ROC 339749 CR-37 | Size est. midpoint - franchise metro location, 1800+ reviews; est.</t>
  </si>
  <si>
    <t>C639</t>
  </si>
  <si>
    <t>100% Plumbing</t>
  </si>
  <si>
    <t>(602) 757-6780</t>
  </si>
  <si>
    <t>C640</t>
  </si>
  <si>
    <t>GoodFellas Air Conditioning &amp; Plumbing</t>
  </si>
  <si>
    <t>(520) 386-0560</t>
  </si>
  <si>
    <t>C641</t>
  </si>
  <si>
    <t>Felix Appliance Heating &amp; AC Repair</t>
  </si>
  <si>
    <t>(520) 636-5420</t>
  </si>
  <si>
    <t>C642</t>
  </si>
  <si>
    <t>Mr. Rooter Plumbing of Yavapai, Coconino and Maricopa Counties</t>
  </si>
  <si>
    <t>(888) 861-4344</t>
  </si>
  <si>
    <t>VERIFY: size data looks like parent/franchise org | Size est. midpoint - multi-county franchise, 1200+ reviews; est.</t>
  </si>
  <si>
    <t>C643</t>
  </si>
  <si>
    <t>Efficient Air HVAC &amp; Energy Solutions</t>
  </si>
  <si>
    <t>+1 623-824-4511</t>
  </si>
  <si>
    <t>(623) 882-8390</t>
  </si>
  <si>
    <t>Other locations: Buckeye; Goodyear | Cell pulled from Apollo contacts</t>
  </si>
  <si>
    <t>C644</t>
  </si>
  <si>
    <t>One Hour Heating &amp; Air Conditioning® of Prescott</t>
  </si>
  <si>
    <t>(928) 235-9060</t>
  </si>
  <si>
    <t>VERIFY: size data looks like parent/franchise org | Cell pulled from Apollo contacts | Size est. midpoint - franchise location, 1200+ reviews; est.</t>
  </si>
  <si>
    <t>C645</t>
  </si>
  <si>
    <t>1st Choice Plumbing, Air &amp; Insulation</t>
  </si>
  <si>
    <t>(623) 292-3697</t>
  </si>
  <si>
    <t>VERIFY: Apollo matched a different/parent org</t>
  </si>
  <si>
    <t>C646</t>
  </si>
  <si>
    <t>AZ Super Plumber - The Plumbing Store</t>
  </si>
  <si>
    <t>(928) 778-0780</t>
  </si>
  <si>
    <t>Size est. midpoint - website team page names ~9-10 staff (2 owners, 5 techs, office)</t>
  </si>
  <si>
    <t>C647</t>
  </si>
  <si>
    <t>Maloney Plumbing &amp; Drain Services in Phoenix, AZ</t>
  </si>
  <si>
    <t>(602) 671-3617</t>
  </si>
  <si>
    <t>C648</t>
  </si>
  <si>
    <t>Benjamin Franklin Plumbing of Prescott</t>
  </si>
  <si>
    <t>(928) 235-9474</t>
  </si>
  <si>
    <t>C649</t>
  </si>
  <si>
    <t>Benjamin Franklin Plumbing of Mohave County</t>
  </si>
  <si>
    <t>(928) 882-2691</t>
  </si>
  <si>
    <t>C650</t>
  </si>
  <si>
    <t>Olive Air, Heating &amp; AC Repair</t>
  </si>
  <si>
    <t>(602) 878-6394</t>
  </si>
  <si>
    <t>C651</t>
  </si>
  <si>
    <t>Van Rooy Plumbing, Inc</t>
  </si>
  <si>
    <t>(928) 855-3243</t>
  </si>
  <si>
    <t>ROC 55194 R-37R</t>
  </si>
  <si>
    <t>C652</t>
  </si>
  <si>
    <t>Air-zona Air Conditioning, Heating &amp; Ventilation L.L.C.</t>
  </si>
  <si>
    <t>(602) 584-5439</t>
  </si>
  <si>
    <t>C653</t>
  </si>
  <si>
    <t>Dignity Plumbers Service &amp; Water Softeners</t>
  </si>
  <si>
    <t>Youngtown</t>
  </si>
  <si>
    <t>(623) 235-4045</t>
  </si>
  <si>
    <t>Size est. midpoint - owner-operator master plumber featured; no other staff named</t>
  </si>
  <si>
    <t>C654</t>
  </si>
  <si>
    <t>Zippity Split Plumbing, Drain Cleaning, and Sewer Repair</t>
  </si>
  <si>
    <t>(480) 448-6237</t>
  </si>
  <si>
    <t>C655</t>
  </si>
  <si>
    <t>AirZona Heating &amp; Cooling LLC / Zona Plumbing LLC</t>
  </si>
  <si>
    <t>(520) 302-0562</t>
  </si>
  <si>
    <t>Size est. midpoint - about page names 4 staff (owner, tech, accounting, dispatch)</t>
  </si>
  <si>
    <t>C656</t>
  </si>
  <si>
    <t>Custom Plumbing of Arizona - Phoenix</t>
  </si>
  <si>
    <t>(602) 866-2665</t>
  </si>
  <si>
    <t>C657</t>
  </si>
  <si>
    <t>Rusty's Air Conditioning And Heating, Water Treatment</t>
  </si>
  <si>
    <t>(480) 631-4244</t>
  </si>
  <si>
    <t>C658</t>
  </si>
  <si>
    <t>Dynamic Comfort AC and Heating</t>
  </si>
  <si>
    <t>(520) 323-0008</t>
  </si>
  <si>
    <t>Size est. midpoint - BBB profile lists Number of Employees: 10</t>
  </si>
  <si>
    <t>C659</t>
  </si>
  <si>
    <t>Amigo Rooter &amp; Plumbing Phoenix Arizona</t>
  </si>
  <si>
    <t>(602) 446-6576</t>
  </si>
  <si>
    <t>C660</t>
  </si>
  <si>
    <t>FACT HVAC</t>
  </si>
  <si>
    <t>(480) 360-6560</t>
  </si>
  <si>
    <t>C661</t>
  </si>
  <si>
    <t>Autocare Air Conditioning &amp; Auto Repair</t>
  </si>
  <si>
    <t>(602) 569-0871</t>
  </si>
  <si>
    <t>Size est. midpoint - single-location auto repair shop (not HVAC contractor); typical small shop</t>
  </si>
  <si>
    <t>C662</t>
  </si>
  <si>
    <t>One Hour Air Conditioning &amp; Heating of Scottsdale</t>
  </si>
  <si>
    <t>(480) 907-3938</t>
  </si>
  <si>
    <t>VERIFY: Apollo matched a different/parent org | Cell pulled from Apollo contacts</t>
  </si>
  <si>
    <t>C663</t>
  </si>
  <si>
    <t>All Pro AC</t>
  </si>
  <si>
    <t>(602) 818-0024</t>
  </si>
  <si>
    <t>Size est. midpoint - founder-led family shop since 2001, owner + installation team, no count</t>
  </si>
  <si>
    <t>C664</t>
  </si>
  <si>
    <t>Roto-Rooter Plumbing &amp; Water Cleanup</t>
  </si>
  <si>
    <t>(480) 428-6335</t>
  </si>
  <si>
    <t>VERIFY: size data looks like parent/franchise org</t>
  </si>
  <si>
    <t>C665</t>
  </si>
  <si>
    <t>Jobe &amp; Sons Plumbing</t>
  </si>
  <si>
    <t>(520) 850-4552</t>
  </si>
  <si>
    <t>ROC 336499 CR-37 | Size est. midpoint - BBB lists Number of Employees: 1 (started 2022)</t>
  </si>
  <si>
    <t>C666</t>
  </si>
  <si>
    <t>ACS Air &amp; Plumbing</t>
  </si>
  <si>
    <t>(520) 402-3444</t>
  </si>
  <si>
    <t>C667</t>
  </si>
  <si>
    <t>RCS Plumbing Heating Cooling</t>
  </si>
  <si>
    <t>(480) 662-0382</t>
  </si>
  <si>
    <t>C668</t>
  </si>
  <si>
    <t>Ram Plumbing, Inc.</t>
  </si>
  <si>
    <t>(520) 999-2647</t>
  </si>
  <si>
    <t>ROC 157475 CR-37</t>
  </si>
  <si>
    <t>C669</t>
  </si>
  <si>
    <t>MVP Plumbing</t>
  </si>
  <si>
    <t>(480) 868-6722</t>
  </si>
  <si>
    <t>C670</t>
  </si>
  <si>
    <t>Nichols Air Conditioning Specialists</t>
  </si>
  <si>
    <t>(520) 977-6819 ext. 1</t>
  </si>
  <si>
    <t>C671</t>
  </si>
  <si>
    <t>Nichols Plumbing, Electrical, &amp; HVAC</t>
  </si>
  <si>
    <t>(928) 228-0234</t>
  </si>
  <si>
    <t>Size est. midpoint - founded 2017, multi-trade with 2 locations (Cottonwood + Bullhead City), no exact count</t>
  </si>
  <si>
    <t>C672</t>
  </si>
  <si>
    <t>Connolly Electric &amp; Mechanical</t>
  </si>
  <si>
    <t>(928) 274-2263</t>
  </si>
  <si>
    <t>(928) 639-4251</t>
  </si>
  <si>
    <t>ROC 298346 CR-39</t>
  </si>
  <si>
    <t>C673</t>
  </si>
  <si>
    <t>Prescott Valley Heating and Cooling LLC</t>
  </si>
  <si>
    <t>(928) 458-8177</t>
  </si>
  <si>
    <t>C674</t>
  </si>
  <si>
    <t>Spartan Plumbing Solutions LLC</t>
  </si>
  <si>
    <t>(602) 366-9077</t>
  </si>
  <si>
    <t>C675</t>
  </si>
  <si>
    <t>SG Mechanical Heating &amp; Air</t>
  </si>
  <si>
    <t>(602) 828-6206</t>
  </si>
  <si>
    <t>(623) 777-9577</t>
  </si>
  <si>
    <t>Contact title 'General Manager' - verify decision maker</t>
  </si>
  <si>
    <t>C676</t>
  </si>
  <si>
    <t>DR Plumbing | Plumbers Marana</t>
  </si>
  <si>
    <t>(520) 373-8045</t>
  </si>
  <si>
    <t>C677</t>
  </si>
  <si>
    <t>AC Medic Heating &amp; Air</t>
  </si>
  <si>
    <t>(928) 848-6224</t>
  </si>
  <si>
    <t>ROC 302474 CR-39</t>
  </si>
  <si>
    <t>C678</t>
  </si>
  <si>
    <t>TSC Air</t>
  </si>
  <si>
    <t>(480) 460-1487</t>
  </si>
  <si>
    <t>VERIFY: Apollo matched a different/parent org | Size est. midpoint - about page: grown to 10 employees since 2007, ~11 staff named</t>
  </si>
  <si>
    <t>C679</t>
  </si>
  <si>
    <t>Martin Air HVAC</t>
  </si>
  <si>
    <t>(480) 500-7393</t>
  </si>
  <si>
    <t>ROC 319042 CR-39</t>
  </si>
  <si>
    <t>C680</t>
  </si>
  <si>
    <t>Instant Plumbing and Rooter</t>
  </si>
  <si>
    <t>(480) 353-7267</t>
  </si>
  <si>
    <t>C681</t>
  </si>
  <si>
    <t>Plumber of Tucson</t>
  </si>
  <si>
    <t>(520) 900-9010</t>
  </si>
  <si>
    <t>ROC 296073 CR-37</t>
  </si>
  <si>
    <t>C682</t>
  </si>
  <si>
    <t>Somers Plumbers - Phoenix Plumbing Company</t>
  </si>
  <si>
    <t>(480) 568-2596</t>
  </si>
  <si>
    <t>Size est. midpoint - owner-led local shop, site references team of plumbers, no count</t>
  </si>
  <si>
    <t>C683</t>
  </si>
  <si>
    <t>Temco AC Repair &amp; Replacement</t>
  </si>
  <si>
    <t>(520) 341-2178</t>
  </si>
  <si>
    <t>VERIFY: Apollo matched a different/parent org | ROC 116379 R-39R</t>
  </si>
  <si>
    <t>C684</t>
  </si>
  <si>
    <t>P3 Plumbing AZ</t>
  </si>
  <si>
    <t>Wittmann</t>
  </si>
  <si>
    <t>(623) 500-6886</t>
  </si>
  <si>
    <t>C685</t>
  </si>
  <si>
    <t>T.C.R. Rooter and Plumbing Repair</t>
  </si>
  <si>
    <t>(928) 773-4905</t>
  </si>
  <si>
    <t>C686</t>
  </si>
  <si>
    <t>Eagle Air AC Repair</t>
  </si>
  <si>
    <t>(480) 748-1781</t>
  </si>
  <si>
    <t>C687</t>
  </si>
  <si>
    <t>A.S.G. Plumbing Enterprises Tucson</t>
  </si>
  <si>
    <t>(520) 351-2787</t>
  </si>
  <si>
    <t>C688</t>
  </si>
  <si>
    <t>Jorge's Plumbing LLC</t>
  </si>
  <si>
    <t>(928) 323-6418</t>
  </si>
  <si>
    <t>C689</t>
  </si>
  <si>
    <t>All Aloha Plumbing Phoenix</t>
  </si>
  <si>
    <t>(480) 447-8153</t>
  </si>
  <si>
    <t>C690</t>
  </si>
  <si>
    <t>Drain Medics - No-Dig Sewer Repair</t>
  </si>
  <si>
    <t>(520) 500-7228</t>
  </si>
  <si>
    <t>C691</t>
  </si>
  <si>
    <t>Roto-Rooter Plumbing Yuma - 24/7</t>
  </si>
  <si>
    <t>(928) 275-3505</t>
  </si>
  <si>
    <t>C692</t>
  </si>
  <si>
    <t>Struse Plumbing &amp; Air Inc</t>
  </si>
  <si>
    <t>(520) 378-1367</t>
  </si>
  <si>
    <t>Other locations: Sierra Vista | ROC 106818 R-37R</t>
  </si>
  <si>
    <t>C693</t>
  </si>
  <si>
    <t>Jobe &amp; Sons Plumbing- Northwest</t>
  </si>
  <si>
    <t>C694</t>
  </si>
  <si>
    <t>Pineapple Air Heating &amp; Cooling</t>
  </si>
  <si>
    <t>(480) 310-0240</t>
  </si>
  <si>
    <t>ROC 320453 CR-39</t>
  </si>
  <si>
    <t>C695</t>
  </si>
  <si>
    <t>Rooter Ready and Plumbing Solutions</t>
  </si>
  <si>
    <t>(602) 762-6936</t>
  </si>
  <si>
    <t>C696</t>
  </si>
  <si>
    <t>Mission Accomplished Heating and Cooling</t>
  </si>
  <si>
    <t>(928) 517-7703</t>
  </si>
  <si>
    <t>C697</t>
  </si>
  <si>
    <t>Gabriel's Air Care LLC Arizona Demolition Solution LLC</t>
  </si>
  <si>
    <t>Waddell</t>
  </si>
  <si>
    <t>(480) 519-1893</t>
  </si>
  <si>
    <t>C698</t>
  </si>
  <si>
    <t>A/C ExperTek Service and Installation</t>
  </si>
  <si>
    <t>(623) 537-4830</t>
  </si>
  <si>
    <t>C699</t>
  </si>
  <si>
    <t>PHD Plumbing</t>
  </si>
  <si>
    <t>(928) 597-1623</t>
  </si>
  <si>
    <t>C700</t>
  </si>
  <si>
    <t>Wood's Plumbing Enterprises LLC</t>
  </si>
  <si>
    <t>(520) 682-2233</t>
  </si>
  <si>
    <t>C701</t>
  </si>
  <si>
    <t>America’s Home Services Of Chandler</t>
  </si>
  <si>
    <t>(623) 286-3776</t>
  </si>
  <si>
    <t>C702</t>
  </si>
  <si>
    <t>All Drains Emergency Plumbing</t>
  </si>
  <si>
    <t>(602) 369-0958</t>
  </si>
  <si>
    <t>C703</t>
  </si>
  <si>
    <t>HVAC Heating &amp; Cooling LLC</t>
  </si>
  <si>
    <t>(520) 833-8982</t>
  </si>
  <si>
    <t>C704</t>
  </si>
  <si>
    <t>Baxter Brothers Plumbing</t>
  </si>
  <si>
    <t>(520) 438-4953</t>
  </si>
  <si>
    <t>C705</t>
  </si>
  <si>
    <t>Travis &amp; Sons Plumbing &amp; Rooter</t>
  </si>
  <si>
    <t>(480) 837-9422</t>
  </si>
  <si>
    <t>C706</t>
  </si>
  <si>
    <t>Saguaro Plumbing And Air Of Tempe</t>
  </si>
  <si>
    <t>(623) 343-4953</t>
  </si>
  <si>
    <t>C707</t>
  </si>
  <si>
    <t>Arizona Best Plumbers</t>
  </si>
  <si>
    <t>(520) 397-3653</t>
  </si>
  <si>
    <t>C708</t>
  </si>
  <si>
    <t>POP Plumbing LLC - Glendale</t>
  </si>
  <si>
    <t>(602) 529-0025</t>
  </si>
  <si>
    <t>C709</t>
  </si>
  <si>
    <t>Advanced Automotive &amp; Air Ride</t>
  </si>
  <si>
    <t>(520) 224-4906</t>
  </si>
  <si>
    <t>C710</t>
  </si>
  <si>
    <t>Liberty Tradesmen</t>
  </si>
  <si>
    <t>(602) 609-4324</t>
  </si>
  <si>
    <t>C711</t>
  </si>
  <si>
    <t>Cobra Plumbing LLC</t>
  </si>
  <si>
    <t>(602) 663-8432</t>
  </si>
  <si>
    <t>C712</t>
  </si>
  <si>
    <t>First Opinion HVAC LLC</t>
  </si>
  <si>
    <t>(602) 559-2437</t>
  </si>
  <si>
    <t>C713</t>
  </si>
  <si>
    <t>America’s Home Services Of Gilbert</t>
  </si>
  <si>
    <t>(623) 462-3591</t>
  </si>
  <si>
    <t>C714</t>
  </si>
  <si>
    <t>Air Duct Dynasty</t>
  </si>
  <si>
    <t>(928) 530-5346</t>
  </si>
  <si>
    <t>C715</t>
  </si>
  <si>
    <t>Corazon Air - Aire Acondicionado y Calefacción</t>
  </si>
  <si>
    <t>(602) 428-3358</t>
  </si>
  <si>
    <t>C716</t>
  </si>
  <si>
    <t>Johnson Family Plumber &amp; HVAC</t>
  </si>
  <si>
    <t>(623) 220-5400</t>
  </si>
  <si>
    <t>C717</t>
  </si>
  <si>
    <t>Alvarado's Heating and Cooling, Avondale</t>
  </si>
  <si>
    <t>(602) 571-5897</t>
  </si>
  <si>
    <t>C718</t>
  </si>
  <si>
    <t>Stanley &amp; Sons Heating &amp; Cooling Company</t>
  </si>
  <si>
    <t>(623) 400-8909</t>
  </si>
  <si>
    <t>C719</t>
  </si>
  <si>
    <t>Truelove Plumbing</t>
  </si>
  <si>
    <t>(928) 757-3553</t>
  </si>
  <si>
    <t>ROC 42091 R-37R</t>
  </si>
  <si>
    <t>C720</t>
  </si>
  <si>
    <t>Arizona Cooling Company</t>
  </si>
  <si>
    <t>(602) 339-2806</t>
  </si>
  <si>
    <t>C721</t>
  </si>
  <si>
    <t>America’s Home Services Of Glendale</t>
  </si>
  <si>
    <t>(623) 343-2611</t>
  </si>
  <si>
    <t>C722</t>
  </si>
  <si>
    <t>Innovative Air Queen Creek</t>
  </si>
  <si>
    <t>(602) 321-8205</t>
  </si>
  <si>
    <t>C723</t>
  </si>
  <si>
    <t>Allen Family Plumbing &amp; HVAC</t>
  </si>
  <si>
    <t>(520) 552-2777</t>
  </si>
  <si>
    <t>C724</t>
  </si>
  <si>
    <t>AC and Refrigeration (AC, Heating, Refrigeration, Electrical and Plumbing)</t>
  </si>
  <si>
    <t>(480) 890-0848</t>
  </si>
  <si>
    <t>C725</t>
  </si>
  <si>
    <t>E.R. Tankless &amp; Plumbing</t>
  </si>
  <si>
    <t>(480) 262-8662</t>
  </si>
  <si>
    <t>C726</t>
  </si>
  <si>
    <t>Magics Auto Ac &amp; Hose LLc</t>
  </si>
  <si>
    <t>(602) 299-0141</t>
  </si>
  <si>
    <t>C727</t>
  </si>
  <si>
    <t>AC by Sam LLC</t>
  </si>
  <si>
    <t>(480) 678-7445</t>
  </si>
  <si>
    <t>(480) 427-5588</t>
  </si>
  <si>
    <t>Contact title 'Owner &amp; Lead HVAC Technician' - verify decision maker | ROC 338841</t>
  </si>
  <si>
    <t>C728</t>
  </si>
  <si>
    <t>Techcool AC Repair Scottsdale</t>
  </si>
  <si>
    <t>(602) 785-6230</t>
  </si>
  <si>
    <t>C729</t>
  </si>
  <si>
    <t>Affordable Plumber AZ LLC</t>
  </si>
  <si>
    <t>(480) 702-6165</t>
  </si>
  <si>
    <t>C730</t>
  </si>
  <si>
    <t>Core Comfort HVAC</t>
  </si>
  <si>
    <t>(602) 960-2278</t>
  </si>
  <si>
    <t>C731</t>
  </si>
  <si>
    <t>Arizona VIP Plumbing Sewer &amp; Fire Protection</t>
  </si>
  <si>
    <t>(928) 543-1949</t>
  </si>
  <si>
    <t>C732</t>
  </si>
  <si>
    <t>Hunter Brothers Heating &amp; AC</t>
  </si>
  <si>
    <t>(623) 343-7600</t>
  </si>
  <si>
    <t>C733</t>
  </si>
  <si>
    <t>Charlie Hall's Wrangler Plumbing</t>
  </si>
  <si>
    <t>(928) 474-4032</t>
  </si>
  <si>
    <t>C734</t>
  </si>
  <si>
    <t>AZ AIRCOND LLC -Cooling Heating Plumbing</t>
  </si>
  <si>
    <t>(623) 882-4549</t>
  </si>
  <si>
    <t>C735</t>
  </si>
  <si>
    <t>Auto Air Conditioning Repair Shop</t>
  </si>
  <si>
    <t>(602) 370-2376</t>
  </si>
  <si>
    <t>C736</t>
  </si>
  <si>
    <t>Proforce Plumbing Sewer &amp; Drain</t>
  </si>
  <si>
    <t>(623) 323-8800</t>
  </si>
  <si>
    <t>Other locations: Scottsdale</t>
  </si>
  <si>
    <t>C737</t>
  </si>
  <si>
    <t>E &amp; S Plumbing Services</t>
  </si>
  <si>
    <t>(928) 526-1123</t>
  </si>
  <si>
    <t>ROC 246128 CR-37</t>
  </si>
  <si>
    <t>C738</t>
  </si>
  <si>
    <t>Simpson Plumbing LLC</t>
  </si>
  <si>
    <t>(864) 884-5758</t>
  </si>
  <si>
    <t>(928) 216-5329</t>
  </si>
  <si>
    <t>C739</t>
  </si>
  <si>
    <t>Comstock Air</t>
  </si>
  <si>
    <t>(928) 783-7062</t>
  </si>
  <si>
    <t>C740</t>
  </si>
  <si>
    <t>Precision Plumber Buckeye</t>
  </si>
  <si>
    <t>(623) 624-9210</t>
  </si>
  <si>
    <t>C741</t>
  </si>
  <si>
    <t>Kia's Air Conditioning / stop by #1</t>
  </si>
  <si>
    <t>(520) 836-3213</t>
  </si>
  <si>
    <t>C742</t>
  </si>
  <si>
    <t>Carter &amp; Sons HVAC &amp; Plumbing LLC</t>
  </si>
  <si>
    <t>(623) 920-0873</t>
  </si>
  <si>
    <t>C743</t>
  </si>
  <si>
    <t>PT Plumbing Casa Grande</t>
  </si>
  <si>
    <t>(520) 705-7682</t>
  </si>
  <si>
    <t>C744</t>
  </si>
  <si>
    <t>ChillTek AC Repair</t>
  </si>
  <si>
    <t>(623) 263-3300</t>
  </si>
  <si>
    <t>C745</t>
  </si>
  <si>
    <t>AARO Enterprises, HVAC Contractor</t>
  </si>
  <si>
    <t>(928) 855-7283</t>
  </si>
  <si>
    <t>C746</t>
  </si>
  <si>
    <t>Aarow Plumbing Inc</t>
  </si>
  <si>
    <t>(520) 888-5707</t>
  </si>
  <si>
    <t>ROC 207075 CR-37</t>
  </si>
  <si>
    <t>C747</t>
  </si>
  <si>
    <t>Cooler Tymes - Formerly Hart Heating and Cooling</t>
  </si>
  <si>
    <t>(928) 282-4265</t>
  </si>
  <si>
    <t>C748</t>
  </si>
  <si>
    <t>24/7 Craig Plumbing Bullhead City AZ</t>
  </si>
  <si>
    <t>(928) 754-7173</t>
  </si>
  <si>
    <t>C749</t>
  </si>
  <si>
    <t>HOWLAIR Air Conditioning &amp; Heating HVAC</t>
  </si>
  <si>
    <t>(480) 297-1064</t>
  </si>
  <si>
    <t>C750</t>
  </si>
  <si>
    <t>Major HVAC l.l.c</t>
  </si>
  <si>
    <t>(847) 481-9189</t>
  </si>
  <si>
    <t>C751</t>
  </si>
  <si>
    <t>Drain Solutions and Plumbing Service</t>
  </si>
  <si>
    <t>(928) 303-0705</t>
  </si>
  <si>
    <t>C752</t>
  </si>
  <si>
    <t>Foothills Air Conditioning</t>
  </si>
  <si>
    <t>(928) 342-9164</t>
  </si>
  <si>
    <t>C753</t>
  </si>
  <si>
    <t>Prospector Plumbing and Septic pumping , Apache Junction AZ85119</t>
  </si>
  <si>
    <t>(480) 228-3456</t>
  </si>
  <si>
    <t>C754</t>
  </si>
  <si>
    <t>Next Plumbing &amp; Heating</t>
  </si>
  <si>
    <t>(480) 771-2550</t>
  </si>
  <si>
    <t>C755</t>
  </si>
  <si>
    <t>Davis Brothers Heating &amp; Air Conditioning</t>
  </si>
  <si>
    <t>C756</t>
  </si>
  <si>
    <t>Dub's Plumbing Services</t>
  </si>
  <si>
    <t>Oracle</t>
  </si>
  <si>
    <t>(520) 896-2648</t>
  </si>
  <si>
    <t>C757</t>
  </si>
  <si>
    <t>Executive Heating &amp; Air Conditioning</t>
  </si>
  <si>
    <t>(928) 440-5388</t>
  </si>
  <si>
    <t>ROC 316395 CR-39</t>
  </si>
  <si>
    <t>C758</t>
  </si>
  <si>
    <t>Marco's Mam Plumbing &amp; Repair</t>
  </si>
  <si>
    <t>(928) 763-8270</t>
  </si>
  <si>
    <t>C759</t>
  </si>
  <si>
    <t>AC Air conditioning &amp; Heating</t>
  </si>
  <si>
    <t>(602) 313-3802</t>
  </si>
  <si>
    <t>C760</t>
  </si>
  <si>
    <t>Your Phoenix HVAC</t>
  </si>
  <si>
    <t>(480) 426-9664</t>
  </si>
  <si>
    <t>C761</t>
  </si>
  <si>
    <t>Oak Creek Heating &amp; Cooling</t>
  </si>
  <si>
    <t>(928) 204-1120</t>
  </si>
  <si>
    <t>ROC 204730 CR-39</t>
  </si>
  <si>
    <t>C762</t>
  </si>
  <si>
    <t>Roto-Rooter Sewer &amp; Drain Service</t>
  </si>
  <si>
    <t>(520) 458-9296</t>
  </si>
  <si>
    <t>C763</t>
  </si>
  <si>
    <t>One Shot Installation Electrical, Plumbing &amp; Appliance Repair-Electrician &amp; Plumber Flagstaff, AZ.</t>
  </si>
  <si>
    <t>(602) 791-5659</t>
  </si>
  <si>
    <t>C764</t>
  </si>
  <si>
    <t>Airtronics Air Conditioning &amp; Heating</t>
  </si>
  <si>
    <t>(928) 782-2405</t>
  </si>
  <si>
    <t>C765</t>
  </si>
  <si>
    <t>Scottsdale AC Pros - AC Repair and AC Replacement</t>
  </si>
  <si>
    <t>(480) 272-1317</t>
  </si>
  <si>
    <t>C766</t>
  </si>
  <si>
    <t>Vertical Plumbing Goodyear</t>
  </si>
  <si>
    <t>(877) 514-5116</t>
  </si>
  <si>
    <t>C767</t>
  </si>
  <si>
    <t>High Efficiency Air Conditioning Inc.</t>
  </si>
  <si>
    <t>(480) 262-5022</t>
  </si>
  <si>
    <t>C768</t>
  </si>
  <si>
    <t>Air Solutions</t>
  </si>
  <si>
    <t>(928) 955-3200</t>
  </si>
  <si>
    <t>ascmando@airsolutions.company</t>
  </si>
  <si>
    <t>ROC 331105 CR-39</t>
  </si>
  <si>
    <t>C769</t>
  </si>
  <si>
    <t>Northland Plumbing</t>
  </si>
  <si>
    <t>(928) 451-3277</t>
  </si>
  <si>
    <t>C770</t>
  </si>
  <si>
    <t>Plumbers Crack Plumbing</t>
  </si>
  <si>
    <t>(951) 783-6789</t>
  </si>
  <si>
    <t>Other locations: Kingman</t>
  </si>
  <si>
    <t>C771</t>
  </si>
  <si>
    <t>ZonAir AC Repair Tempe</t>
  </si>
  <si>
    <t>(480) 916-2780</t>
  </si>
  <si>
    <t>C772</t>
  </si>
  <si>
    <t>Davidson Plumbing &amp; Heating, LLC</t>
  </si>
  <si>
    <t>(928) 556-0022</t>
  </si>
  <si>
    <t>C773</t>
  </si>
  <si>
    <t>Arizona Sewer Solution Plumbing and Drain</t>
  </si>
  <si>
    <t>(520) 277-7119</t>
  </si>
  <si>
    <t>C774</t>
  </si>
  <si>
    <t>San Tan Valley Emergency Plumbing</t>
  </si>
  <si>
    <t>(623) 462-9710</t>
  </si>
  <si>
    <t>C775</t>
  </si>
  <si>
    <t>Endivo Plumbing</t>
  </si>
  <si>
    <t>(928) 832-3327</t>
  </si>
  <si>
    <t>C776</t>
  </si>
  <si>
    <t>Arizona EZ AC</t>
  </si>
  <si>
    <t>(480) 660-6604</t>
  </si>
  <si>
    <t>C777</t>
  </si>
  <si>
    <t>Lynlee Plumbing</t>
  </si>
  <si>
    <t>(928) 257-1441</t>
  </si>
  <si>
    <t>C778</t>
  </si>
  <si>
    <t>A &amp; C Plumbing Concepts, Inc.</t>
  </si>
  <si>
    <t>(928) 788-2222</t>
  </si>
  <si>
    <t>C779</t>
  </si>
  <si>
    <t>Jonez Contracting &amp; Handyman Service</t>
  </si>
  <si>
    <t>(315) 416-3160</t>
  </si>
  <si>
    <t>(928) 530-1914</t>
  </si>
  <si>
    <t>Contact title 'Principal Owner' - verify decision maker</t>
  </si>
  <si>
    <t>C780</t>
  </si>
  <si>
    <t>halls plumbing</t>
  </si>
  <si>
    <t>Eloy</t>
  </si>
  <si>
    <t>(520) 466-1163</t>
  </si>
  <si>
    <t>C781</t>
  </si>
  <si>
    <t>United Plumbers Tempe</t>
  </si>
  <si>
    <t>(623) 352-3534</t>
  </si>
  <si>
    <t>C782</t>
  </si>
  <si>
    <t>Configuration Air LLC</t>
  </si>
  <si>
    <t>(928) 726-9886</t>
  </si>
  <si>
    <t>ROC 312441 CR-39</t>
  </si>
  <si>
    <t>C783</t>
  </si>
  <si>
    <t>Phoenician Plumbing LLC</t>
  </si>
  <si>
    <t>(623) 290-3272</t>
  </si>
  <si>
    <t>C784</t>
  </si>
  <si>
    <t>Gateway Heating &amp; Cooling LLC</t>
  </si>
  <si>
    <t>(480) 655-5678</t>
  </si>
  <si>
    <t>C785</t>
  </si>
  <si>
    <t>Discount Plumbing Pros</t>
  </si>
  <si>
    <t>(602) 386-9750</t>
  </si>
  <si>
    <t>C786</t>
  </si>
  <si>
    <t>Maricopa Mountain Plumbing</t>
  </si>
  <si>
    <t>(520) 424-9414</t>
  </si>
  <si>
    <t>C787</t>
  </si>
  <si>
    <t>Prime AC Repair Phoenix</t>
  </si>
  <si>
    <t>(602) 848-8237</t>
  </si>
  <si>
    <t>C788</t>
  </si>
  <si>
    <t>OneCall Plumber Scottsdale</t>
  </si>
  <si>
    <t>(480) 908-2275</t>
  </si>
  <si>
    <t>C789</t>
  </si>
  <si>
    <t>Quality Pumping Septic Services</t>
  </si>
  <si>
    <t>(928) 978-8838</t>
  </si>
  <si>
    <t>C790</t>
  </si>
  <si>
    <t>Felix Appliance Heating &amp; Air in Casa Grande</t>
  </si>
  <si>
    <t>(520) 462-5293</t>
  </si>
  <si>
    <t>C791</t>
  </si>
  <si>
    <t>Ez AC Repair Scottsdale</t>
  </si>
  <si>
    <t>(602) 848-8238</t>
  </si>
  <si>
    <t>C792</t>
  </si>
  <si>
    <t>A&amp;M Refrigeration LLC</t>
  </si>
  <si>
    <t>(928) 318-5749</t>
  </si>
  <si>
    <t>C793</t>
  </si>
  <si>
    <t>The Son's Plumbing Service</t>
  </si>
  <si>
    <t>(520) 421-0123</t>
  </si>
  <si>
    <t>C794</t>
  </si>
  <si>
    <t>AZ Home Services Group AC Repair &amp; Plumbing Services of Chandler</t>
  </si>
  <si>
    <t>(480) 903-5615</t>
  </si>
  <si>
    <t>C795</t>
  </si>
  <si>
    <t>Rush Air Conditioning &amp; Refrigeration, LLC</t>
  </si>
  <si>
    <t>(520) 840-9851</t>
  </si>
  <si>
    <t>(520) 840-2681</t>
  </si>
  <si>
    <t>Contact title 'HVAC' - verify decision maker | ROC 278214 CR-39</t>
  </si>
  <si>
    <t>C796</t>
  </si>
  <si>
    <t>Briggs Air Conditioning Heating &amp; Refrigeration</t>
  </si>
  <si>
    <t>(623) 474-5069</t>
  </si>
  <si>
    <t>C797</t>
  </si>
  <si>
    <t>New Plumbing Phoenix</t>
  </si>
  <si>
    <t>(480) 956-6332</t>
  </si>
  <si>
    <t>C798</t>
  </si>
  <si>
    <t>Bullhead Plumbing Inc.</t>
  </si>
  <si>
    <t>(928) 763-0992</t>
  </si>
  <si>
    <t>C799</t>
  </si>
  <si>
    <t>Gate HVAC Repair System</t>
  </si>
  <si>
    <t>(520) 772-4070</t>
  </si>
  <si>
    <t>C800</t>
  </si>
  <si>
    <t>A A Action Plumbing Co</t>
  </si>
  <si>
    <t>(928) 344-1860</t>
  </si>
  <si>
    <t>C801</t>
  </si>
  <si>
    <t>Affordable HVAC maintenance Casa Grande</t>
  </si>
  <si>
    <t>(520) 650-8565</t>
  </si>
  <si>
    <t>C802</t>
  </si>
  <si>
    <t>Cool Breeze AC Repair Surprise AZ</t>
  </si>
  <si>
    <t>(928) 455-8347</t>
  </si>
  <si>
    <t>C803</t>
  </si>
  <si>
    <t>Quality Refrigeration Supply LLC</t>
  </si>
  <si>
    <t>(928) 234-7882</t>
  </si>
  <si>
    <t>C804</t>
  </si>
  <si>
    <t>AC/DC Design and Fabrication</t>
  </si>
  <si>
    <t>(928) 892-5794</t>
  </si>
  <si>
    <t>C805</t>
  </si>
  <si>
    <t>Plumbing &amp; Electrical Concepts</t>
  </si>
  <si>
    <t>(928) 773-1441</t>
  </si>
  <si>
    <t>C806</t>
  </si>
  <si>
    <t>Penn-Tek</t>
  </si>
  <si>
    <t>(520) 458-4029</t>
  </si>
  <si>
    <t>C807</t>
  </si>
  <si>
    <t>Professional AC Repair Peoria</t>
  </si>
  <si>
    <t>(520) 842-5107</t>
  </si>
  <si>
    <t>C808</t>
  </si>
  <si>
    <t>Glendale HVAC Contractor Pro LLC</t>
  </si>
  <si>
    <t>(623) 292-8992</t>
  </si>
  <si>
    <t>C809</t>
  </si>
  <si>
    <t>P&amp;R Plumbing Services And Air LLC</t>
  </si>
  <si>
    <t>(520) 472-9043</t>
  </si>
  <si>
    <t>C810</t>
  </si>
  <si>
    <t>SunPeak AC Repair Buckeye</t>
  </si>
  <si>
    <t>(623) 278-6559</t>
  </si>
  <si>
    <t>C811</t>
  </si>
  <si>
    <t>Kaylormade Plumbing - Emergency Plumber</t>
  </si>
  <si>
    <t>(480) 202-6392</t>
  </si>
  <si>
    <t>C812</t>
  </si>
  <si>
    <t>HighPeak Prescott HVAC Repair</t>
  </si>
  <si>
    <t>(928) 470-2550</t>
  </si>
  <si>
    <t>C813</t>
  </si>
  <si>
    <t>Liberty Plumbing - Flagstaff</t>
  </si>
  <si>
    <t>(928) 851-7779</t>
  </si>
  <si>
    <t>C814</t>
  </si>
  <si>
    <t>Affordable Avondale AC Repair</t>
  </si>
  <si>
    <t>(520) 842-5099</t>
  </si>
  <si>
    <t>C815</t>
  </si>
  <si>
    <t>Prescott Valley HVAC Repair Proline</t>
  </si>
  <si>
    <t>(480) 520-0063</t>
  </si>
  <si>
    <t>C816</t>
  </si>
  <si>
    <t>Steve Dick AC LLC</t>
  </si>
  <si>
    <t>(602) 526-0242</t>
  </si>
  <si>
    <t>C817</t>
  </si>
  <si>
    <t>Avery Plumbing Inc</t>
  </si>
  <si>
    <t>(928) 521-2000</t>
  </si>
  <si>
    <t>C818</t>
  </si>
  <si>
    <t>High Country Plumbing</t>
  </si>
  <si>
    <t>(928) 476-3462</t>
  </si>
  <si>
    <t>C819</t>
  </si>
  <si>
    <t>Roto-Rooter Show Low - Septic &amp; Drain Cleaning</t>
  </si>
  <si>
    <t>Taylor</t>
  </si>
  <si>
    <t>(928) 537-3123</t>
  </si>
  <si>
    <t>C820</t>
  </si>
  <si>
    <t>Hoosier Plumbing Company - Maricopa, AZ</t>
  </si>
  <si>
    <t>(520) 251-4467</t>
  </si>
  <si>
    <t>C821</t>
  </si>
  <si>
    <t>Laba Plumbing</t>
  </si>
  <si>
    <t>(928) 310-5006</t>
  </si>
  <si>
    <t>C822</t>
  </si>
  <si>
    <t>Reliable AC Repair Maricopa</t>
  </si>
  <si>
    <t>(520) 842-5058</t>
  </si>
  <si>
    <t>C823</t>
  </si>
  <si>
    <t>Expert Plumber Glendale</t>
  </si>
  <si>
    <t>(747) 330-9256</t>
  </si>
  <si>
    <t>C824</t>
  </si>
  <si>
    <t>Best Plumbing Goodyear AZ</t>
  </si>
  <si>
    <t>(602) 898-0986</t>
  </si>
  <si>
    <t>C825</t>
  </si>
  <si>
    <t>Lake Havasu City Heating &amp; Air Conditioning</t>
  </si>
  <si>
    <t>(928) 239-5604</t>
  </si>
  <si>
    <t>C826</t>
  </si>
  <si>
    <t>Trusted Chandler HVAC Repair</t>
  </si>
  <si>
    <t>(602) 669-6237</t>
  </si>
  <si>
    <t>C827</t>
  </si>
  <si>
    <t>Master Plumbing Gilbert AZ</t>
  </si>
  <si>
    <t>(480) 470-2687</t>
  </si>
  <si>
    <t>C828</t>
  </si>
  <si>
    <t>HomeFix HVAC Masters</t>
  </si>
  <si>
    <t>C829</t>
  </si>
  <si>
    <t>Lakeland Advanced Climate Control</t>
  </si>
  <si>
    <t>C830</t>
  </si>
  <si>
    <t>D&amp;M Construction, Electrical, &amp; Plumbing</t>
  </si>
  <si>
    <t>(602) 739-1539</t>
  </si>
  <si>
    <t>C831</t>
  </si>
  <si>
    <t>Plumbing Buckeye Sol</t>
  </si>
  <si>
    <t>(602) 559-1515</t>
  </si>
  <si>
    <t>C832</t>
  </si>
  <si>
    <t>Catalyst Heating Service</t>
  </si>
  <si>
    <t>(760) 418-6240</t>
  </si>
  <si>
    <t>C833</t>
  </si>
  <si>
    <t>Hughes Supply Buckeye</t>
  </si>
  <si>
    <t>(623) 251-1711</t>
  </si>
  <si>
    <t>C834</t>
  </si>
  <si>
    <t>Avondale Plumbing &amp; Drain Services Exp</t>
  </si>
  <si>
    <t>(623) 220-4266</t>
  </si>
  <si>
    <t>C835</t>
  </si>
  <si>
    <t>Aaa Affordable AC</t>
  </si>
  <si>
    <t>(928) 505-0370</t>
  </si>
  <si>
    <t>C836</t>
  </si>
  <si>
    <t>Tempe Professional Plumbing</t>
  </si>
  <si>
    <t>(623) 335-1887</t>
  </si>
  <si>
    <t>C837</t>
  </si>
  <si>
    <t>Tite Plumbing Glendale</t>
  </si>
  <si>
    <t>(602) 960-0872</t>
  </si>
  <si>
    <t>C838</t>
  </si>
  <si>
    <t>Phoenix HVAC Repair Authority</t>
  </si>
  <si>
    <t>(480) 520-3392</t>
  </si>
  <si>
    <t>C839</t>
  </si>
  <si>
    <t>Jennings Handyman &amp; Roof Repair</t>
  </si>
  <si>
    <t>(760) 953-0731</t>
  </si>
  <si>
    <t>C840</t>
  </si>
  <si>
    <t>Ginco Plumbing &amp; Excavating</t>
  </si>
  <si>
    <t>(480) 288-1077</t>
  </si>
  <si>
    <t>C841</t>
  </si>
  <si>
    <t>Peoria Plumbing &amp; Drain</t>
  </si>
  <si>
    <t>(623) 237-3734</t>
  </si>
  <si>
    <t>C842</t>
  </si>
  <si>
    <t>AC Repair Near Me Of Scottsdale</t>
  </si>
  <si>
    <t>(480) 757-5817</t>
  </si>
  <si>
    <t>C843</t>
  </si>
  <si>
    <t>Bud's Plumbing</t>
  </si>
  <si>
    <t>C844</t>
  </si>
  <si>
    <t>Plumbing, Drain &amp; Sewer Pros</t>
  </si>
  <si>
    <t>(520) 231-2169</t>
  </si>
  <si>
    <t>C845</t>
  </si>
  <si>
    <t>Goodyear Plumbing &amp; Piping</t>
  </si>
  <si>
    <t>(623) 301-8596</t>
  </si>
  <si>
    <t>C846</t>
  </si>
  <si>
    <t>Pro Plumbers Surprise</t>
  </si>
  <si>
    <t>(623) 335-3116</t>
  </si>
  <si>
    <t>C847</t>
  </si>
  <si>
    <t>Boreal HVAC Service</t>
  </si>
  <si>
    <t>(520) 346-8261</t>
  </si>
  <si>
    <t>C848</t>
  </si>
  <si>
    <t>Top Tier Plumbing LLC</t>
  </si>
  <si>
    <t>(520) 466-1200</t>
  </si>
  <si>
    <t>C849</t>
  </si>
  <si>
    <t>HALTOM &amp; SON'S CONTRACTING - General Contractor in Show Low, Arizona</t>
  </si>
  <si>
    <t>(480) 616-4228</t>
  </si>
  <si>
    <t>C850</t>
  </si>
  <si>
    <t>Surprise Plumber and Handyman</t>
  </si>
  <si>
    <t>(602) 643-6000</t>
  </si>
  <si>
    <t>C851</t>
  </si>
  <si>
    <t>Sierra Sewer &amp; Drain Services</t>
  </si>
  <si>
    <t>(520) 458-9462</t>
  </si>
  <si>
    <t>C852</t>
  </si>
  <si>
    <t>Camdeton Air Conditioning &amp; Heating</t>
  </si>
  <si>
    <t>(928) 361-2353</t>
  </si>
  <si>
    <t>C853</t>
  </si>
  <si>
    <t>Steve Ash Plumbing</t>
  </si>
  <si>
    <t>(928) 282-7835</t>
  </si>
  <si>
    <t>C854</t>
  </si>
  <si>
    <t>Air Conditioning AZ Inc</t>
  </si>
  <si>
    <t>(520) 843-2599</t>
  </si>
  <si>
    <t>C855</t>
  </si>
  <si>
    <t>Jimco Air Duct Repair Service</t>
  </si>
  <si>
    <t>(702) 490-0469</t>
  </si>
  <si>
    <t>C856</t>
  </si>
  <si>
    <t>Prescott Valley Heating &amp; Air Conditioning</t>
  </si>
  <si>
    <t>(208) 897-3659</t>
  </si>
  <si>
    <t>C857</t>
  </si>
  <si>
    <t>HVAC Near Me Repair and Installation of Peoria</t>
  </si>
  <si>
    <t>(602) 812-2767</t>
  </si>
  <si>
    <t>C858</t>
  </si>
  <si>
    <t>Responsive Plumber Peoria</t>
  </si>
  <si>
    <t>(623) 260-0451</t>
  </si>
  <si>
    <t>C859</t>
  </si>
  <si>
    <t>Goodyear Plumbing &amp; Sewer</t>
  </si>
  <si>
    <t>(623) 305-0486</t>
  </si>
  <si>
    <t>C860</t>
  </si>
  <si>
    <t>General Contracting and Electrical Services LLC</t>
  </si>
  <si>
    <t>(928) 451-6374</t>
  </si>
  <si>
    <t>C861</t>
  </si>
  <si>
    <t>Show Low Plumbing LLC</t>
  </si>
  <si>
    <t>(928) 532-5050</t>
  </si>
  <si>
    <t>C862</t>
  </si>
  <si>
    <t>Inferno Heating Refrigeration &amp; HVAC Flagstaff</t>
  </si>
  <si>
    <t>(602) 854-7928</t>
  </si>
  <si>
    <t>C863</t>
  </si>
  <si>
    <t>Kin Plumbing Gilbert</t>
  </si>
  <si>
    <t>(480) 739-9705</t>
  </si>
  <si>
    <t>C864</t>
  </si>
  <si>
    <t>Air Conditioning Champ</t>
  </si>
  <si>
    <t>(480) 944-7044</t>
  </si>
  <si>
    <t>Other locations: Avondale</t>
  </si>
  <si>
    <t>C865</t>
  </si>
  <si>
    <t>ProFab Heating &amp; Cooling</t>
  </si>
  <si>
    <t>(928) 445-1183</t>
  </si>
  <si>
    <t>C866</t>
  </si>
  <si>
    <t>Right Pro Cool &amp; Heat</t>
  </si>
  <si>
    <t>(602) 737-2240</t>
  </si>
  <si>
    <t>C867</t>
  </si>
  <si>
    <t>AC Repair Near Me of Peoria</t>
  </si>
  <si>
    <t>(623) 295-1377</t>
  </si>
  <si>
    <t>C868</t>
  </si>
  <si>
    <t>Success Air Duct Service LLC</t>
  </si>
  <si>
    <t>(602) 536-8445</t>
  </si>
  <si>
    <t>C869</t>
  </si>
  <si>
    <t>HVAC Near Me Repair and Installation of Scottsdale</t>
  </si>
  <si>
    <t>(480) 885-8059</t>
  </si>
  <si>
    <t>C870</t>
  </si>
  <si>
    <t>Grande AC &amp; Heating Repair Inc.</t>
  </si>
  <si>
    <t>(520) 423-6434</t>
  </si>
  <si>
    <t>C871</t>
  </si>
  <si>
    <t>Sedona Verde Valley Plumbing</t>
  </si>
  <si>
    <t>Cornville</t>
  </si>
  <si>
    <t>(928) 282-5784</t>
  </si>
  <si>
    <t>C872</t>
  </si>
  <si>
    <t>Affordable Hometown Plumbing</t>
  </si>
  <si>
    <t>(928) 468-6589</t>
  </si>
  <si>
    <t>C873</t>
  </si>
  <si>
    <t>NAZY plumbing</t>
  </si>
  <si>
    <t>(928) 900-6299</t>
  </si>
  <si>
    <t>C874</t>
  </si>
  <si>
    <t>Glendale Plumbing Experts</t>
  </si>
  <si>
    <t>(520) 392-7887</t>
  </si>
  <si>
    <t>C875</t>
  </si>
  <si>
    <t>Elite HVAC Repair Scottsdale</t>
  </si>
  <si>
    <t>(623) 887-5125</t>
  </si>
  <si>
    <t>C876</t>
  </si>
  <si>
    <t>HVAC Near Me Repair And Installation Of Tempe</t>
  </si>
  <si>
    <t>(480) 935-9650</t>
  </si>
  <si>
    <t>C877</t>
  </si>
  <si>
    <t>Universal HVAC Repair Buckeye AZ</t>
  </si>
  <si>
    <t>(623) 469-6427</t>
  </si>
  <si>
    <t>C878</t>
  </si>
  <si>
    <t>American Plumber</t>
  </si>
  <si>
    <t>(928) 296-8828</t>
  </si>
  <si>
    <t>C879</t>
  </si>
  <si>
    <t>Heaven Bound Plumbing</t>
  </si>
  <si>
    <t>(928) 951-4366</t>
  </si>
  <si>
    <t>C880</t>
  </si>
  <si>
    <t>Platinum Tempe Plumbing Experts</t>
  </si>
  <si>
    <t>(480) 319-9187</t>
  </si>
  <si>
    <t>C881</t>
  </si>
  <si>
    <t>El Mirage AC Repair</t>
  </si>
  <si>
    <t>(623) 200-4189</t>
  </si>
  <si>
    <t>C882</t>
  </si>
  <si>
    <t>Stefick Plumbing and Drain</t>
  </si>
  <si>
    <t>(928) 706-1716</t>
  </si>
  <si>
    <t>C883</t>
  </si>
  <si>
    <t>Connolly Heating &amp; Cooling</t>
  </si>
  <si>
    <t>(928) 852-4021</t>
  </si>
  <si>
    <t>C884</t>
  </si>
  <si>
    <t>Heating &amp; Cooling</t>
  </si>
  <si>
    <t>C885</t>
  </si>
  <si>
    <t>Max Performance Heating &amp; AC Repair</t>
  </si>
  <si>
    <t>(602) 960-4019</t>
  </si>
  <si>
    <t>C886</t>
  </si>
  <si>
    <t>Expert Plumbers of Queen Creek</t>
  </si>
  <si>
    <t>(415) 291-0927</t>
  </si>
  <si>
    <t>C887</t>
  </si>
  <si>
    <t>Northshore Plumbing</t>
  </si>
  <si>
    <t>(928) 230-8714</t>
  </si>
  <si>
    <t>C888</t>
  </si>
  <si>
    <t>Timberline Heating And Air Conditioning</t>
  </si>
  <si>
    <t>Pinetop</t>
  </si>
  <si>
    <t>(928) 367-5515</t>
  </si>
  <si>
    <t>C889</t>
  </si>
  <si>
    <t>AZ Home Services Group AC Repair &amp; Plumbing Services of Peoria</t>
  </si>
  <si>
    <t>(623) 335-4835</t>
  </si>
  <si>
    <t>C890</t>
  </si>
  <si>
    <t>Apache Junction Plumber</t>
  </si>
  <si>
    <t>(480) 588-0700</t>
  </si>
  <si>
    <t>C891</t>
  </si>
  <si>
    <t>Harvey Plumbing, Inc.</t>
  </si>
  <si>
    <t>(520) 378-3154</t>
  </si>
  <si>
    <t>LIKELY ALREADY ACQUIRED (Pueblo Mechanical &amp; Controls, PE-backed)</t>
  </si>
  <si>
    <t>C892</t>
  </si>
  <si>
    <t>Hvac Supplies</t>
  </si>
  <si>
    <t>(928) 264-4335</t>
  </si>
  <si>
    <t>C893</t>
  </si>
  <si>
    <t>The Plumbing Company</t>
  </si>
  <si>
    <t>C894</t>
  </si>
  <si>
    <t>Dennis Kotterman Plumbing Inc</t>
  </si>
  <si>
    <t>(928) 537-8243</t>
  </si>
  <si>
    <t>C895</t>
  </si>
  <si>
    <t>Ace Air Duct Services</t>
  </si>
  <si>
    <t>(928) 361-9228</t>
  </si>
  <si>
    <t>C896</t>
  </si>
  <si>
    <t>Roto-Rooter Plumbing &amp; Drain Cleaning</t>
  </si>
  <si>
    <t>(928) 634-2806</t>
  </si>
  <si>
    <t>C897</t>
  </si>
  <si>
    <t>Supreme HVAC/Duct Serives</t>
  </si>
  <si>
    <t>(928) 275-7172</t>
  </si>
  <si>
    <t>C898</t>
  </si>
  <si>
    <t>AC Repair Near Me of Phoenix</t>
  </si>
  <si>
    <t>(602) 812-2085</t>
  </si>
  <si>
    <t>C899</t>
  </si>
  <si>
    <t>AC Repair Near Me of Tempe</t>
  </si>
  <si>
    <t>(480) 770-3710</t>
  </si>
  <si>
    <t>C900</t>
  </si>
  <si>
    <t>AC Repair Near Me of Goodyear</t>
  </si>
  <si>
    <t>(623) 336-7679</t>
  </si>
  <si>
    <t>C901</t>
  </si>
  <si>
    <t>HVAC Near Me Repair and Installation of Goodyear</t>
  </si>
  <si>
    <t>(623) 301-8763</t>
  </si>
  <si>
    <t>C902</t>
  </si>
  <si>
    <t>AC Repair Near Me of Gilbert</t>
  </si>
  <si>
    <t>(480) 808-9588</t>
  </si>
  <si>
    <t>C903</t>
  </si>
  <si>
    <t>Desert Plumbing Of Buckeye</t>
  </si>
  <si>
    <t>(623) 307-4244</t>
  </si>
  <si>
    <t>C904</t>
  </si>
  <si>
    <t>Casa Grande Air Conditioning &amp; Heating</t>
  </si>
  <si>
    <t>(520) 976-8542</t>
  </si>
  <si>
    <t>C905</t>
  </si>
  <si>
    <t>Gardner Heating &amp; Refrigeration Inc.</t>
  </si>
  <si>
    <t>C906</t>
  </si>
  <si>
    <t>Bill's Evaporative Cooler Services</t>
  </si>
  <si>
    <t>(520) 335-8586</t>
  </si>
  <si>
    <t>Date</t>
  </si>
  <si>
    <t>Outcome</t>
  </si>
  <si>
    <t>Interest After Call</t>
  </si>
  <si>
    <t>Mins</t>
  </si>
  <si>
    <t>Call Summary</t>
  </si>
  <si>
    <t>Next Step</t>
  </si>
  <si>
    <t>Follow-Up Date</t>
  </si>
  <si>
    <t>Company (pick from list)</t>
  </si>
  <si>
    <t>Owner</t>
  </si>
  <si>
    <t>Date Added</t>
  </si>
  <si>
    <t>Said No To</t>
  </si>
  <si>
    <t>Last Text Sent</t>
  </si>
  <si>
    <t>Next Text Due</t>
  </si>
  <si>
    <t>Status</t>
  </si>
  <si>
    <t>MONTHLY TEXT SCRIPTS - rotate so it never reads copy-paste. Send MANUALLY, one at a time, from your own phone.</t>
  </si>
  <si>
    <t>Month 1: Hi [Owner], [Your name] here - we spoke a while back about [Company]. No pitch, just keeping the door open: if you ever want to know what a shop like yours is going for right now, happy to share. Either way, keep crushing it.</t>
  </si>
  <si>
    <t>Month 2: Hi [Owner], [Your name] again. We just closed on another [trade] company in the area. If you're ever curious how [Company] stacks up value-wise, it's a 10-minute call. Zero pressure.</t>
  </si>
  <si>
    <t>Month 3: Hi [Owner] - most owners we sit down with wish they'd started the conversation two years before they wanted out. Even if selling is 5 years away for you, worth a coffee sometime?</t>
  </si>
  <si>
    <t>Month 4: Hi [Owner], still serious about buying [Company] whenever the timing is right for you. You know where to find me. - [Your name]</t>
  </si>
  <si>
    <t>THE RULES: If anyone replies STOP, 'don't text me', or anything like it - set Status to OPTED OUT immediately and never text again.</t>
  </si>
  <si>
    <t>Do NOT load these numbers into a mass-texting app. Nobody on this list opted in; blasting them is TCPA exposure at $500-$1,500 per text. Manual, personal, one at a time.</t>
  </si>
  <si>
    <t>HOW THIS SYSTEM WORKS - THE CALL -&gt; ROUTE FLOW</t>
  </si>
  <si>
    <t>EVERY CALL ENDS IN ONE OF THREE ROUTES:</t>
  </si>
  <si>
    <t>GOOD CALL (meeting agreed): set Stage to '3. Meeting Set' on Companies, fill in Meeting Date + Meeting Time &amp; Place. Outcome in Call Log = 'Meeting Set' (turns green).</t>
  </si>
  <si>
    <t>NO ANSWER / NOT YET: leave Stage at '2. In Call Rotation', set who dials next in 'Next Caller', log the attempt. A different rep takes the next dial.</t>
  </si>
  <si>
    <t>HARD NO: Outcome = 'Not Interested - move to SMS List'. Set Stage to 'X. SMS Nurture (Said No)', then go to the SMS Nurture tab and pick the company from the dropdown in column A - owner name and cell fill in automatically. Text them monthly from there. DO NOT keep dialing a hard no.</t>
  </si>
  <si>
    <t>THE ROTATION (5 callers, fresh voice each attempt):</t>
  </si>
  <si>
    <t>Before dialing, check 'Last Caller' and 'Calls This Wk' on Companies - both fill in automatically from the Call Log. If Last Caller was you, hand it to the rep in 'Next Caller'.</t>
  </si>
  <si>
    <t>Companies in rotation that nobody called this week turn ORANGE. The dashboard counts them - keep that number at zero.</t>
  </si>
  <si>
    <t>A word of caution from experience: rotating voices works for REACHING people who don't pick up. Re-dialing an owner who already said no - from 5 different people in one week - burns your name in a market where owners all know each other. Hard no = SMS list, not more dials.</t>
  </si>
  <si>
    <t>SMS NURTURE TAB:</t>
  </si>
  <si>
    <t>'Next Text Due' auto-calculates 30 days after the last text (or the date added). Rows due turn YELLOW. Four rotating scripts are on the right side of that tab - personalize the brackets, send manually from your own phone, one at a time.</t>
  </si>
  <si>
    <t>If anyone replies STOP or asks you to quit texting: set Status to OPTED OUT (row turns red) and never contact again. Never load this list into a mass-texting platform - nobody on it opted in, and unsolicited automated texts run $500-$1,500 each in TCPA damages.</t>
  </si>
  <si>
    <t>SETUP:</t>
  </si>
  <si>
    <t>1. Upload this file to Google Drive, open it, File &gt; Save as Google Sheets, share with the team (edit access).</t>
  </si>
  <si>
    <t>2. Lists tab: replace the 5 caller names with your team. Everything updates.</t>
  </si>
  <si>
    <t>3. Companies tab: load your target list. Owner cell + EBITDA are the two fields that matter most - a row without a cell number can't be worked.</t>
  </si>
  <si>
    <t>4. The 906 targets are PRE-LOADED and sorted: dial-ready (owner + cell) first, biggest EBITDA first. Start at the top.</t>
  </si>
  <si>
    <t>5. EBITDA / Revenue columns hold Apollo ESTIMATES (EBITDA = 12% of estimated revenue - it says so in Notes). Overwrite with real numbers as you learn them.</t>
  </si>
  <si>
    <t>6. Rows whose Notes say VERIFY carry franchise/parent-org data or an unconfirmed decision maker - check before trusting.</t>
  </si>
  <si>
    <t>COLUMNS THAT FILL THEMSELVES (never type in them): Last Caller, Calls This Wk, Total Calls, Last Call on Companies; Owner, Owner Cell, Next Text Due on SMS Nurture.</t>
  </si>
  <si>
    <t>PIPELINE: 1 Not Contacted &gt; 2 In Call Rotation &gt; 3 Meeting Set &gt; 4 Meeting Held &gt; 5 NDA &gt; 6 Financials &gt; 7 LOI &gt; 8 Diligence &gt; 9 Closed.  X = Said No (SMS nurture).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</si>
</sst>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#,##0;&quot;($&quot;#,##0\);\-"/>
    <numFmt numFmtId="165" formatCode="0.0%"/>
    <numFmt numFmtId="166" formatCode="\$#,##0"/>
    <numFmt numFmtId="167" formatCode="m/d/yyyy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1F3864"/>
      <name val="Arial"/>
    </font>
    <font>
      <i/>
      <sz val="10.0"/>
      <color rgb="FF808080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2.0"/>
      <color rgb="FF1F3864"/>
      <name val="Arial"/>
    </font>
    <font>
      <b/>
      <sz val="10.0"/>
      <color theme="1"/>
      <name val="Arial"/>
    </font>
    <font>
      <b/>
      <sz val="9.0"/>
      <color rgb="FFFFFFFF"/>
      <name val="Arial"/>
    </font>
    <font>
      <i/>
      <sz val="9.0"/>
      <color rgb="FF808080"/>
      <name val="Arial"/>
    </font>
    <font>
      <b/>
      <sz val="10.0"/>
      <color rgb="FF1F3864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E5D9F"/>
        <bgColor rgb="FF2E5D9F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</fills>
  <borders count="3">
    <border/>
    <border>
      <left/>
      <right/>
      <top/>
      <bottom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vertical="bottom"/>
    </xf>
    <xf borderId="2" fillId="0" fontId="6" numFmtId="3" xfId="0" applyAlignment="1" applyBorder="1" applyFont="1" applyNumberFormat="1">
      <alignment horizontal="center" vertical="bottom"/>
    </xf>
    <xf borderId="2" fillId="0" fontId="7" numFmtId="0" xfId="0" applyAlignment="1" applyBorder="1" applyFont="1">
      <alignment horizontal="center" vertical="bottom"/>
    </xf>
    <xf borderId="2" fillId="0" fontId="5" numFmtId="164" xfId="0" applyAlignment="1" applyBorder="1" applyFont="1" applyNumberFormat="1">
      <alignment vertical="bottom"/>
    </xf>
    <xf borderId="1" fillId="3" fontId="8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ill="1" applyFont="1">
      <alignment vertical="bottom"/>
    </xf>
    <xf borderId="2" fillId="4" fontId="6" numFmtId="3" xfId="0" applyAlignment="1" applyBorder="1" applyFont="1" applyNumberFormat="1">
      <alignment horizontal="center" vertical="bottom"/>
    </xf>
    <xf borderId="2" fillId="4" fontId="7" numFmtId="0" xfId="0" applyAlignment="1" applyBorder="1" applyFont="1">
      <alignment horizontal="center" vertical="bottom"/>
    </xf>
    <xf borderId="2" fillId="4" fontId="5" numFmtId="164" xfId="0" applyAlignment="1" applyBorder="1" applyFont="1" applyNumberFormat="1">
      <alignment vertical="bottom"/>
    </xf>
    <xf borderId="2" fillId="4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4" fontId="6" numFmtId="165" xfId="0" applyAlignment="1" applyBorder="1" applyFont="1" applyNumberFormat="1">
      <alignment horizontal="center" vertical="bottom"/>
    </xf>
    <xf borderId="0" fillId="0" fontId="5" numFmtId="0" xfId="0" applyAlignment="1" applyFont="1">
      <alignment shrinkToFit="0" vertical="top" wrapText="1"/>
    </xf>
    <xf borderId="1" fillId="3" fontId="4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bottom"/>
    </xf>
    <xf borderId="2" fillId="0" fontId="5" numFmtId="166" xfId="0" applyAlignment="1" applyBorder="1" applyFont="1" applyNumberFormat="1">
      <alignment vertical="bottom"/>
    </xf>
    <xf borderId="2" fillId="0" fontId="5" numFmtId="167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166" xfId="0" applyAlignment="1" applyFont="1" applyNumberFormat="1">
      <alignment vertical="bottom"/>
    </xf>
    <xf borderId="0" fillId="0" fontId="5" numFmtId="167" xfId="0" applyAlignment="1" applyFont="1" applyNumberFormat="1">
      <alignment vertical="bottom"/>
    </xf>
    <xf borderId="0" fillId="0" fontId="1" numFmtId="167" xfId="0" applyAlignment="1" applyFont="1" applyNumberFormat="1">
      <alignment vertical="bottom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9">
    <dxf>
      <font>
        <b/>
        <sz val="12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sz val="12.0"/>
        <color rgb="FFC55A11"/>
        <name val="Arial"/>
      </font>
      <fill>
        <patternFill patternType="solid">
          <fgColor rgb="FFFCE4D6"/>
          <bgColor rgb="FFFCE4D6"/>
        </patternFill>
      </fill>
      <border/>
    </dxf>
    <dxf>
      <font>
        <b/>
        <sz val="12.0"/>
        <color rgb="FF9C6500"/>
        <name val="Arial"/>
      </font>
      <fill>
        <patternFill patternType="solid">
          <fgColor rgb="FFFFEB9C"/>
          <bgColor rgb="FFFFEB9C"/>
        </patternFill>
      </fill>
      <border/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color rgb="FF9C6500"/>
        <name val="Arial"/>
      </font>
      <fill>
        <patternFill patternType="solid">
          <fgColor rgb="FFFFEB9C"/>
          <bgColor rgb="FFFFEB9C"/>
        </patternFill>
      </fill>
      <border/>
    </dxf>
    <dxf>
      <font>
        <b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color rgb="FFC55A11"/>
        <name val="Arial"/>
      </font>
      <fill>
        <patternFill patternType="solid">
          <fgColor rgb="FFFCE4D6"/>
          <bgColor rgb="FFFCE4D6"/>
        </patternFill>
      </fill>
      <border/>
    </dxf>
    <dxf>
      <font>
        <color rgb="FFA6A6A6"/>
        <name val="Arial"/>
      </font>
      <fill>
        <patternFill patternType="none"/>
      </fill>
      <border/>
    </dxf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3" width="14.0"/>
    <col customWidth="1" min="4" max="4" width="2.0"/>
    <col customWidth="1" min="5" max="5" width="26.0"/>
    <col customWidth="1" min="6" max="6" width="8.0"/>
    <col customWidth="1" min="7" max="7" width="16.0"/>
    <col customWidth="1" min="8" max="8" width="2.0"/>
    <col customWidth="1" min="9" max="9" width="16.0"/>
    <col customWidth="1" min="10" max="12" width="11.0"/>
    <col customWidth="1" min="13" max="13" width="12.0"/>
    <col customWidth="1" min="14" max="26" width="8.71"/>
  </cols>
  <sheetData>
    <row r="1" ht="24.0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.0" customHeight="1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3.25" customHeight="1">
      <c r="A4" s="1"/>
      <c r="B4" s="4" t="s">
        <v>2</v>
      </c>
      <c r="C4" s="4"/>
      <c r="D4" s="1"/>
      <c r="E4" s="4" t="s">
        <v>3</v>
      </c>
      <c r="F4" s="4" t="s">
        <v>4</v>
      </c>
      <c r="G4" s="4" t="s">
        <v>5</v>
      </c>
      <c r="H4" s="1"/>
      <c r="I4" s="4" t="s">
        <v>6</v>
      </c>
      <c r="J4" s="4"/>
      <c r="K4" s="4"/>
      <c r="L4" s="4"/>
      <c r="M4" s="4"/>
    </row>
    <row r="5" ht="15.0" customHeight="1">
      <c r="A5" s="1"/>
      <c r="B5" s="5" t="s">
        <v>7</v>
      </c>
      <c r="C5" s="6">
        <f>COUNTA(Companies!B2:B1000)</f>
        <v>906</v>
      </c>
      <c r="D5" s="1"/>
      <c r="E5" s="5" t="s">
        <v>8</v>
      </c>
      <c r="F5" s="7">
        <f>COUNTIF(Companies!$M$2:$M$1000,E5)</f>
        <v>906</v>
      </c>
      <c r="G5" s="8">
        <f>SUMIF(Companies!$M$2:$M$1000,E5,Companies!$F$2:$F$1000)</f>
        <v>203069000</v>
      </c>
      <c r="H5" s="1"/>
      <c r="I5" s="9" t="s">
        <v>9</v>
      </c>
      <c r="J5" s="9" t="s">
        <v>10</v>
      </c>
      <c r="K5" s="9" t="s">
        <v>11</v>
      </c>
      <c r="L5" s="9" t="s">
        <v>12</v>
      </c>
      <c r="M5" s="9" t="s">
        <v>13</v>
      </c>
    </row>
    <row r="6" ht="15.0" customHeight="1">
      <c r="A6" s="1"/>
      <c r="B6" s="10" t="s">
        <v>14</v>
      </c>
      <c r="C6" s="11">
        <f>COUNTA('Call Log'!A2:A5000)</f>
        <v>0</v>
      </c>
      <c r="D6" s="1"/>
      <c r="E6" s="10" t="s">
        <v>15</v>
      </c>
      <c r="F6" s="12">
        <f>COUNTIF(Companies!$M$2:$M$1000,E6)</f>
        <v>0</v>
      </c>
      <c r="G6" s="13">
        <f>SUMIF(Companies!$M$2:$M$1000,E6,Companies!$F$2:$F$1000)</f>
        <v>0</v>
      </c>
      <c r="H6" s="1"/>
      <c r="I6" s="10" t="str">
        <f>Lists!D2</f>
        <v>Xander</v>
      </c>
      <c r="J6" s="14">
        <f>COUNTIF('Call Log'!$B$2:$B$5000,I6)</f>
        <v>0</v>
      </c>
      <c r="K6" s="14">
        <f>COUNTIFS('Call Log'!$B$2:$B$5000,I6,'Call Log'!$A$2:$A$5000,"&gt;="&amp;(TODAY()-WEEKDAY(TODAY(),2)+1))</f>
        <v>0</v>
      </c>
      <c r="L6" s="14">
        <f>COUNTIFS('Call Log'!$B$2:$B$5000,I6,'Call Log'!$D$2:$D$5000,"Owner (Decision Maker)")</f>
        <v>0</v>
      </c>
      <c r="M6" s="14">
        <f>COUNTIFS('Call Log'!$B$2:$B$5000,I6,'Call Log'!$E$2:$E$5000,"Meeting Set")</f>
        <v>0</v>
      </c>
    </row>
    <row r="7" ht="15.0" customHeight="1">
      <c r="A7" s="1"/>
      <c r="B7" s="5" t="s">
        <v>16</v>
      </c>
      <c r="C7" s="6">
        <f>COUNTIFS('Call Log'!A2:A5000,"&gt;="&amp;(TODAY()-WEEKDAY(TODAY(),2)+1))</f>
        <v>0</v>
      </c>
      <c r="D7" s="1"/>
      <c r="E7" s="5" t="s">
        <v>17</v>
      </c>
      <c r="F7" s="7">
        <f>COUNTIF(Companies!$M$2:$M$1000,E7)</f>
        <v>0</v>
      </c>
      <c r="G7" s="8">
        <f>SUMIF(Companies!$M$2:$M$1000,E7,Companies!$F$2:$F$1000)</f>
        <v>0</v>
      </c>
      <c r="H7" s="1"/>
      <c r="I7" s="5" t="str">
        <f>Lists!D3</f>
        <v>Bram</v>
      </c>
      <c r="J7" s="15">
        <f>COUNTIF('Call Log'!$B$2:$B$5000,I7)</f>
        <v>0</v>
      </c>
      <c r="K7" s="15">
        <f>COUNTIFS('Call Log'!$B$2:$B$5000,I7,'Call Log'!$A$2:$A$5000,"&gt;="&amp;(TODAY()-WEEKDAY(TODAY(),2)+1))</f>
        <v>0</v>
      </c>
      <c r="L7" s="15">
        <f>COUNTIFS('Call Log'!$B$2:$B$5000,I7,'Call Log'!$D$2:$D$5000,"Owner (Decision Maker)")</f>
        <v>0</v>
      </c>
      <c r="M7" s="15">
        <f>COUNTIFS('Call Log'!$B$2:$B$5000,I7,'Call Log'!$E$2:$E$5000,"Meeting Set")</f>
        <v>0</v>
      </c>
    </row>
    <row r="8" ht="15.0" customHeight="1">
      <c r="A8" s="1"/>
      <c r="B8" s="10" t="s">
        <v>18</v>
      </c>
      <c r="C8" s="16">
        <f>IFERROR(COUNTIF('Call Log'!D2:D5000,"Owner (Decision Maker)")/COUNTA('Call Log'!A2:A5000),0)</f>
        <v>0</v>
      </c>
      <c r="D8" s="1"/>
      <c r="E8" s="10" t="s">
        <v>19</v>
      </c>
      <c r="F8" s="12">
        <f>COUNTIF(Companies!$M$2:$M$1000,E8)</f>
        <v>0</v>
      </c>
      <c r="G8" s="13">
        <f>SUMIF(Companies!$M$2:$M$1000,E8,Companies!$F$2:$F$1000)</f>
        <v>0</v>
      </c>
      <c r="H8" s="1"/>
      <c r="I8" s="10" t="str">
        <f>Lists!D4</f>
        <v>Andrew</v>
      </c>
      <c r="J8" s="14">
        <f>COUNTIF('Call Log'!$B$2:$B$5000,I8)</f>
        <v>0</v>
      </c>
      <c r="K8" s="14">
        <f>COUNTIFS('Call Log'!$B$2:$B$5000,I8,'Call Log'!$A$2:$A$5000,"&gt;="&amp;(TODAY()-WEEKDAY(TODAY(),2)+1))</f>
        <v>0</v>
      </c>
      <c r="L8" s="14">
        <f>COUNTIFS('Call Log'!$B$2:$B$5000,I8,'Call Log'!$D$2:$D$5000,"Owner (Decision Maker)")</f>
        <v>0</v>
      </c>
      <c r="M8" s="14">
        <f>COUNTIFS('Call Log'!$B$2:$B$5000,I8,'Call Log'!$E$2:$E$5000,"Meeting Set")</f>
        <v>0</v>
      </c>
    </row>
    <row r="9" ht="15.0" customHeight="1">
      <c r="A9" s="1"/>
      <c r="B9" s="5" t="s">
        <v>20</v>
      </c>
      <c r="C9" s="6">
        <f>COUNTIF(Companies!M2:M1000,"3. Meeting Set")</f>
        <v>0</v>
      </c>
      <c r="D9" s="1"/>
      <c r="E9" s="5" t="s">
        <v>21</v>
      </c>
      <c r="F9" s="7">
        <f>COUNTIF(Companies!$M$2:$M$1000,E9)</f>
        <v>0</v>
      </c>
      <c r="G9" s="8">
        <f>SUMIF(Companies!$M$2:$M$1000,E9,Companies!$F$2:$F$1000)</f>
        <v>0</v>
      </c>
      <c r="H9" s="1"/>
      <c r="I9" s="5" t="str">
        <f>Lists!D5</f>
        <v>Davis</v>
      </c>
      <c r="J9" s="15">
        <f>COUNTIF('Call Log'!$B$2:$B$5000,I9)</f>
        <v>0</v>
      </c>
      <c r="K9" s="15">
        <f>COUNTIFS('Call Log'!$B$2:$B$5000,I9,'Call Log'!$A$2:$A$5000,"&gt;="&amp;(TODAY()-WEEKDAY(TODAY(),2)+1))</f>
        <v>0</v>
      </c>
      <c r="L9" s="15">
        <f>COUNTIFS('Call Log'!$B$2:$B$5000,I9,'Call Log'!$D$2:$D$5000,"Owner (Decision Maker)")</f>
        <v>0</v>
      </c>
      <c r="M9" s="15">
        <f>COUNTIFS('Call Log'!$B$2:$B$5000,I9,'Call Log'!$E$2:$E$5000,"Meeting Set")</f>
        <v>0</v>
      </c>
    </row>
    <row r="10" ht="15.0" customHeight="1">
      <c r="A10" s="1"/>
      <c r="B10" s="10" t="s">
        <v>22</v>
      </c>
      <c r="C10" s="11">
        <f>COUNTIF(Companies!U2:U1000,"&gt;="&amp;TODAY())</f>
        <v>0</v>
      </c>
      <c r="D10" s="1"/>
      <c r="E10" s="10" t="s">
        <v>23</v>
      </c>
      <c r="F10" s="12">
        <f>COUNTIF(Companies!$M$2:$M$1000,E10)</f>
        <v>0</v>
      </c>
      <c r="G10" s="13">
        <f>SUMIF(Companies!$M$2:$M$1000,E10,Companies!$F$2:$F$1000)</f>
        <v>0</v>
      </c>
      <c r="H10" s="1"/>
      <c r="I10" s="10" t="str">
        <f>Lists!D6</f>
        <v>TJ</v>
      </c>
      <c r="J10" s="14">
        <f>COUNTIF('Call Log'!$B$2:$B$5000,I10)</f>
        <v>0</v>
      </c>
      <c r="K10" s="14">
        <f>COUNTIFS('Call Log'!$B$2:$B$5000,I10,'Call Log'!$A$2:$A$5000,"&gt;="&amp;(TODAY()-WEEKDAY(TODAY(),2)+1))</f>
        <v>0</v>
      </c>
      <c r="L10" s="14">
        <f>COUNTIFS('Call Log'!$B$2:$B$5000,I10,'Call Log'!$D$2:$D$5000,"Owner (Decision Maker)")</f>
        <v>0</v>
      </c>
      <c r="M10" s="14">
        <f>COUNTIFS('Call Log'!$B$2:$B$5000,I10,'Call Log'!$E$2:$E$5000,"Meeting Set")</f>
        <v>0</v>
      </c>
    </row>
    <row r="11" ht="15.0" customHeight="1">
      <c r="A11" s="1"/>
      <c r="B11" s="5" t="s">
        <v>24</v>
      </c>
      <c r="C11" s="6">
        <f>COUNTIF(Companies!T2:T1000,"&lt;"&amp;TODAY())</f>
        <v>0</v>
      </c>
      <c r="D11" s="1"/>
      <c r="E11" s="5" t="s">
        <v>25</v>
      </c>
      <c r="F11" s="7">
        <f>COUNTIF(Companies!$M$2:$M$1000,E11)</f>
        <v>0</v>
      </c>
      <c r="G11" s="8">
        <f>SUMIF(Companies!$M$2:$M$1000,E11,Companies!$F$2:$F$1000)</f>
        <v>0</v>
      </c>
      <c r="H11" s="1"/>
      <c r="I11" s="1"/>
      <c r="J11" s="1"/>
      <c r="K11" s="1"/>
      <c r="L11" s="1"/>
      <c r="M11" s="1"/>
    </row>
    <row r="12" ht="15.0" customHeight="1">
      <c r="A12" s="1"/>
      <c r="B12" s="10" t="s">
        <v>26</v>
      </c>
      <c r="C12" s="11">
        <f>COUNTIF(Companies!T2:T1000,TODAY())</f>
        <v>0</v>
      </c>
      <c r="D12" s="1"/>
      <c r="E12" s="10" t="s">
        <v>27</v>
      </c>
      <c r="F12" s="12">
        <f>COUNTIF(Companies!$M$2:$M$1000,E12)</f>
        <v>0</v>
      </c>
      <c r="G12" s="13">
        <f>SUMIF(Companies!$M$2:$M$1000,E12,Companies!$F$2:$F$1000)</f>
        <v>0</v>
      </c>
      <c r="H12" s="1"/>
      <c r="I12" s="1"/>
      <c r="J12" s="1"/>
      <c r="K12" s="1"/>
      <c r="L12" s="1"/>
      <c r="M12" s="1"/>
    </row>
    <row r="13" ht="15.0" customHeight="1">
      <c r="A13" s="1"/>
      <c r="B13" s="5" t="s">
        <v>28</v>
      </c>
      <c r="C13" s="6">
        <f>COUNTIFS(Companies!M2:M1000,"2. In Call Rotation",Companies!P2:P1000,0)</f>
        <v>0</v>
      </c>
      <c r="D13" s="1"/>
      <c r="E13" s="5" t="s">
        <v>29</v>
      </c>
      <c r="F13" s="7">
        <f>COUNTIF(Companies!$M$2:$M$1000,E13)</f>
        <v>0</v>
      </c>
      <c r="G13" s="8">
        <f>SUMIF(Companies!$M$2:$M$1000,E13,Companies!$F$2:$F$1000)</f>
        <v>0</v>
      </c>
      <c r="H13" s="1"/>
      <c r="I13" s="4" t="s">
        <v>30</v>
      </c>
      <c r="J13" s="4"/>
      <c r="K13" s="4"/>
      <c r="L13" s="4"/>
      <c r="M13" s="4"/>
    </row>
    <row r="14" ht="15.0" customHeight="1">
      <c r="A14" s="1"/>
      <c r="B14" s="10" t="s">
        <v>31</v>
      </c>
      <c r="C14" s="11">
        <f>COUNTA('SMS Nurture'!A2:A500)</f>
        <v>0</v>
      </c>
      <c r="D14" s="1"/>
      <c r="E14" s="10" t="s">
        <v>32</v>
      </c>
      <c r="F14" s="12">
        <f>COUNTIF(Companies!$M$2:$M$1000,E14)</f>
        <v>0</v>
      </c>
      <c r="G14" s="13">
        <f>SUMIF(Companies!$M$2:$M$1000,E14,Companies!$F$2:$F$1000)</f>
        <v>0</v>
      </c>
      <c r="H14" s="1"/>
      <c r="I14" s="17" t="s">
        <v>33</v>
      </c>
    </row>
    <row r="15" ht="23.25" customHeight="1">
      <c r="A15" s="1"/>
      <c r="B15" s="5" t="s">
        <v>34</v>
      </c>
      <c r="C15" s="6">
        <f>COUNTIFS('SMS Nurture'!G2:G500,"&lt;="&amp;TODAY(),'SMS Nurture'!H2:H500,"&lt;&gt;OPTED OUT - never text again")</f>
        <v>0</v>
      </c>
      <c r="D15" s="1"/>
      <c r="E15" s="1"/>
      <c r="F15" s="1"/>
      <c r="G15" s="1"/>
      <c r="H15" s="1"/>
      <c r="I15" s="17" t="s">
        <v>35</v>
      </c>
    </row>
    <row r="16" ht="15.0" customHeight="1">
      <c r="A16" s="1"/>
      <c r="B16" s="10" t="s">
        <v>36</v>
      </c>
      <c r="C16" s="11">
        <f>COUNTIF(Companies!N2:N1000,"Hot")</f>
        <v>0</v>
      </c>
      <c r="D16" s="1"/>
      <c r="E16" s="1"/>
      <c r="F16" s="1"/>
      <c r="G16" s="1"/>
      <c r="H16" s="1"/>
      <c r="I16" s="17" t="s">
        <v>37</v>
      </c>
    </row>
    <row r="17" ht="15.0" customHeight="1">
      <c r="A17" s="1"/>
      <c r="B17" s="1"/>
      <c r="C17" s="1"/>
      <c r="D17" s="1"/>
      <c r="E17" s="4" t="s">
        <v>38</v>
      </c>
      <c r="F17" s="4" t="s">
        <v>4</v>
      </c>
      <c r="G17" s="4"/>
      <c r="H17" s="1"/>
      <c r="I17" s="17" t="s">
        <v>39</v>
      </c>
    </row>
    <row r="18" ht="15.0" customHeight="1">
      <c r="A18" s="1"/>
      <c r="B18" s="1"/>
      <c r="C18" s="1"/>
      <c r="D18" s="1"/>
      <c r="E18" s="5" t="s">
        <v>40</v>
      </c>
      <c r="F18" s="7">
        <f>COUNTIF(Companies!$H$2:$H$1000,E18)</f>
        <v>469</v>
      </c>
      <c r="G18" s="1"/>
      <c r="H18" s="1"/>
      <c r="I18" s="1"/>
      <c r="J18" s="1"/>
      <c r="K18" s="1"/>
      <c r="L18" s="1"/>
      <c r="M18" s="1"/>
    </row>
    <row r="19" ht="15.0" customHeight="1">
      <c r="A19" s="1"/>
      <c r="B19" s="1"/>
      <c r="C19" s="1"/>
      <c r="D19" s="1"/>
      <c r="E19" s="5" t="s">
        <v>41</v>
      </c>
      <c r="F19" s="7">
        <f>COUNTIF(Companies!$H$2:$H$1000,E19)</f>
        <v>393</v>
      </c>
      <c r="G19" s="1"/>
      <c r="H19" s="1"/>
      <c r="I19" s="1"/>
      <c r="J19" s="1"/>
      <c r="K19" s="1"/>
      <c r="L19" s="1"/>
      <c r="M19" s="1"/>
    </row>
    <row r="20" ht="15.0" customHeight="1">
      <c r="A20" s="1"/>
      <c r="B20" s="1"/>
      <c r="C20" s="1"/>
      <c r="D20" s="1"/>
      <c r="E20" s="5" t="s">
        <v>42</v>
      </c>
      <c r="F20" s="7">
        <f>COUNTIF(Companies!$H$2:$H$1000,E20)</f>
        <v>0</v>
      </c>
      <c r="G20" s="1"/>
      <c r="H20" s="1"/>
      <c r="I20" s="1"/>
      <c r="J20" s="1"/>
      <c r="K20" s="1"/>
      <c r="L20" s="1"/>
      <c r="M20" s="1"/>
    </row>
    <row r="21" ht="15.0" customHeight="1">
      <c r="A21" s="1"/>
      <c r="B21" s="1"/>
      <c r="C21" s="1"/>
      <c r="D21" s="1"/>
      <c r="E21" s="5" t="s">
        <v>43</v>
      </c>
      <c r="F21" s="7">
        <f>COUNTIF(Companies!$H$2:$H$1000,E21)</f>
        <v>44</v>
      </c>
      <c r="G21" s="1"/>
      <c r="H21" s="1"/>
      <c r="I21" s="1"/>
      <c r="J21" s="1"/>
      <c r="K21" s="1"/>
      <c r="L21" s="1"/>
      <c r="M21" s="1"/>
    </row>
    <row r="22" ht="15.0" customHeight="1">
      <c r="A22" s="1"/>
      <c r="B22" s="1"/>
      <c r="C22" s="1"/>
      <c r="D22" s="1"/>
      <c r="E22" s="5" t="s">
        <v>44</v>
      </c>
      <c r="F22" s="7">
        <f>COUNTIF(Companies!$H$2:$H$1000,E22)</f>
        <v>0</v>
      </c>
      <c r="G22" s="1"/>
      <c r="H22" s="1"/>
      <c r="I22" s="1"/>
      <c r="J22" s="1"/>
      <c r="K22" s="1"/>
      <c r="L22" s="1"/>
      <c r="M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4">
    <mergeCell ref="I14:M14"/>
    <mergeCell ref="I15:M15"/>
    <mergeCell ref="I16:M16"/>
    <mergeCell ref="I17:M17"/>
  </mergeCells>
  <conditionalFormatting sqref="C11">
    <cfRule type="expression" dxfId="0" priority="1">
      <formula>C11&gt;0</formula>
    </cfRule>
  </conditionalFormatting>
  <conditionalFormatting sqref="C13">
    <cfRule type="expression" dxfId="1" priority="2">
      <formula>C13&gt;0</formula>
    </cfRule>
  </conditionalFormatting>
  <conditionalFormatting sqref="C15">
    <cfRule type="expression" dxfId="2" priority="3">
      <formula>C15&gt;0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6.0"/>
    <col customWidth="1" min="9" max="26" width="8.71"/>
  </cols>
  <sheetData>
    <row r="1" ht="15.0" customHeight="1">
      <c r="A1" s="18" t="s">
        <v>45</v>
      </c>
      <c r="B1" s="18" t="s">
        <v>46</v>
      </c>
      <c r="C1" s="18" t="s">
        <v>47</v>
      </c>
      <c r="D1" s="18" t="s">
        <v>9</v>
      </c>
      <c r="E1" s="18" t="s">
        <v>48</v>
      </c>
      <c r="F1" s="18" t="s">
        <v>49</v>
      </c>
      <c r="G1" s="18" t="s">
        <v>50</v>
      </c>
      <c r="H1" s="18" t="s">
        <v>51</v>
      </c>
    </row>
    <row r="2" ht="15.0" customHeight="1">
      <c r="A2" s="5" t="s">
        <v>8</v>
      </c>
      <c r="B2" s="5" t="s">
        <v>40</v>
      </c>
      <c r="C2" s="5" t="s">
        <v>52</v>
      </c>
      <c r="D2" s="5" t="s">
        <v>53</v>
      </c>
      <c r="E2" s="5" t="s">
        <v>54</v>
      </c>
      <c r="F2" s="5" t="s">
        <v>55</v>
      </c>
      <c r="G2" s="5" t="s">
        <v>56</v>
      </c>
      <c r="H2" s="5" t="s">
        <v>57</v>
      </c>
    </row>
    <row r="3" ht="15.0" customHeight="1">
      <c r="A3" s="5" t="s">
        <v>15</v>
      </c>
      <c r="B3" s="5" t="s">
        <v>41</v>
      </c>
      <c r="C3" s="5" t="s">
        <v>58</v>
      </c>
      <c r="D3" s="5" t="s">
        <v>59</v>
      </c>
      <c r="E3" s="5" t="s">
        <v>60</v>
      </c>
      <c r="F3" s="5" t="s">
        <v>61</v>
      </c>
      <c r="G3" s="5" t="s">
        <v>62</v>
      </c>
      <c r="H3" s="5" t="s">
        <v>63</v>
      </c>
    </row>
    <row r="4" ht="15.0" customHeight="1">
      <c r="A4" s="5" t="s">
        <v>17</v>
      </c>
      <c r="B4" s="5" t="s">
        <v>42</v>
      </c>
      <c r="C4" s="5" t="s">
        <v>64</v>
      </c>
      <c r="D4" s="5" t="s">
        <v>65</v>
      </c>
      <c r="E4" s="5" t="s">
        <v>66</v>
      </c>
      <c r="F4" s="5" t="s">
        <v>67</v>
      </c>
      <c r="G4" s="5" t="s">
        <v>68</v>
      </c>
      <c r="H4" s="5" t="s">
        <v>69</v>
      </c>
    </row>
    <row r="5" ht="15.0" customHeight="1">
      <c r="A5" s="5" t="s">
        <v>19</v>
      </c>
      <c r="B5" s="5" t="s">
        <v>43</v>
      </c>
      <c r="C5" s="5" t="s">
        <v>70</v>
      </c>
      <c r="D5" s="5" t="s">
        <v>71</v>
      </c>
      <c r="E5" s="5" t="s">
        <v>72</v>
      </c>
      <c r="F5" s="5" t="s">
        <v>73</v>
      </c>
      <c r="G5" s="5" t="s">
        <v>74</v>
      </c>
      <c r="H5" s="5" t="s">
        <v>75</v>
      </c>
    </row>
    <row r="6" ht="15.0" customHeight="1">
      <c r="A6" s="5" t="s">
        <v>21</v>
      </c>
      <c r="B6" s="5" t="s">
        <v>44</v>
      </c>
      <c r="C6" s="5" t="s">
        <v>76</v>
      </c>
      <c r="D6" s="5" t="s">
        <v>77</v>
      </c>
      <c r="E6" s="5" t="s">
        <v>78</v>
      </c>
      <c r="F6" s="5" t="s">
        <v>66</v>
      </c>
      <c r="G6" s="5" t="s">
        <v>79</v>
      </c>
      <c r="H6" s="1"/>
    </row>
    <row r="7" ht="15.0" customHeight="1">
      <c r="A7" s="5" t="s">
        <v>23</v>
      </c>
      <c r="B7" s="1"/>
      <c r="C7" s="5" t="s">
        <v>80</v>
      </c>
      <c r="D7" s="1"/>
      <c r="E7" s="1"/>
      <c r="F7" s="5" t="s">
        <v>81</v>
      </c>
      <c r="G7" s="5" t="s">
        <v>82</v>
      </c>
      <c r="H7" s="1"/>
    </row>
    <row r="8" ht="15.0" customHeight="1">
      <c r="A8" s="5" t="s">
        <v>25</v>
      </c>
      <c r="B8" s="1"/>
      <c r="C8" s="1"/>
      <c r="D8" s="1"/>
      <c r="E8" s="1"/>
      <c r="F8" s="5" t="s">
        <v>83</v>
      </c>
      <c r="G8" s="5" t="s">
        <v>84</v>
      </c>
      <c r="H8" s="1"/>
    </row>
    <row r="9" ht="15.0" customHeight="1">
      <c r="A9" s="5" t="s">
        <v>27</v>
      </c>
      <c r="B9" s="1"/>
      <c r="C9" s="1"/>
      <c r="D9" s="19" t="s">
        <v>85</v>
      </c>
      <c r="E9" s="1"/>
      <c r="F9" s="5" t="s">
        <v>86</v>
      </c>
      <c r="G9" s="1"/>
      <c r="H9" s="1"/>
    </row>
    <row r="10" ht="15.0" customHeight="1">
      <c r="A10" s="5" t="s">
        <v>29</v>
      </c>
      <c r="B10" s="1"/>
      <c r="C10" s="1"/>
      <c r="D10" s="1"/>
      <c r="E10" s="1"/>
      <c r="F10" s="1"/>
      <c r="G10" s="1"/>
      <c r="H10" s="1"/>
    </row>
    <row r="11" ht="15.0" customHeight="1">
      <c r="A11" s="5" t="s">
        <v>32</v>
      </c>
      <c r="B11" s="1"/>
      <c r="C11" s="1"/>
      <c r="D11" s="1"/>
      <c r="E11" s="1"/>
      <c r="F11" s="1"/>
      <c r="G11" s="1"/>
      <c r="H11" s="1"/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/>
      <c r="B23" s="1"/>
      <c r="C23" s="1"/>
      <c r="D23" s="1"/>
      <c r="E23" s="1"/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8.0"/>
    <col customWidth="1" min="4" max="4" width="15.0"/>
    <col customWidth="1" min="5" max="5" width="10.0"/>
    <col customWidth="1" min="6" max="8" width="14.0"/>
    <col customWidth="1" min="9" max="9" width="13.0"/>
    <col customWidth="1" min="10" max="10" width="7.0"/>
    <col customWidth="1" min="11" max="11" width="15.0"/>
    <col customWidth="1" min="12" max="12" width="26.0"/>
    <col customWidth="1" min="13" max="13" width="22.0"/>
    <col customWidth="1" min="14" max="15" width="11.0"/>
    <col customWidth="1" min="16" max="17" width="9.0"/>
    <col customWidth="1" min="18" max="19" width="11.0"/>
    <col customWidth="1" min="20" max="21" width="12.0"/>
    <col customWidth="1" min="22" max="22" width="26.0"/>
    <col customWidth="1" min="23" max="23" width="13.0"/>
    <col customWidth="1" min="24" max="24" width="8.0"/>
    <col customWidth="1" min="25" max="25" width="24.0"/>
    <col customWidth="1" min="26" max="26" width="20.43"/>
    <col customWidth="1" min="27" max="27" width="76.0"/>
  </cols>
  <sheetData>
    <row r="1" ht="30.0" customHeight="1">
      <c r="A1" s="18" t="s">
        <v>87</v>
      </c>
      <c r="B1" s="18" t="s">
        <v>88</v>
      </c>
      <c r="C1" s="18" t="s">
        <v>89</v>
      </c>
      <c r="D1" s="18" t="s">
        <v>90</v>
      </c>
      <c r="E1" s="18" t="s">
        <v>91</v>
      </c>
      <c r="F1" s="18" t="s">
        <v>92</v>
      </c>
      <c r="G1" s="18" t="s">
        <v>93</v>
      </c>
      <c r="H1" s="18" t="s">
        <v>46</v>
      </c>
      <c r="I1" s="18" t="s">
        <v>94</v>
      </c>
      <c r="J1" s="18" t="s">
        <v>95</v>
      </c>
      <c r="K1" s="18" t="s">
        <v>96</v>
      </c>
      <c r="L1" s="18" t="s">
        <v>97</v>
      </c>
      <c r="M1" s="18" t="s">
        <v>45</v>
      </c>
      <c r="N1" s="18" t="s">
        <v>47</v>
      </c>
      <c r="O1" s="18" t="s">
        <v>98</v>
      </c>
      <c r="P1" s="18" t="s">
        <v>99</v>
      </c>
      <c r="Q1" s="18" t="s">
        <v>10</v>
      </c>
      <c r="R1" s="18" t="s">
        <v>100</v>
      </c>
      <c r="S1" s="18" t="s">
        <v>101</v>
      </c>
      <c r="T1" s="18" t="s">
        <v>102</v>
      </c>
      <c r="U1" s="18" t="s">
        <v>103</v>
      </c>
      <c r="V1" s="18" t="s">
        <v>104</v>
      </c>
      <c r="W1" s="18" t="s">
        <v>105</v>
      </c>
      <c r="X1" s="18" t="s">
        <v>106</v>
      </c>
      <c r="Y1" s="18" t="s">
        <v>107</v>
      </c>
      <c r="Z1" s="18" t="s">
        <v>50</v>
      </c>
      <c r="AA1" s="18" t="s">
        <v>108</v>
      </c>
    </row>
    <row r="2" ht="15.0" customHeight="1">
      <c r="A2" s="5" t="s">
        <v>109</v>
      </c>
      <c r="B2" s="5" t="s">
        <v>110</v>
      </c>
      <c r="C2" s="5" t="s">
        <v>111</v>
      </c>
      <c r="D2" s="5" t="s">
        <v>112</v>
      </c>
      <c r="E2" s="5">
        <v>250.0</v>
      </c>
      <c r="F2" s="20">
        <v>8019000.0</v>
      </c>
      <c r="G2" s="20">
        <v>6.6825E7</v>
      </c>
      <c r="H2" s="5" t="s">
        <v>40</v>
      </c>
      <c r="I2" s="5" t="s">
        <v>113</v>
      </c>
      <c r="J2" s="5" t="s">
        <v>114</v>
      </c>
      <c r="K2" s="5" t="s">
        <v>115</v>
      </c>
      <c r="L2" s="5" t="s">
        <v>116</v>
      </c>
      <c r="M2" s="5" t="s">
        <v>8</v>
      </c>
      <c r="N2" s="5" t="s">
        <v>80</v>
      </c>
      <c r="O2" s="5" t="str">
        <f>IF(B2="","",IFERROR(LOOKUP(2,1/('Call Log'!$C$2:$C$5000=B2),'Call Log'!$B$2:$B$5000),""))</f>
        <v/>
      </c>
      <c r="P2" s="5">
        <f>IF(B2="","",COUNTIFS('Call Log'!$C$2:$C$5000,B2,'Call Log'!$A$2:$A$5000,"&gt;="&amp;(TODAY()-WEEKDAY(TODAY(),2)+1)))</f>
        <v>0</v>
      </c>
      <c r="Q2" s="5">
        <f>IF(B2="","",COUNTIF('Call Log'!$C$2:$C$5000,B2))</f>
        <v>0</v>
      </c>
      <c r="R2" s="21" t="str">
        <f>IF(B2="","",IFERROR(IF(MAXIFS('Call Log'!$A$2:$A$5000,'Call Log'!$C$2:$C$5000,B2)=0,"",MAXIFS('Call Log'!$A$2:$A$5000,'Call Log'!$C$2:$C$5000,B2)),""))</f>
        <v/>
      </c>
      <c r="S2" s="5"/>
      <c r="T2" s="21"/>
      <c r="U2" s="21"/>
      <c r="V2" s="5"/>
      <c r="W2" s="20"/>
      <c r="X2" s="5"/>
      <c r="Y2" s="5"/>
      <c r="Z2" s="5"/>
      <c r="AA2" s="5" t="s">
        <v>117</v>
      </c>
    </row>
    <row r="3" ht="15.0" customHeight="1">
      <c r="A3" s="5" t="s">
        <v>118</v>
      </c>
      <c r="B3" s="5" t="s">
        <v>119</v>
      </c>
      <c r="C3" s="5" t="s">
        <v>120</v>
      </c>
      <c r="D3" s="5" t="s">
        <v>121</v>
      </c>
      <c r="E3" s="5">
        <v>260.0</v>
      </c>
      <c r="F3" s="20">
        <v>5208000.0</v>
      </c>
      <c r="G3" s="20">
        <v>4.34E7</v>
      </c>
      <c r="H3" s="5" t="s">
        <v>43</v>
      </c>
      <c r="I3" s="5" t="s">
        <v>122</v>
      </c>
      <c r="J3" s="5" t="s">
        <v>114</v>
      </c>
      <c r="K3" s="5" t="s">
        <v>123</v>
      </c>
      <c r="L3" s="5"/>
      <c r="M3" s="5" t="s">
        <v>8</v>
      </c>
      <c r="N3" s="5" t="s">
        <v>80</v>
      </c>
      <c r="O3" s="5" t="str">
        <f>IF(B3="","",IFERROR(LOOKUP(2,1/('Call Log'!$C$2:$C$5000=B3),'Call Log'!$B$2:$B$5000),""))</f>
        <v/>
      </c>
      <c r="P3" s="5">
        <f>IF(B3="","",COUNTIFS('Call Log'!$C$2:$C$5000,B3,'Call Log'!$A$2:$A$5000,"&gt;="&amp;(TODAY()-WEEKDAY(TODAY(),2)+1)))</f>
        <v>0</v>
      </c>
      <c r="Q3" s="5">
        <f>IF(B3="","",COUNTIF('Call Log'!$C$2:$C$5000,B3))</f>
        <v>0</v>
      </c>
      <c r="R3" s="21" t="str">
        <f>IF(B3="","",IFERROR(IF(MAXIFS('Call Log'!$A$2:$A$5000,'Call Log'!$C$2:$C$5000,B3)=0,"",MAXIFS('Call Log'!$A$2:$A$5000,'Call Log'!$C$2:$C$5000,B3)),""))</f>
        <v/>
      </c>
      <c r="S3" s="5"/>
      <c r="T3" s="21"/>
      <c r="U3" s="21"/>
      <c r="V3" s="5"/>
      <c r="W3" s="20"/>
      <c r="X3" s="5"/>
      <c r="Y3" s="5"/>
      <c r="Z3" s="5"/>
      <c r="AA3" s="5" t="s">
        <v>124</v>
      </c>
    </row>
    <row r="4" ht="15.0" customHeight="1">
      <c r="A4" s="5" t="s">
        <v>125</v>
      </c>
      <c r="B4" s="5" t="s">
        <v>126</v>
      </c>
      <c r="C4" s="5" t="s">
        <v>127</v>
      </c>
      <c r="D4" s="5" t="s">
        <v>128</v>
      </c>
      <c r="E4" s="5">
        <v>5.0</v>
      </c>
      <c r="F4" s="20">
        <v>5013000.0</v>
      </c>
      <c r="G4" s="20">
        <v>4.1775E7</v>
      </c>
      <c r="H4" s="5" t="s">
        <v>41</v>
      </c>
      <c r="I4" s="5" t="s">
        <v>129</v>
      </c>
      <c r="J4" s="5" t="s">
        <v>114</v>
      </c>
      <c r="K4" s="5" t="s">
        <v>130</v>
      </c>
      <c r="L4" s="5" t="s">
        <v>131</v>
      </c>
      <c r="M4" s="5" t="s">
        <v>8</v>
      </c>
      <c r="N4" s="5" t="s">
        <v>80</v>
      </c>
      <c r="O4" s="5" t="str">
        <f>IF(B4="","",IFERROR(LOOKUP(2,1/('Call Log'!$C$2:$C$5000=B4),'Call Log'!$B$2:$B$5000),""))</f>
        <v/>
      </c>
      <c r="P4" s="5">
        <f>IF(B4="","",COUNTIFS('Call Log'!$C$2:$C$5000,B4,'Call Log'!$A$2:$A$5000,"&gt;="&amp;(TODAY()-WEEKDAY(TODAY(),2)+1)))</f>
        <v>0</v>
      </c>
      <c r="Q4" s="5">
        <f>IF(B4="","",COUNTIF('Call Log'!$C$2:$C$5000,B4))</f>
        <v>0</v>
      </c>
      <c r="R4" s="21" t="str">
        <f>IF(B4="","",IFERROR(IF(MAXIFS('Call Log'!$A$2:$A$5000,'Call Log'!$C$2:$C$5000,B4)=0,"",MAXIFS('Call Log'!$A$2:$A$5000,'Call Log'!$C$2:$C$5000,B4)),""))</f>
        <v/>
      </c>
      <c r="S4" s="5"/>
      <c r="T4" s="21"/>
      <c r="U4" s="21"/>
      <c r="V4" s="5"/>
      <c r="W4" s="20"/>
      <c r="X4" s="5"/>
      <c r="Y4" s="5"/>
      <c r="Z4" s="5" t="s">
        <v>132</v>
      </c>
      <c r="AA4" s="5" t="s">
        <v>133</v>
      </c>
    </row>
    <row r="5" ht="15.0" customHeight="1">
      <c r="A5" s="5" t="s">
        <v>134</v>
      </c>
      <c r="B5" s="5" t="s">
        <v>135</v>
      </c>
      <c r="C5" s="5" t="s">
        <v>136</v>
      </c>
      <c r="D5" s="5" t="s">
        <v>137</v>
      </c>
      <c r="E5" s="5">
        <v>5.0</v>
      </c>
      <c r="F5" s="20">
        <v>3897000.0</v>
      </c>
      <c r="G5" s="20">
        <v>3.2476E7</v>
      </c>
      <c r="H5" s="5" t="s">
        <v>40</v>
      </c>
      <c r="I5" s="5" t="s">
        <v>138</v>
      </c>
      <c r="J5" s="5" t="s">
        <v>114</v>
      </c>
      <c r="K5" s="5" t="s">
        <v>139</v>
      </c>
      <c r="L5" s="5" t="s">
        <v>140</v>
      </c>
      <c r="M5" s="5" t="s">
        <v>8</v>
      </c>
      <c r="N5" s="5" t="s">
        <v>80</v>
      </c>
      <c r="O5" s="5" t="str">
        <f>IF(B5="","",IFERROR(LOOKUP(2,1/('Call Log'!$C$2:$C$5000=B5),'Call Log'!$B$2:$B$5000),""))</f>
        <v/>
      </c>
      <c r="P5" s="5">
        <f>IF(B5="","",COUNTIFS('Call Log'!$C$2:$C$5000,B5,'Call Log'!$A$2:$A$5000,"&gt;="&amp;(TODAY()-WEEKDAY(TODAY(),2)+1)))</f>
        <v>0</v>
      </c>
      <c r="Q5" s="5">
        <f>IF(B5="","",COUNTIF('Call Log'!$C$2:$C$5000,B5))</f>
        <v>0</v>
      </c>
      <c r="R5" s="21" t="str">
        <f>IF(B5="","",IFERROR(IF(MAXIFS('Call Log'!$A$2:$A$5000,'Call Log'!$C$2:$C$5000,B5)=0,"",MAXIFS('Call Log'!$A$2:$A$5000,'Call Log'!$C$2:$C$5000,B5)),""))</f>
        <v/>
      </c>
      <c r="S5" s="5"/>
      <c r="T5" s="21"/>
      <c r="U5" s="21"/>
      <c r="V5" s="5"/>
      <c r="W5" s="20"/>
      <c r="X5" s="5"/>
      <c r="Y5" s="5"/>
      <c r="Z5" s="5" t="s">
        <v>132</v>
      </c>
      <c r="AA5" s="5" t="s">
        <v>141</v>
      </c>
    </row>
    <row r="6" ht="15.0" customHeight="1">
      <c r="A6" s="5" t="s">
        <v>142</v>
      </c>
      <c r="B6" s="5" t="s">
        <v>143</v>
      </c>
      <c r="C6" s="5" t="s">
        <v>144</v>
      </c>
      <c r="D6" s="5" t="s">
        <v>145</v>
      </c>
      <c r="E6" s="5">
        <v>35.0</v>
      </c>
      <c r="F6" s="20">
        <v>3667000.0</v>
      </c>
      <c r="G6" s="20">
        <v>3.0559E7</v>
      </c>
      <c r="H6" s="5" t="s">
        <v>40</v>
      </c>
      <c r="I6" s="5" t="s">
        <v>146</v>
      </c>
      <c r="J6" s="5" t="s">
        <v>114</v>
      </c>
      <c r="K6" s="5" t="s">
        <v>147</v>
      </c>
      <c r="L6" s="5" t="s">
        <v>148</v>
      </c>
      <c r="M6" s="5" t="s">
        <v>8</v>
      </c>
      <c r="N6" s="5" t="s">
        <v>80</v>
      </c>
      <c r="O6" s="5" t="str">
        <f>IF(B6="","",IFERROR(LOOKUP(2,1/('Call Log'!$C$2:$C$5000=B6),'Call Log'!$B$2:$B$5000),""))</f>
        <v/>
      </c>
      <c r="P6" s="5">
        <f>IF(B6="","",COUNTIFS('Call Log'!$C$2:$C$5000,B6,'Call Log'!$A$2:$A$5000,"&gt;="&amp;(TODAY()-WEEKDAY(TODAY(),2)+1)))</f>
        <v>0</v>
      </c>
      <c r="Q6" s="5">
        <f>IF(B6="","",COUNTIF('Call Log'!$C$2:$C$5000,B6))</f>
        <v>0</v>
      </c>
      <c r="R6" s="21" t="str">
        <f>IF(B6="","",IFERROR(IF(MAXIFS('Call Log'!$A$2:$A$5000,'Call Log'!$C$2:$C$5000,B6)=0,"",MAXIFS('Call Log'!$A$2:$A$5000,'Call Log'!$C$2:$C$5000,B6)),""))</f>
        <v/>
      </c>
      <c r="S6" s="5"/>
      <c r="T6" s="21"/>
      <c r="U6" s="21"/>
      <c r="V6" s="5"/>
      <c r="W6" s="20"/>
      <c r="X6" s="5"/>
      <c r="Y6" s="5"/>
      <c r="Z6" s="5"/>
      <c r="AA6" s="5" t="s">
        <v>149</v>
      </c>
    </row>
    <row r="7" ht="15.0" customHeight="1">
      <c r="A7" s="5" t="s">
        <v>150</v>
      </c>
      <c r="B7" s="5" t="s">
        <v>151</v>
      </c>
      <c r="C7" s="5" t="s">
        <v>152</v>
      </c>
      <c r="D7" s="5" t="s">
        <v>153</v>
      </c>
      <c r="E7" s="5">
        <v>25.0</v>
      </c>
      <c r="F7" s="20">
        <v>3329000.0</v>
      </c>
      <c r="G7" s="20">
        <v>2.7745E7</v>
      </c>
      <c r="H7" s="5" t="s">
        <v>40</v>
      </c>
      <c r="I7" s="5" t="s">
        <v>154</v>
      </c>
      <c r="J7" s="5" t="s">
        <v>114</v>
      </c>
      <c r="K7" s="5" t="s">
        <v>155</v>
      </c>
      <c r="L7" s="5"/>
      <c r="M7" s="5" t="s">
        <v>8</v>
      </c>
      <c r="N7" s="5" t="s">
        <v>80</v>
      </c>
      <c r="O7" s="5" t="str">
        <f>IF(B7="","",IFERROR(LOOKUP(2,1/('Call Log'!$C$2:$C$5000=B7),'Call Log'!$B$2:$B$5000),""))</f>
        <v/>
      </c>
      <c r="P7" s="5">
        <f>IF(B7="","",COUNTIFS('Call Log'!$C$2:$C$5000,B7,'Call Log'!$A$2:$A$5000,"&gt;="&amp;(TODAY()-WEEKDAY(TODAY(),2)+1)))</f>
        <v>0</v>
      </c>
      <c r="Q7" s="5">
        <f>IF(B7="","",COUNTIF('Call Log'!$C$2:$C$5000,B7))</f>
        <v>0</v>
      </c>
      <c r="R7" s="21" t="str">
        <f>IF(B7="","",IFERROR(IF(MAXIFS('Call Log'!$A$2:$A$5000,'Call Log'!$C$2:$C$5000,B7)=0,"",MAXIFS('Call Log'!$A$2:$A$5000,'Call Log'!$C$2:$C$5000,B7)),""))</f>
        <v/>
      </c>
      <c r="S7" s="5"/>
      <c r="T7" s="21"/>
      <c r="U7" s="21"/>
      <c r="V7" s="5"/>
      <c r="W7" s="20"/>
      <c r="X7" s="5"/>
      <c r="Y7" s="5"/>
      <c r="Z7" s="5"/>
      <c r="AA7" s="5" t="s">
        <v>156</v>
      </c>
    </row>
    <row r="8" ht="15.0" customHeight="1">
      <c r="A8" s="5" t="s">
        <v>157</v>
      </c>
      <c r="B8" s="5" t="s">
        <v>158</v>
      </c>
      <c r="C8" s="5" t="s">
        <v>159</v>
      </c>
      <c r="D8" s="5" t="s">
        <v>160</v>
      </c>
      <c r="E8" s="5">
        <v>30.0</v>
      </c>
      <c r="F8" s="20">
        <v>3142000.0</v>
      </c>
      <c r="G8" s="20">
        <v>2.6185E7</v>
      </c>
      <c r="H8" s="5" t="s">
        <v>40</v>
      </c>
      <c r="I8" s="5" t="s">
        <v>161</v>
      </c>
      <c r="J8" s="5" t="s">
        <v>114</v>
      </c>
      <c r="K8" s="5" t="s">
        <v>162</v>
      </c>
      <c r="L8" s="5"/>
      <c r="M8" s="5" t="s">
        <v>8</v>
      </c>
      <c r="N8" s="5" t="s">
        <v>80</v>
      </c>
      <c r="O8" s="5" t="str">
        <f>IF(B8="","",IFERROR(LOOKUP(2,1/('Call Log'!$C$2:$C$5000=B8),'Call Log'!$B$2:$B$5000),""))</f>
        <v/>
      </c>
      <c r="P8" s="5">
        <f>IF(B8="","",COUNTIFS('Call Log'!$C$2:$C$5000,B8,'Call Log'!$A$2:$A$5000,"&gt;="&amp;(TODAY()-WEEKDAY(TODAY(),2)+1)))</f>
        <v>0</v>
      </c>
      <c r="Q8" s="5">
        <f>IF(B8="","",COUNTIF('Call Log'!$C$2:$C$5000,B8))</f>
        <v>0</v>
      </c>
      <c r="R8" s="21" t="str">
        <f>IF(B8="","",IFERROR(IF(MAXIFS('Call Log'!$A$2:$A$5000,'Call Log'!$C$2:$C$5000,B8)=0,"",MAXIFS('Call Log'!$A$2:$A$5000,'Call Log'!$C$2:$C$5000,B8)),""))</f>
        <v/>
      </c>
      <c r="S8" s="5"/>
      <c r="T8" s="21"/>
      <c r="U8" s="21"/>
      <c r="V8" s="5"/>
      <c r="W8" s="20"/>
      <c r="X8" s="5"/>
      <c r="Y8" s="5"/>
      <c r="Z8" s="5" t="s">
        <v>132</v>
      </c>
      <c r="AA8" s="5" t="s">
        <v>163</v>
      </c>
    </row>
    <row r="9" ht="15.0" customHeight="1">
      <c r="A9" s="5" t="s">
        <v>164</v>
      </c>
      <c r="B9" s="5" t="s">
        <v>165</v>
      </c>
      <c r="C9" s="5" t="s">
        <v>166</v>
      </c>
      <c r="D9" s="5" t="s">
        <v>167</v>
      </c>
      <c r="E9" s="5">
        <v>30.0</v>
      </c>
      <c r="F9" s="20">
        <v>2970000.0</v>
      </c>
      <c r="G9" s="20">
        <v>2.4747E7</v>
      </c>
      <c r="H9" s="5" t="s">
        <v>40</v>
      </c>
      <c r="I9" s="5" t="s">
        <v>161</v>
      </c>
      <c r="J9" s="5" t="s">
        <v>114</v>
      </c>
      <c r="K9" s="5" t="s">
        <v>168</v>
      </c>
      <c r="L9" s="5" t="s">
        <v>169</v>
      </c>
      <c r="M9" s="5" t="s">
        <v>8</v>
      </c>
      <c r="N9" s="5" t="s">
        <v>80</v>
      </c>
      <c r="O9" s="5" t="str">
        <f>IF(B9="","",IFERROR(LOOKUP(2,1/('Call Log'!$C$2:$C$5000=B9),'Call Log'!$B$2:$B$5000),""))</f>
        <v/>
      </c>
      <c r="P9" s="5">
        <f>IF(B9="","",COUNTIFS('Call Log'!$C$2:$C$5000,B9,'Call Log'!$A$2:$A$5000,"&gt;="&amp;(TODAY()-WEEKDAY(TODAY(),2)+1)))</f>
        <v>0</v>
      </c>
      <c r="Q9" s="5">
        <f>IF(B9="","",COUNTIF('Call Log'!$C$2:$C$5000,B9))</f>
        <v>0</v>
      </c>
      <c r="R9" s="21" t="str">
        <f>IF(B9="","",IFERROR(IF(MAXIFS('Call Log'!$A$2:$A$5000,'Call Log'!$C$2:$C$5000,B9)=0,"",MAXIFS('Call Log'!$A$2:$A$5000,'Call Log'!$C$2:$C$5000,B9)),""))</f>
        <v/>
      </c>
      <c r="S9" s="5"/>
      <c r="T9" s="21"/>
      <c r="U9" s="21"/>
      <c r="V9" s="5"/>
      <c r="W9" s="20"/>
      <c r="X9" s="5"/>
      <c r="Y9" s="5"/>
      <c r="Z9" s="5" t="s">
        <v>132</v>
      </c>
      <c r="AA9" s="5" t="s">
        <v>170</v>
      </c>
    </row>
    <row r="10" ht="15.0" customHeight="1">
      <c r="A10" s="5" t="s">
        <v>171</v>
      </c>
      <c r="B10" s="5" t="s">
        <v>172</v>
      </c>
      <c r="C10" s="5" t="s">
        <v>173</v>
      </c>
      <c r="D10" s="5" t="s">
        <v>174</v>
      </c>
      <c r="E10" s="5">
        <v>3.0</v>
      </c>
      <c r="F10" s="20">
        <v>2854000.0</v>
      </c>
      <c r="G10" s="20">
        <v>2.3785E7</v>
      </c>
      <c r="H10" s="5" t="s">
        <v>41</v>
      </c>
      <c r="I10" s="5" t="s">
        <v>175</v>
      </c>
      <c r="J10" s="5" t="s">
        <v>114</v>
      </c>
      <c r="K10" s="5" t="s">
        <v>176</v>
      </c>
      <c r="L10" s="5" t="s">
        <v>177</v>
      </c>
      <c r="M10" s="5" t="s">
        <v>8</v>
      </c>
      <c r="N10" s="5" t="s">
        <v>80</v>
      </c>
      <c r="O10" s="5" t="str">
        <f>IF(B10="","",IFERROR(LOOKUP(2,1/('Call Log'!$C$2:$C$5000=B10),'Call Log'!$B$2:$B$5000),""))</f>
        <v/>
      </c>
      <c r="P10" s="5">
        <f>IF(B10="","",COUNTIFS('Call Log'!$C$2:$C$5000,B10,'Call Log'!$A$2:$A$5000,"&gt;="&amp;(TODAY()-WEEKDAY(TODAY(),2)+1)))</f>
        <v>0</v>
      </c>
      <c r="Q10" s="5">
        <f>IF(B10="","",COUNTIF('Call Log'!$C$2:$C$5000,B10))</f>
        <v>0</v>
      </c>
      <c r="R10" s="21" t="str">
        <f>IF(B10="","",IFERROR(IF(MAXIFS('Call Log'!$A$2:$A$5000,'Call Log'!$C$2:$C$5000,B10)=0,"",MAXIFS('Call Log'!$A$2:$A$5000,'Call Log'!$C$2:$C$5000,B10)),""))</f>
        <v/>
      </c>
      <c r="S10" s="5"/>
      <c r="T10" s="21"/>
      <c r="U10" s="21"/>
      <c r="V10" s="5"/>
      <c r="W10" s="20"/>
      <c r="X10" s="5"/>
      <c r="Y10" s="5"/>
      <c r="Z10" s="5" t="s">
        <v>178</v>
      </c>
      <c r="AA10" s="5" t="s">
        <v>179</v>
      </c>
    </row>
    <row r="11" ht="15.0" customHeight="1">
      <c r="A11" s="5" t="s">
        <v>180</v>
      </c>
      <c r="B11" s="5" t="s">
        <v>181</v>
      </c>
      <c r="C11" s="5" t="s">
        <v>182</v>
      </c>
      <c r="D11" s="5" t="s">
        <v>183</v>
      </c>
      <c r="E11" s="5">
        <v>29.0</v>
      </c>
      <c r="F11" s="20">
        <v>2798000.0</v>
      </c>
      <c r="G11" s="20">
        <v>2.3317E7</v>
      </c>
      <c r="H11" s="5" t="s">
        <v>41</v>
      </c>
      <c r="I11" s="5" t="s">
        <v>184</v>
      </c>
      <c r="J11" s="5" t="s">
        <v>114</v>
      </c>
      <c r="K11" s="5" t="s">
        <v>185</v>
      </c>
      <c r="L11" s="5" t="s">
        <v>186</v>
      </c>
      <c r="M11" s="5" t="s">
        <v>8</v>
      </c>
      <c r="N11" s="5" t="s">
        <v>80</v>
      </c>
      <c r="O11" s="5" t="str">
        <f>IF(B11="","",IFERROR(LOOKUP(2,1/('Call Log'!$C$2:$C$5000=B11),'Call Log'!$B$2:$B$5000),""))</f>
        <v/>
      </c>
      <c r="P11" s="5">
        <f>IF(B11="","",COUNTIFS('Call Log'!$C$2:$C$5000,B11,'Call Log'!$A$2:$A$5000,"&gt;="&amp;(TODAY()-WEEKDAY(TODAY(),2)+1)))</f>
        <v>0</v>
      </c>
      <c r="Q11" s="5">
        <f>IF(B11="","",COUNTIF('Call Log'!$C$2:$C$5000,B11))</f>
        <v>0</v>
      </c>
      <c r="R11" s="21" t="str">
        <f>IF(B11="","",IFERROR(IF(MAXIFS('Call Log'!$A$2:$A$5000,'Call Log'!$C$2:$C$5000,B11)=0,"",MAXIFS('Call Log'!$A$2:$A$5000,'Call Log'!$C$2:$C$5000,B11)),""))</f>
        <v/>
      </c>
      <c r="S11" s="5"/>
      <c r="T11" s="21"/>
      <c r="U11" s="21"/>
      <c r="V11" s="5"/>
      <c r="W11" s="20"/>
      <c r="X11" s="5"/>
      <c r="Y11" s="5"/>
      <c r="Z11" s="5" t="s">
        <v>178</v>
      </c>
      <c r="AA11" s="5" t="s">
        <v>187</v>
      </c>
    </row>
    <row r="12" ht="15.0" customHeight="1">
      <c r="A12" s="5" t="s">
        <v>188</v>
      </c>
      <c r="B12" s="5" t="s">
        <v>189</v>
      </c>
      <c r="C12" s="5" t="s">
        <v>190</v>
      </c>
      <c r="D12" s="5" t="s">
        <v>191</v>
      </c>
      <c r="E12" s="5">
        <v>8.0</v>
      </c>
      <c r="F12" s="20">
        <v>2743000.0</v>
      </c>
      <c r="G12" s="20">
        <v>2.2861E7</v>
      </c>
      <c r="H12" s="5" t="s">
        <v>40</v>
      </c>
      <c r="I12" s="5" t="s">
        <v>161</v>
      </c>
      <c r="J12" s="5" t="s">
        <v>114</v>
      </c>
      <c r="K12" s="5" t="s">
        <v>192</v>
      </c>
      <c r="L12" s="5"/>
      <c r="M12" s="5" t="s">
        <v>8</v>
      </c>
      <c r="N12" s="5" t="s">
        <v>80</v>
      </c>
      <c r="O12" s="5" t="str">
        <f>IF(B12="","",IFERROR(LOOKUP(2,1/('Call Log'!$C$2:$C$5000=B12),'Call Log'!$B$2:$B$5000),""))</f>
        <v/>
      </c>
      <c r="P12" s="5">
        <f>IF(B12="","",COUNTIFS('Call Log'!$C$2:$C$5000,B12,'Call Log'!$A$2:$A$5000,"&gt;="&amp;(TODAY()-WEEKDAY(TODAY(),2)+1)))</f>
        <v>0</v>
      </c>
      <c r="Q12" s="5">
        <f>IF(B12="","",COUNTIF('Call Log'!$C$2:$C$5000,B12))</f>
        <v>0</v>
      </c>
      <c r="R12" s="21" t="str">
        <f>IF(B12="","",IFERROR(IF(MAXIFS('Call Log'!$A$2:$A$5000,'Call Log'!$C$2:$C$5000,B12)=0,"",MAXIFS('Call Log'!$A$2:$A$5000,'Call Log'!$C$2:$C$5000,B12)),""))</f>
        <v/>
      </c>
      <c r="S12" s="5"/>
      <c r="T12" s="21"/>
      <c r="U12" s="21"/>
      <c r="V12" s="5"/>
      <c r="W12" s="20"/>
      <c r="X12" s="5"/>
      <c r="Y12" s="5"/>
      <c r="Z12" s="5" t="s">
        <v>132</v>
      </c>
      <c r="AA12" s="5" t="s">
        <v>193</v>
      </c>
    </row>
    <row r="13" ht="15.0" customHeight="1">
      <c r="A13" s="5" t="s">
        <v>194</v>
      </c>
      <c r="B13" s="5" t="s">
        <v>195</v>
      </c>
      <c r="C13" s="5" t="s">
        <v>196</v>
      </c>
      <c r="D13" s="5" t="s">
        <v>197</v>
      </c>
      <c r="E13" s="5">
        <v>9.0</v>
      </c>
      <c r="F13" s="20">
        <v>2522000.0</v>
      </c>
      <c r="G13" s="20">
        <v>2.1014E7</v>
      </c>
      <c r="H13" s="5" t="s">
        <v>40</v>
      </c>
      <c r="I13" s="5" t="s">
        <v>198</v>
      </c>
      <c r="J13" s="5" t="s">
        <v>114</v>
      </c>
      <c r="K13" s="5" t="s">
        <v>199</v>
      </c>
      <c r="L13" s="5" t="s">
        <v>200</v>
      </c>
      <c r="M13" s="5" t="s">
        <v>8</v>
      </c>
      <c r="N13" s="5" t="s">
        <v>80</v>
      </c>
      <c r="O13" s="5" t="str">
        <f>IF(B13="","",IFERROR(LOOKUP(2,1/('Call Log'!$C$2:$C$5000=B13),'Call Log'!$B$2:$B$5000),""))</f>
        <v/>
      </c>
      <c r="P13" s="5">
        <f>IF(B13="","",COUNTIFS('Call Log'!$C$2:$C$5000,B13,'Call Log'!$A$2:$A$5000,"&gt;="&amp;(TODAY()-WEEKDAY(TODAY(),2)+1)))</f>
        <v>0</v>
      </c>
      <c r="Q13" s="5">
        <f>IF(B13="","",COUNTIF('Call Log'!$C$2:$C$5000,B13))</f>
        <v>0</v>
      </c>
      <c r="R13" s="21" t="str">
        <f>IF(B13="","",IFERROR(IF(MAXIFS('Call Log'!$A$2:$A$5000,'Call Log'!$C$2:$C$5000,B13)=0,"",MAXIFS('Call Log'!$A$2:$A$5000,'Call Log'!$C$2:$C$5000,B13)),""))</f>
        <v/>
      </c>
      <c r="S13" s="5"/>
      <c r="T13" s="21"/>
      <c r="U13" s="21"/>
      <c r="V13" s="5"/>
      <c r="W13" s="20"/>
      <c r="X13" s="5"/>
      <c r="Y13" s="5"/>
      <c r="Z13" s="5" t="s">
        <v>132</v>
      </c>
      <c r="AA13" s="5" t="s">
        <v>201</v>
      </c>
    </row>
    <row r="14" ht="15.0" customHeight="1">
      <c r="A14" s="5" t="s">
        <v>202</v>
      </c>
      <c r="B14" s="5" t="s">
        <v>203</v>
      </c>
      <c r="C14" s="5" t="s">
        <v>204</v>
      </c>
      <c r="D14" s="5" t="s">
        <v>205</v>
      </c>
      <c r="E14" s="5">
        <v>4.0</v>
      </c>
      <c r="F14" s="20">
        <v>2508000.0</v>
      </c>
      <c r="G14" s="20">
        <v>2.0904E7</v>
      </c>
      <c r="H14" s="5" t="s">
        <v>41</v>
      </c>
      <c r="I14" s="5" t="s">
        <v>206</v>
      </c>
      <c r="J14" s="5" t="s">
        <v>114</v>
      </c>
      <c r="K14" s="5" t="s">
        <v>207</v>
      </c>
      <c r="L14" s="5" t="s">
        <v>208</v>
      </c>
      <c r="M14" s="5" t="s">
        <v>8</v>
      </c>
      <c r="N14" s="5" t="s">
        <v>80</v>
      </c>
      <c r="O14" s="5" t="str">
        <f>IF(B14="","",IFERROR(LOOKUP(2,1/('Call Log'!$C$2:$C$5000=B14),'Call Log'!$B$2:$B$5000),""))</f>
        <v/>
      </c>
      <c r="P14" s="5">
        <f>IF(B14="","",COUNTIFS('Call Log'!$C$2:$C$5000,B14,'Call Log'!$A$2:$A$5000,"&gt;="&amp;(TODAY()-WEEKDAY(TODAY(),2)+1)))</f>
        <v>0</v>
      </c>
      <c r="Q14" s="5">
        <f>IF(B14="","",COUNTIF('Call Log'!$C$2:$C$5000,B14))</f>
        <v>0</v>
      </c>
      <c r="R14" s="21" t="str">
        <f>IF(B14="","",IFERROR(IF(MAXIFS('Call Log'!$A$2:$A$5000,'Call Log'!$C$2:$C$5000,B14)=0,"",MAXIFS('Call Log'!$A$2:$A$5000,'Call Log'!$C$2:$C$5000,B14)),""))</f>
        <v/>
      </c>
      <c r="S14" s="5"/>
      <c r="T14" s="21"/>
      <c r="U14" s="21"/>
      <c r="V14" s="5"/>
      <c r="W14" s="20"/>
      <c r="X14" s="5"/>
      <c r="Y14" s="5"/>
      <c r="Z14" s="5"/>
      <c r="AA14" s="5" t="s">
        <v>124</v>
      </c>
    </row>
    <row r="15" ht="15.0" customHeight="1">
      <c r="A15" s="5" t="s">
        <v>209</v>
      </c>
      <c r="B15" s="5" t="s">
        <v>210</v>
      </c>
      <c r="C15" s="5" t="s">
        <v>211</v>
      </c>
      <c r="D15" s="5" t="s">
        <v>212</v>
      </c>
      <c r="E15" s="5">
        <v>110.0</v>
      </c>
      <c r="F15" s="20">
        <v>2400000.0</v>
      </c>
      <c r="G15" s="20">
        <v>2.0E7</v>
      </c>
      <c r="H15" s="5" t="s">
        <v>43</v>
      </c>
      <c r="I15" s="5" t="s">
        <v>213</v>
      </c>
      <c r="J15" s="5" t="s">
        <v>114</v>
      </c>
      <c r="K15" s="5" t="s">
        <v>214</v>
      </c>
      <c r="L15" s="5"/>
      <c r="M15" s="5" t="s">
        <v>8</v>
      </c>
      <c r="N15" s="5" t="s">
        <v>80</v>
      </c>
      <c r="O15" s="5" t="str">
        <f>IF(B15="","",IFERROR(LOOKUP(2,1/('Call Log'!$C$2:$C$5000=B15),'Call Log'!$B$2:$B$5000),""))</f>
        <v/>
      </c>
      <c r="P15" s="5">
        <f>IF(B15="","",COUNTIFS('Call Log'!$C$2:$C$5000,B15,'Call Log'!$A$2:$A$5000,"&gt;="&amp;(TODAY()-WEEKDAY(TODAY(),2)+1)))</f>
        <v>0</v>
      </c>
      <c r="Q15" s="5">
        <f>IF(B15="","",COUNTIF('Call Log'!$C$2:$C$5000,B15))</f>
        <v>0</v>
      </c>
      <c r="R15" s="21" t="str">
        <f>IF(B15="","",IFERROR(IF(MAXIFS('Call Log'!$A$2:$A$5000,'Call Log'!$C$2:$C$5000,B15)=0,"",MAXIFS('Call Log'!$A$2:$A$5000,'Call Log'!$C$2:$C$5000,B15)),""))</f>
        <v/>
      </c>
      <c r="S15" s="5"/>
      <c r="T15" s="21"/>
      <c r="U15" s="21"/>
      <c r="V15" s="5"/>
      <c r="W15" s="20"/>
      <c r="X15" s="5"/>
      <c r="Y15" s="5"/>
      <c r="Z15" s="5"/>
      <c r="AA15" s="5" t="s">
        <v>215</v>
      </c>
    </row>
    <row r="16" ht="15.0" customHeight="1">
      <c r="A16" s="5" t="s">
        <v>216</v>
      </c>
      <c r="B16" s="5" t="s">
        <v>217</v>
      </c>
      <c r="C16" s="5" t="s">
        <v>211</v>
      </c>
      <c r="D16" s="5" t="s">
        <v>212</v>
      </c>
      <c r="E16" s="5">
        <v>110.0</v>
      </c>
      <c r="F16" s="20">
        <v>2400000.0</v>
      </c>
      <c r="G16" s="20">
        <v>2.0E7</v>
      </c>
      <c r="H16" s="5" t="s">
        <v>43</v>
      </c>
      <c r="I16" s="5" t="s">
        <v>218</v>
      </c>
      <c r="J16" s="5" t="s">
        <v>114</v>
      </c>
      <c r="K16" s="5" t="s">
        <v>219</v>
      </c>
      <c r="L16" s="5"/>
      <c r="M16" s="5" t="s">
        <v>8</v>
      </c>
      <c r="N16" s="5" t="s">
        <v>80</v>
      </c>
      <c r="O16" s="5" t="str">
        <f>IF(B16="","",IFERROR(LOOKUP(2,1/('Call Log'!$C$2:$C$5000=B16),'Call Log'!$B$2:$B$5000),""))</f>
        <v/>
      </c>
      <c r="P16" s="5">
        <f>IF(B16="","",COUNTIFS('Call Log'!$C$2:$C$5000,B16,'Call Log'!$A$2:$A$5000,"&gt;="&amp;(TODAY()-WEEKDAY(TODAY(),2)+1)))</f>
        <v>0</v>
      </c>
      <c r="Q16" s="5">
        <f>IF(B16="","",COUNTIF('Call Log'!$C$2:$C$5000,B16))</f>
        <v>0</v>
      </c>
      <c r="R16" s="21" t="str">
        <f>IF(B16="","",IFERROR(IF(MAXIFS('Call Log'!$A$2:$A$5000,'Call Log'!$C$2:$C$5000,B16)=0,"",MAXIFS('Call Log'!$A$2:$A$5000,'Call Log'!$C$2:$C$5000,B16)),""))</f>
        <v/>
      </c>
      <c r="S16" s="5"/>
      <c r="T16" s="21"/>
      <c r="U16" s="21"/>
      <c r="V16" s="5"/>
      <c r="W16" s="20"/>
      <c r="X16" s="5"/>
      <c r="Y16" s="5"/>
      <c r="Z16" s="5"/>
      <c r="AA16" s="5" t="s">
        <v>215</v>
      </c>
    </row>
    <row r="17" ht="15.0" customHeight="1">
      <c r="A17" s="5" t="s">
        <v>220</v>
      </c>
      <c r="B17" s="5" t="s">
        <v>221</v>
      </c>
      <c r="C17" s="5" t="s">
        <v>222</v>
      </c>
      <c r="D17" s="5" t="s">
        <v>223</v>
      </c>
      <c r="E17" s="5">
        <v>8.0</v>
      </c>
      <c r="F17" s="20">
        <v>2393000.0</v>
      </c>
      <c r="G17" s="20">
        <v>1.9943E7</v>
      </c>
      <c r="H17" s="5" t="s">
        <v>40</v>
      </c>
      <c r="I17" s="5" t="s">
        <v>122</v>
      </c>
      <c r="J17" s="5" t="s">
        <v>114</v>
      </c>
      <c r="K17" s="5" t="s">
        <v>224</v>
      </c>
      <c r="L17" s="5" t="s">
        <v>225</v>
      </c>
      <c r="M17" s="5" t="s">
        <v>8</v>
      </c>
      <c r="N17" s="5" t="s">
        <v>80</v>
      </c>
      <c r="O17" s="5" t="str">
        <f>IF(B17="","",IFERROR(LOOKUP(2,1/('Call Log'!$C$2:$C$5000=B17),'Call Log'!$B$2:$B$5000),""))</f>
        <v/>
      </c>
      <c r="P17" s="5">
        <f>IF(B17="","",COUNTIFS('Call Log'!$C$2:$C$5000,B17,'Call Log'!$A$2:$A$5000,"&gt;="&amp;(TODAY()-WEEKDAY(TODAY(),2)+1)))</f>
        <v>0</v>
      </c>
      <c r="Q17" s="5">
        <f>IF(B17="","",COUNTIF('Call Log'!$C$2:$C$5000,B17))</f>
        <v>0</v>
      </c>
      <c r="R17" s="21" t="str">
        <f>IF(B17="","",IFERROR(IF(MAXIFS('Call Log'!$A$2:$A$5000,'Call Log'!$C$2:$C$5000,B17)=0,"",MAXIFS('Call Log'!$A$2:$A$5000,'Call Log'!$C$2:$C$5000,B17)),""))</f>
        <v/>
      </c>
      <c r="S17" s="5"/>
      <c r="T17" s="21"/>
      <c r="U17" s="21"/>
      <c r="V17" s="5"/>
      <c r="W17" s="20"/>
      <c r="X17" s="5"/>
      <c r="Y17" s="5"/>
      <c r="Z17" s="5" t="s">
        <v>178</v>
      </c>
      <c r="AA17" s="5" t="s">
        <v>226</v>
      </c>
    </row>
    <row r="18" ht="15.0" customHeight="1">
      <c r="A18" s="5" t="s">
        <v>227</v>
      </c>
      <c r="B18" s="5" t="s">
        <v>228</v>
      </c>
      <c r="C18" s="5" t="s">
        <v>229</v>
      </c>
      <c r="D18" s="5" t="s">
        <v>230</v>
      </c>
      <c r="E18" s="5">
        <v>9.0</v>
      </c>
      <c r="F18" s="20">
        <v>2296000.0</v>
      </c>
      <c r="G18" s="20">
        <v>1.9132E7</v>
      </c>
      <c r="H18" s="5" t="s">
        <v>41</v>
      </c>
      <c r="I18" s="5" t="s">
        <v>231</v>
      </c>
      <c r="J18" s="5" t="s">
        <v>114</v>
      </c>
      <c r="K18" s="5" t="s">
        <v>232</v>
      </c>
      <c r="L18" s="5" t="s">
        <v>233</v>
      </c>
      <c r="M18" s="5" t="s">
        <v>8</v>
      </c>
      <c r="N18" s="5" t="s">
        <v>80</v>
      </c>
      <c r="O18" s="5" t="str">
        <f>IF(B18="","",IFERROR(LOOKUP(2,1/('Call Log'!$C$2:$C$5000=B18),'Call Log'!$B$2:$B$5000),""))</f>
        <v/>
      </c>
      <c r="P18" s="5">
        <f>IF(B18="","",COUNTIFS('Call Log'!$C$2:$C$5000,B18,'Call Log'!$A$2:$A$5000,"&gt;="&amp;(TODAY()-WEEKDAY(TODAY(),2)+1)))</f>
        <v>0</v>
      </c>
      <c r="Q18" s="5">
        <f>IF(B18="","",COUNTIF('Call Log'!$C$2:$C$5000,B18))</f>
        <v>0</v>
      </c>
      <c r="R18" s="21" t="str">
        <f>IF(B18="","",IFERROR(IF(MAXIFS('Call Log'!$A$2:$A$5000,'Call Log'!$C$2:$C$5000,B18)=0,"",MAXIFS('Call Log'!$A$2:$A$5000,'Call Log'!$C$2:$C$5000,B18)),""))</f>
        <v/>
      </c>
      <c r="S18" s="5"/>
      <c r="T18" s="21"/>
      <c r="U18" s="21"/>
      <c r="V18" s="5"/>
      <c r="W18" s="20"/>
      <c r="X18" s="5"/>
      <c r="Y18" s="5"/>
      <c r="Z18" s="5" t="s">
        <v>132</v>
      </c>
      <c r="AA18" s="5" t="s">
        <v>234</v>
      </c>
    </row>
    <row r="19" ht="15.0" customHeight="1">
      <c r="A19" s="5" t="s">
        <v>235</v>
      </c>
      <c r="B19" s="5" t="s">
        <v>236</v>
      </c>
      <c r="C19" s="5" t="s">
        <v>237</v>
      </c>
      <c r="D19" s="5" t="s">
        <v>238</v>
      </c>
      <c r="E19" s="5">
        <v>6.0</v>
      </c>
      <c r="F19" s="20">
        <v>2169000.0</v>
      </c>
      <c r="G19" s="20">
        <v>1.8079E7</v>
      </c>
      <c r="H19" s="5" t="s">
        <v>40</v>
      </c>
      <c r="I19" s="5" t="s">
        <v>213</v>
      </c>
      <c r="J19" s="5" t="s">
        <v>114</v>
      </c>
      <c r="K19" s="5" t="s">
        <v>239</v>
      </c>
      <c r="L19" s="5" t="s">
        <v>240</v>
      </c>
      <c r="M19" s="5" t="s">
        <v>8</v>
      </c>
      <c r="N19" s="5" t="s">
        <v>80</v>
      </c>
      <c r="O19" s="5" t="str">
        <f>IF(B19="","",IFERROR(LOOKUP(2,1/('Call Log'!$C$2:$C$5000=B19),'Call Log'!$B$2:$B$5000),""))</f>
        <v/>
      </c>
      <c r="P19" s="5">
        <f>IF(B19="","",COUNTIFS('Call Log'!$C$2:$C$5000,B19,'Call Log'!$A$2:$A$5000,"&gt;="&amp;(TODAY()-WEEKDAY(TODAY(),2)+1)))</f>
        <v>0</v>
      </c>
      <c r="Q19" s="5">
        <f>IF(B19="","",COUNTIF('Call Log'!$C$2:$C$5000,B19))</f>
        <v>0</v>
      </c>
      <c r="R19" s="21" t="str">
        <f>IF(B19="","",IFERROR(IF(MAXIFS('Call Log'!$A$2:$A$5000,'Call Log'!$C$2:$C$5000,B19)=0,"",MAXIFS('Call Log'!$A$2:$A$5000,'Call Log'!$C$2:$C$5000,B19)),""))</f>
        <v/>
      </c>
      <c r="S19" s="5"/>
      <c r="T19" s="21"/>
      <c r="U19" s="21"/>
      <c r="V19" s="5"/>
      <c r="W19" s="20"/>
      <c r="X19" s="5"/>
      <c r="Y19" s="5"/>
      <c r="Z19" s="5" t="s">
        <v>132</v>
      </c>
      <c r="AA19" s="5" t="s">
        <v>241</v>
      </c>
    </row>
    <row r="20" ht="15.0" customHeight="1">
      <c r="A20" s="5" t="s">
        <v>242</v>
      </c>
      <c r="B20" s="5" t="s">
        <v>243</v>
      </c>
      <c r="C20" s="5" t="s">
        <v>244</v>
      </c>
      <c r="D20" s="5" t="s">
        <v>245</v>
      </c>
      <c r="E20" s="5">
        <v>20.0</v>
      </c>
      <c r="F20" s="20">
        <v>1830000.0</v>
      </c>
      <c r="G20" s="20">
        <v>1.5247E7</v>
      </c>
      <c r="H20" s="5" t="s">
        <v>40</v>
      </c>
      <c r="I20" s="5" t="s">
        <v>246</v>
      </c>
      <c r="J20" s="5" t="s">
        <v>114</v>
      </c>
      <c r="K20" s="5" t="s">
        <v>247</v>
      </c>
      <c r="L20" s="5" t="s">
        <v>248</v>
      </c>
      <c r="M20" s="5" t="s">
        <v>8</v>
      </c>
      <c r="N20" s="5" t="s">
        <v>80</v>
      </c>
      <c r="O20" s="5" t="str">
        <f>IF(B20="","",IFERROR(LOOKUP(2,1/('Call Log'!$C$2:$C$5000=B20),'Call Log'!$B$2:$B$5000),""))</f>
        <v/>
      </c>
      <c r="P20" s="5">
        <f>IF(B20="","",COUNTIFS('Call Log'!$C$2:$C$5000,B20,'Call Log'!$A$2:$A$5000,"&gt;="&amp;(TODAY()-WEEKDAY(TODAY(),2)+1)))</f>
        <v>0</v>
      </c>
      <c r="Q20" s="5">
        <f>IF(B20="","",COUNTIF('Call Log'!$C$2:$C$5000,B20))</f>
        <v>0</v>
      </c>
      <c r="R20" s="21" t="str">
        <f>IF(B20="","",IFERROR(IF(MAXIFS('Call Log'!$A$2:$A$5000,'Call Log'!$C$2:$C$5000,B20)=0,"",MAXIFS('Call Log'!$A$2:$A$5000,'Call Log'!$C$2:$C$5000,B20)),""))</f>
        <v/>
      </c>
      <c r="S20" s="5"/>
      <c r="T20" s="21"/>
      <c r="U20" s="21"/>
      <c r="V20" s="5"/>
      <c r="W20" s="20"/>
      <c r="X20" s="5"/>
      <c r="Y20" s="5"/>
      <c r="Z20" s="5" t="s">
        <v>132</v>
      </c>
      <c r="AA20" s="5" t="s">
        <v>249</v>
      </c>
    </row>
    <row r="21" ht="15.0" customHeight="1">
      <c r="A21" s="5" t="s">
        <v>250</v>
      </c>
      <c r="B21" s="5" t="s">
        <v>251</v>
      </c>
      <c r="C21" s="5" t="s">
        <v>252</v>
      </c>
      <c r="D21" s="5" t="s">
        <v>253</v>
      </c>
      <c r="E21" s="5">
        <v>11.0</v>
      </c>
      <c r="F21" s="20">
        <v>1740000.0</v>
      </c>
      <c r="G21" s="20">
        <v>1.45E7</v>
      </c>
      <c r="H21" s="5" t="s">
        <v>40</v>
      </c>
      <c r="I21" s="5" t="s">
        <v>184</v>
      </c>
      <c r="J21" s="5" t="s">
        <v>114</v>
      </c>
      <c r="K21" s="5" t="s">
        <v>254</v>
      </c>
      <c r="L21" s="5"/>
      <c r="M21" s="5" t="s">
        <v>8</v>
      </c>
      <c r="N21" s="5" t="s">
        <v>80</v>
      </c>
      <c r="O21" s="5" t="str">
        <f>IF(B21="","",IFERROR(LOOKUP(2,1/('Call Log'!$C$2:$C$5000=B21),'Call Log'!$B$2:$B$5000),""))</f>
        <v/>
      </c>
      <c r="P21" s="5">
        <f>IF(B21="","",COUNTIFS('Call Log'!$C$2:$C$5000,B21,'Call Log'!$A$2:$A$5000,"&gt;="&amp;(TODAY()-WEEKDAY(TODAY(),2)+1)))</f>
        <v>0</v>
      </c>
      <c r="Q21" s="5">
        <f>IF(B21="","",COUNTIF('Call Log'!$C$2:$C$5000,B21))</f>
        <v>0</v>
      </c>
      <c r="R21" s="21" t="str">
        <f>IF(B21="","",IFERROR(IF(MAXIFS('Call Log'!$A$2:$A$5000,'Call Log'!$C$2:$C$5000,B21)=0,"",MAXIFS('Call Log'!$A$2:$A$5000,'Call Log'!$C$2:$C$5000,B21)),""))</f>
        <v/>
      </c>
      <c r="S21" s="5"/>
      <c r="T21" s="21"/>
      <c r="U21" s="21"/>
      <c r="V21" s="5"/>
      <c r="W21" s="20"/>
      <c r="X21" s="5"/>
      <c r="Y21" s="5"/>
      <c r="Z21" s="5" t="s">
        <v>132</v>
      </c>
      <c r="AA21" s="5" t="s">
        <v>255</v>
      </c>
    </row>
    <row r="22" ht="15.0" customHeight="1">
      <c r="A22" s="5" t="s">
        <v>256</v>
      </c>
      <c r="B22" s="5" t="s">
        <v>257</v>
      </c>
      <c r="C22" s="5" t="s">
        <v>258</v>
      </c>
      <c r="D22" s="5" t="s">
        <v>259</v>
      </c>
      <c r="E22" s="5">
        <v>6.0</v>
      </c>
      <c r="F22" s="20">
        <v>1334000.0</v>
      </c>
      <c r="G22" s="20">
        <v>1.112E7</v>
      </c>
      <c r="H22" s="5" t="s">
        <v>41</v>
      </c>
      <c r="I22" s="5" t="s">
        <v>161</v>
      </c>
      <c r="J22" s="5" t="s">
        <v>114</v>
      </c>
      <c r="K22" s="5" t="s">
        <v>260</v>
      </c>
      <c r="L22" s="5" t="s">
        <v>261</v>
      </c>
      <c r="M22" s="5" t="s">
        <v>8</v>
      </c>
      <c r="N22" s="5" t="s">
        <v>80</v>
      </c>
      <c r="O22" s="5" t="str">
        <f>IF(B22="","",IFERROR(LOOKUP(2,1/('Call Log'!$C$2:$C$5000=B22),'Call Log'!$B$2:$B$5000),""))</f>
        <v/>
      </c>
      <c r="P22" s="5">
        <f>IF(B22="","",COUNTIFS('Call Log'!$C$2:$C$5000,B22,'Call Log'!$A$2:$A$5000,"&gt;="&amp;(TODAY()-WEEKDAY(TODAY(),2)+1)))</f>
        <v>0</v>
      </c>
      <c r="Q22" s="5">
        <f>IF(B22="","",COUNTIF('Call Log'!$C$2:$C$5000,B22))</f>
        <v>0</v>
      </c>
      <c r="R22" s="21" t="str">
        <f>IF(B22="","",IFERROR(IF(MAXIFS('Call Log'!$A$2:$A$5000,'Call Log'!$C$2:$C$5000,B22)=0,"",MAXIFS('Call Log'!$A$2:$A$5000,'Call Log'!$C$2:$C$5000,B22)),""))</f>
        <v/>
      </c>
      <c r="S22" s="5"/>
      <c r="T22" s="21"/>
      <c r="U22" s="21"/>
      <c r="V22" s="5"/>
      <c r="W22" s="20"/>
      <c r="X22" s="5"/>
      <c r="Y22" s="5"/>
      <c r="Z22" s="5" t="s">
        <v>132</v>
      </c>
      <c r="AA22" s="5" t="s">
        <v>262</v>
      </c>
    </row>
    <row r="23" ht="15.0" customHeight="1">
      <c r="A23" s="5" t="s">
        <v>263</v>
      </c>
      <c r="B23" s="5" t="s">
        <v>264</v>
      </c>
      <c r="C23" s="5" t="s">
        <v>265</v>
      </c>
      <c r="D23" s="5" t="s">
        <v>266</v>
      </c>
      <c r="E23" s="5">
        <v>12.0</v>
      </c>
      <c r="F23" s="20">
        <v>1178000.0</v>
      </c>
      <c r="G23" s="20">
        <v>9817000.0</v>
      </c>
      <c r="H23" s="5" t="s">
        <v>40</v>
      </c>
      <c r="I23" s="5" t="s">
        <v>154</v>
      </c>
      <c r="J23" s="5" t="s">
        <v>114</v>
      </c>
      <c r="K23" s="5" t="s">
        <v>267</v>
      </c>
      <c r="L23" s="5" t="s">
        <v>268</v>
      </c>
      <c r="M23" s="5" t="s">
        <v>8</v>
      </c>
      <c r="N23" s="5" t="s">
        <v>80</v>
      </c>
      <c r="O23" s="5" t="str">
        <f>IF(B23="","",IFERROR(LOOKUP(2,1/('Call Log'!$C$2:$C$5000=B23),'Call Log'!$B$2:$B$5000),""))</f>
        <v/>
      </c>
      <c r="P23" s="5">
        <f>IF(B23="","",COUNTIFS('Call Log'!$C$2:$C$5000,B23,'Call Log'!$A$2:$A$5000,"&gt;="&amp;(TODAY()-WEEKDAY(TODAY(),2)+1)))</f>
        <v>0</v>
      </c>
      <c r="Q23" s="5">
        <f>IF(B23="","",COUNTIF('Call Log'!$C$2:$C$5000,B23))</f>
        <v>0</v>
      </c>
      <c r="R23" s="21" t="str">
        <f>IF(B23="","",IFERROR(IF(MAXIFS('Call Log'!$A$2:$A$5000,'Call Log'!$C$2:$C$5000,B23)=0,"",MAXIFS('Call Log'!$A$2:$A$5000,'Call Log'!$C$2:$C$5000,B23)),""))</f>
        <v/>
      </c>
      <c r="S23" s="5"/>
      <c r="T23" s="21"/>
      <c r="U23" s="21"/>
      <c r="V23" s="5"/>
      <c r="W23" s="20"/>
      <c r="X23" s="5"/>
      <c r="Y23" s="5"/>
      <c r="Z23" s="5" t="s">
        <v>132</v>
      </c>
      <c r="AA23" s="5" t="s">
        <v>269</v>
      </c>
    </row>
    <row r="24" ht="15.0" customHeight="1">
      <c r="A24" s="5" t="s">
        <v>270</v>
      </c>
      <c r="B24" s="5" t="s">
        <v>271</v>
      </c>
      <c r="C24" s="5" t="s">
        <v>272</v>
      </c>
      <c r="D24" s="5" t="s">
        <v>273</v>
      </c>
      <c r="E24" s="5">
        <v>8.0</v>
      </c>
      <c r="F24" s="20">
        <v>1167000.0</v>
      </c>
      <c r="G24" s="20">
        <v>9721000.0</v>
      </c>
      <c r="H24" s="5" t="s">
        <v>41</v>
      </c>
      <c r="I24" s="5" t="s">
        <v>146</v>
      </c>
      <c r="J24" s="5" t="s">
        <v>114</v>
      </c>
      <c r="K24" s="5" t="s">
        <v>274</v>
      </c>
      <c r="L24" s="5"/>
      <c r="M24" s="5" t="s">
        <v>8</v>
      </c>
      <c r="N24" s="5" t="s">
        <v>80</v>
      </c>
      <c r="O24" s="5" t="str">
        <f>IF(B24="","",IFERROR(LOOKUP(2,1/('Call Log'!$C$2:$C$5000=B24),'Call Log'!$B$2:$B$5000),""))</f>
        <v/>
      </c>
      <c r="P24" s="5">
        <f>IF(B24="","",COUNTIFS('Call Log'!$C$2:$C$5000,B24,'Call Log'!$A$2:$A$5000,"&gt;="&amp;(TODAY()-WEEKDAY(TODAY(),2)+1)))</f>
        <v>0</v>
      </c>
      <c r="Q24" s="5">
        <f>IF(B24="","",COUNTIF('Call Log'!$C$2:$C$5000,B24))</f>
        <v>0</v>
      </c>
      <c r="R24" s="21" t="str">
        <f>IF(B24="","",IFERROR(IF(MAXIFS('Call Log'!$A$2:$A$5000,'Call Log'!$C$2:$C$5000,B24)=0,"",MAXIFS('Call Log'!$A$2:$A$5000,'Call Log'!$C$2:$C$5000,B24)),""))</f>
        <v/>
      </c>
      <c r="S24" s="5"/>
      <c r="T24" s="21"/>
      <c r="U24" s="21"/>
      <c r="V24" s="5"/>
      <c r="W24" s="20"/>
      <c r="X24" s="5"/>
      <c r="Y24" s="5"/>
      <c r="Z24" s="5"/>
      <c r="AA24" s="5" t="s">
        <v>275</v>
      </c>
    </row>
    <row r="25" ht="15.0" customHeight="1">
      <c r="A25" s="5" t="s">
        <v>276</v>
      </c>
      <c r="B25" s="5" t="s">
        <v>277</v>
      </c>
      <c r="C25" s="5" t="s">
        <v>278</v>
      </c>
      <c r="D25" s="5" t="s">
        <v>279</v>
      </c>
      <c r="E25" s="5">
        <v>49.0</v>
      </c>
      <c r="F25" s="20">
        <v>1154000.0</v>
      </c>
      <c r="G25" s="20">
        <v>9615000.0</v>
      </c>
      <c r="H25" s="5" t="s">
        <v>43</v>
      </c>
      <c r="I25" s="5" t="s">
        <v>184</v>
      </c>
      <c r="J25" s="5" t="s">
        <v>114</v>
      </c>
      <c r="K25" s="5" t="s">
        <v>280</v>
      </c>
      <c r="L25" s="5" t="s">
        <v>281</v>
      </c>
      <c r="M25" s="5" t="s">
        <v>8</v>
      </c>
      <c r="N25" s="5" t="s">
        <v>80</v>
      </c>
      <c r="O25" s="5" t="str">
        <f>IF(B25="","",IFERROR(LOOKUP(2,1/('Call Log'!$C$2:$C$5000=B25),'Call Log'!$B$2:$B$5000),""))</f>
        <v/>
      </c>
      <c r="P25" s="5">
        <f>IF(B25="","",COUNTIFS('Call Log'!$C$2:$C$5000,B25,'Call Log'!$A$2:$A$5000,"&gt;="&amp;(TODAY()-WEEKDAY(TODAY(),2)+1)))</f>
        <v>0</v>
      </c>
      <c r="Q25" s="5">
        <f>IF(B25="","",COUNTIF('Call Log'!$C$2:$C$5000,B25))</f>
        <v>0</v>
      </c>
      <c r="R25" s="21" t="str">
        <f>IF(B25="","",IFERROR(IF(MAXIFS('Call Log'!$A$2:$A$5000,'Call Log'!$C$2:$C$5000,B25)=0,"",MAXIFS('Call Log'!$A$2:$A$5000,'Call Log'!$C$2:$C$5000,B25)),""))</f>
        <v/>
      </c>
      <c r="S25" s="5"/>
      <c r="T25" s="21"/>
      <c r="U25" s="21"/>
      <c r="V25" s="5"/>
      <c r="W25" s="20"/>
      <c r="X25" s="5"/>
      <c r="Y25" s="5"/>
      <c r="Z25" s="5" t="s">
        <v>132</v>
      </c>
      <c r="AA25" s="5" t="s">
        <v>282</v>
      </c>
    </row>
    <row r="26" ht="15.0" customHeight="1">
      <c r="A26" s="5" t="s">
        <v>283</v>
      </c>
      <c r="B26" s="5" t="s">
        <v>284</v>
      </c>
      <c r="C26" s="5" t="s">
        <v>285</v>
      </c>
      <c r="D26" s="5" t="s">
        <v>286</v>
      </c>
      <c r="E26" s="5">
        <v>12.0</v>
      </c>
      <c r="F26" s="20">
        <v>1105000.0</v>
      </c>
      <c r="G26" s="20">
        <v>9212000.0</v>
      </c>
      <c r="H26" s="5" t="s">
        <v>40</v>
      </c>
      <c r="I26" s="5" t="s">
        <v>146</v>
      </c>
      <c r="J26" s="5" t="s">
        <v>114</v>
      </c>
      <c r="K26" s="5" t="s">
        <v>287</v>
      </c>
      <c r="L26" s="5"/>
      <c r="M26" s="5" t="s">
        <v>8</v>
      </c>
      <c r="N26" s="5" t="s">
        <v>80</v>
      </c>
      <c r="O26" s="5" t="str">
        <f>IF(B26="","",IFERROR(LOOKUP(2,1/('Call Log'!$C$2:$C$5000=B26),'Call Log'!$B$2:$B$5000),""))</f>
        <v/>
      </c>
      <c r="P26" s="5">
        <f>IF(B26="","",COUNTIFS('Call Log'!$C$2:$C$5000,B26,'Call Log'!$A$2:$A$5000,"&gt;="&amp;(TODAY()-WEEKDAY(TODAY(),2)+1)))</f>
        <v>0</v>
      </c>
      <c r="Q26" s="5">
        <f>IF(B26="","",COUNTIF('Call Log'!$C$2:$C$5000,B26))</f>
        <v>0</v>
      </c>
      <c r="R26" s="21" t="str">
        <f>IF(B26="","",IFERROR(IF(MAXIFS('Call Log'!$A$2:$A$5000,'Call Log'!$C$2:$C$5000,B26)=0,"",MAXIFS('Call Log'!$A$2:$A$5000,'Call Log'!$C$2:$C$5000,B26)),""))</f>
        <v/>
      </c>
      <c r="S26" s="5"/>
      <c r="T26" s="21"/>
      <c r="U26" s="21"/>
      <c r="V26" s="5"/>
      <c r="W26" s="20"/>
      <c r="X26" s="5"/>
      <c r="Y26" s="5"/>
      <c r="Z26" s="5"/>
      <c r="AA26" s="5" t="s">
        <v>124</v>
      </c>
    </row>
    <row r="27" ht="15.0" customHeight="1">
      <c r="A27" s="5" t="s">
        <v>288</v>
      </c>
      <c r="B27" s="5" t="s">
        <v>289</v>
      </c>
      <c r="C27" s="5" t="s">
        <v>285</v>
      </c>
      <c r="D27" s="5" t="s">
        <v>286</v>
      </c>
      <c r="E27" s="5">
        <v>12.0</v>
      </c>
      <c r="F27" s="20">
        <v>1105000.0</v>
      </c>
      <c r="G27" s="20">
        <v>9212000.0</v>
      </c>
      <c r="H27" s="5" t="s">
        <v>43</v>
      </c>
      <c r="I27" s="5" t="s">
        <v>146</v>
      </c>
      <c r="J27" s="5" t="s">
        <v>114</v>
      </c>
      <c r="K27" s="5" t="s">
        <v>290</v>
      </c>
      <c r="L27" s="5"/>
      <c r="M27" s="5" t="s">
        <v>8</v>
      </c>
      <c r="N27" s="5" t="s">
        <v>80</v>
      </c>
      <c r="O27" s="5" t="str">
        <f>IF(B27="","",IFERROR(LOOKUP(2,1/('Call Log'!$C$2:$C$5000=B27),'Call Log'!$B$2:$B$5000),""))</f>
        <v/>
      </c>
      <c r="P27" s="5">
        <f>IF(B27="","",COUNTIFS('Call Log'!$C$2:$C$5000,B27,'Call Log'!$A$2:$A$5000,"&gt;="&amp;(TODAY()-WEEKDAY(TODAY(),2)+1)))</f>
        <v>0</v>
      </c>
      <c r="Q27" s="5">
        <f>IF(B27="","",COUNTIF('Call Log'!$C$2:$C$5000,B27))</f>
        <v>0</v>
      </c>
      <c r="R27" s="21" t="str">
        <f>IF(B27="","",IFERROR(IF(MAXIFS('Call Log'!$A$2:$A$5000,'Call Log'!$C$2:$C$5000,B27)=0,"",MAXIFS('Call Log'!$A$2:$A$5000,'Call Log'!$C$2:$C$5000,B27)),""))</f>
        <v/>
      </c>
      <c r="S27" s="5"/>
      <c r="T27" s="21"/>
      <c r="U27" s="21"/>
      <c r="V27" s="5"/>
      <c r="W27" s="20"/>
      <c r="X27" s="5"/>
      <c r="Y27" s="5"/>
      <c r="Z27" s="5"/>
      <c r="AA27" s="5" t="s">
        <v>124</v>
      </c>
    </row>
    <row r="28" ht="15.0" customHeight="1">
      <c r="A28" s="5" t="s">
        <v>291</v>
      </c>
      <c r="B28" s="5" t="s">
        <v>292</v>
      </c>
      <c r="C28" s="5" t="s">
        <v>293</v>
      </c>
      <c r="D28" s="5" t="s">
        <v>294</v>
      </c>
      <c r="E28" s="5">
        <v>1.0</v>
      </c>
      <c r="F28" s="20">
        <v>1101000.0</v>
      </c>
      <c r="G28" s="20">
        <v>9176000.0</v>
      </c>
      <c r="H28" s="5" t="s">
        <v>40</v>
      </c>
      <c r="I28" s="5" t="s">
        <v>184</v>
      </c>
      <c r="J28" s="5" t="s">
        <v>114</v>
      </c>
      <c r="K28" s="5" t="s">
        <v>295</v>
      </c>
      <c r="L28" s="5"/>
      <c r="M28" s="5" t="s">
        <v>8</v>
      </c>
      <c r="N28" s="5" t="s">
        <v>80</v>
      </c>
      <c r="O28" s="5" t="str">
        <f>IF(B28="","",IFERROR(LOOKUP(2,1/('Call Log'!$C$2:$C$5000=B28),'Call Log'!$B$2:$B$5000),""))</f>
        <v/>
      </c>
      <c r="P28" s="5">
        <f>IF(B28="","",COUNTIFS('Call Log'!$C$2:$C$5000,B28,'Call Log'!$A$2:$A$5000,"&gt;="&amp;(TODAY()-WEEKDAY(TODAY(),2)+1)))</f>
        <v>0</v>
      </c>
      <c r="Q28" s="5">
        <f>IF(B28="","",COUNTIF('Call Log'!$C$2:$C$5000,B28))</f>
        <v>0</v>
      </c>
      <c r="R28" s="21" t="str">
        <f>IF(B28="","",IFERROR(IF(MAXIFS('Call Log'!$A$2:$A$5000,'Call Log'!$C$2:$C$5000,B28)=0,"",MAXIFS('Call Log'!$A$2:$A$5000,'Call Log'!$C$2:$C$5000,B28)),""))</f>
        <v/>
      </c>
      <c r="S28" s="5"/>
      <c r="T28" s="21"/>
      <c r="U28" s="21"/>
      <c r="V28" s="5"/>
      <c r="W28" s="20"/>
      <c r="X28" s="5"/>
      <c r="Y28" s="5"/>
      <c r="Z28" s="5" t="s">
        <v>132</v>
      </c>
      <c r="AA28" s="5" t="s">
        <v>296</v>
      </c>
    </row>
    <row r="29" ht="15.0" customHeight="1">
      <c r="A29" s="5" t="s">
        <v>297</v>
      </c>
      <c r="B29" s="5" t="s">
        <v>298</v>
      </c>
      <c r="C29" s="5" t="s">
        <v>299</v>
      </c>
      <c r="D29" s="5" t="s">
        <v>300</v>
      </c>
      <c r="E29" s="5">
        <v>2.0</v>
      </c>
      <c r="F29" s="20">
        <v>1050000.0</v>
      </c>
      <c r="G29" s="20">
        <v>8753000.0</v>
      </c>
      <c r="H29" s="5" t="s">
        <v>41</v>
      </c>
      <c r="I29" s="5" t="s">
        <v>122</v>
      </c>
      <c r="J29" s="5" t="s">
        <v>114</v>
      </c>
      <c r="K29" s="5" t="s">
        <v>301</v>
      </c>
      <c r="L29" s="5"/>
      <c r="M29" s="5" t="s">
        <v>8</v>
      </c>
      <c r="N29" s="5" t="s">
        <v>80</v>
      </c>
      <c r="O29" s="5" t="str">
        <f>IF(B29="","",IFERROR(LOOKUP(2,1/('Call Log'!$C$2:$C$5000=B29),'Call Log'!$B$2:$B$5000),""))</f>
        <v/>
      </c>
      <c r="P29" s="5">
        <f>IF(B29="","",COUNTIFS('Call Log'!$C$2:$C$5000,B29,'Call Log'!$A$2:$A$5000,"&gt;="&amp;(TODAY()-WEEKDAY(TODAY(),2)+1)))</f>
        <v>0</v>
      </c>
      <c r="Q29" s="5">
        <f>IF(B29="","",COUNTIF('Call Log'!$C$2:$C$5000,B29))</f>
        <v>0</v>
      </c>
      <c r="R29" s="21" t="str">
        <f>IF(B29="","",IFERROR(IF(MAXIFS('Call Log'!$A$2:$A$5000,'Call Log'!$C$2:$C$5000,B29)=0,"",MAXIFS('Call Log'!$A$2:$A$5000,'Call Log'!$C$2:$C$5000,B29)),""))</f>
        <v/>
      </c>
      <c r="S29" s="5"/>
      <c r="T29" s="21"/>
      <c r="U29" s="21"/>
      <c r="V29" s="5"/>
      <c r="W29" s="20"/>
      <c r="X29" s="5"/>
      <c r="Y29" s="5"/>
      <c r="Z29" s="5" t="s">
        <v>132</v>
      </c>
      <c r="AA29" s="5" t="s">
        <v>302</v>
      </c>
    </row>
    <row r="30" ht="15.0" customHeight="1">
      <c r="A30" s="5" t="s">
        <v>303</v>
      </c>
      <c r="B30" s="5" t="s">
        <v>304</v>
      </c>
      <c r="C30" s="5" t="s">
        <v>305</v>
      </c>
      <c r="D30" s="5" t="s">
        <v>306</v>
      </c>
      <c r="E30" s="5">
        <v>32.0</v>
      </c>
      <c r="F30" s="20">
        <v>1032000.0</v>
      </c>
      <c r="G30" s="20">
        <v>8600000.0</v>
      </c>
      <c r="H30" s="5" t="s">
        <v>40</v>
      </c>
      <c r="I30" s="5" t="s">
        <v>122</v>
      </c>
      <c r="J30" s="5" t="s">
        <v>114</v>
      </c>
      <c r="K30" s="5" t="s">
        <v>307</v>
      </c>
      <c r="L30" s="5" t="s">
        <v>308</v>
      </c>
      <c r="M30" s="5" t="s">
        <v>8</v>
      </c>
      <c r="N30" s="5" t="s">
        <v>80</v>
      </c>
      <c r="O30" s="5" t="str">
        <f>IF(B30="","",IFERROR(LOOKUP(2,1/('Call Log'!$C$2:$C$5000=B30),'Call Log'!$B$2:$B$5000),""))</f>
        <v/>
      </c>
      <c r="P30" s="5">
        <f>IF(B30="","",COUNTIFS('Call Log'!$C$2:$C$5000,B30,'Call Log'!$A$2:$A$5000,"&gt;="&amp;(TODAY()-WEEKDAY(TODAY(),2)+1)))</f>
        <v>0</v>
      </c>
      <c r="Q30" s="5">
        <f>IF(B30="","",COUNTIF('Call Log'!$C$2:$C$5000,B30))</f>
        <v>0</v>
      </c>
      <c r="R30" s="21" t="str">
        <f>IF(B30="","",IFERROR(IF(MAXIFS('Call Log'!$A$2:$A$5000,'Call Log'!$C$2:$C$5000,B30)=0,"",MAXIFS('Call Log'!$A$2:$A$5000,'Call Log'!$C$2:$C$5000,B30)),""))</f>
        <v/>
      </c>
      <c r="S30" s="5"/>
      <c r="T30" s="21"/>
      <c r="U30" s="21"/>
      <c r="V30" s="5"/>
      <c r="W30" s="20"/>
      <c r="X30" s="5"/>
      <c r="Y30" s="5"/>
      <c r="Z30" s="5" t="s">
        <v>132</v>
      </c>
      <c r="AA30" s="5" t="s">
        <v>309</v>
      </c>
    </row>
    <row r="31" ht="15.0" customHeight="1">
      <c r="A31" s="5" t="s">
        <v>310</v>
      </c>
      <c r="B31" s="5" t="s">
        <v>311</v>
      </c>
      <c r="C31" s="5" t="s">
        <v>312</v>
      </c>
      <c r="D31" s="5" t="s">
        <v>313</v>
      </c>
      <c r="E31" s="5">
        <v>4.0</v>
      </c>
      <c r="F31" s="20">
        <v>990000.0</v>
      </c>
      <c r="G31" s="20">
        <v>8254000.0</v>
      </c>
      <c r="H31" s="5" t="s">
        <v>40</v>
      </c>
      <c r="I31" s="5" t="s">
        <v>213</v>
      </c>
      <c r="J31" s="5" t="s">
        <v>114</v>
      </c>
      <c r="K31" s="5" t="s">
        <v>314</v>
      </c>
      <c r="L31" s="5"/>
      <c r="M31" s="5" t="s">
        <v>8</v>
      </c>
      <c r="N31" s="5" t="s">
        <v>80</v>
      </c>
      <c r="O31" s="5" t="str">
        <f>IF(B31="","",IFERROR(LOOKUP(2,1/('Call Log'!$C$2:$C$5000=B31),'Call Log'!$B$2:$B$5000),""))</f>
        <v/>
      </c>
      <c r="P31" s="5">
        <f>IF(B31="","",COUNTIFS('Call Log'!$C$2:$C$5000,B31,'Call Log'!$A$2:$A$5000,"&gt;="&amp;(TODAY()-WEEKDAY(TODAY(),2)+1)))</f>
        <v>0</v>
      </c>
      <c r="Q31" s="5">
        <f>IF(B31="","",COUNTIF('Call Log'!$C$2:$C$5000,B31))</f>
        <v>0</v>
      </c>
      <c r="R31" s="21" t="str">
        <f>IF(B31="","",IFERROR(IF(MAXIFS('Call Log'!$A$2:$A$5000,'Call Log'!$C$2:$C$5000,B31)=0,"",MAXIFS('Call Log'!$A$2:$A$5000,'Call Log'!$C$2:$C$5000,B31)),""))</f>
        <v/>
      </c>
      <c r="S31" s="5"/>
      <c r="T31" s="21"/>
      <c r="U31" s="21"/>
      <c r="V31" s="5"/>
      <c r="W31" s="20"/>
      <c r="X31" s="5"/>
      <c r="Y31" s="5"/>
      <c r="Z31" s="5" t="s">
        <v>132</v>
      </c>
      <c r="AA31" s="5" t="s">
        <v>315</v>
      </c>
    </row>
    <row r="32" ht="15.0" customHeight="1">
      <c r="A32" s="5" t="s">
        <v>316</v>
      </c>
      <c r="B32" s="5" t="s">
        <v>317</v>
      </c>
      <c r="C32" s="5" t="s">
        <v>318</v>
      </c>
      <c r="D32" s="5" t="s">
        <v>319</v>
      </c>
      <c r="E32" s="5">
        <v>96.0</v>
      </c>
      <c r="F32" s="20">
        <v>972000.0</v>
      </c>
      <c r="G32" s="20">
        <v>8100000.0</v>
      </c>
      <c r="H32" s="5" t="s">
        <v>40</v>
      </c>
      <c r="I32" s="5" t="s">
        <v>175</v>
      </c>
      <c r="J32" s="5" t="s">
        <v>114</v>
      </c>
      <c r="K32" s="5" t="s">
        <v>320</v>
      </c>
      <c r="L32" s="5" t="s">
        <v>321</v>
      </c>
      <c r="M32" s="5" t="s">
        <v>8</v>
      </c>
      <c r="N32" s="5" t="s">
        <v>80</v>
      </c>
      <c r="O32" s="5" t="str">
        <f>IF(B32="","",IFERROR(LOOKUP(2,1/('Call Log'!$C$2:$C$5000=B32),'Call Log'!$B$2:$B$5000),""))</f>
        <v/>
      </c>
      <c r="P32" s="5">
        <f>IF(B32="","",COUNTIFS('Call Log'!$C$2:$C$5000,B32,'Call Log'!$A$2:$A$5000,"&gt;="&amp;(TODAY()-WEEKDAY(TODAY(),2)+1)))</f>
        <v>0</v>
      </c>
      <c r="Q32" s="5">
        <f>IF(B32="","",COUNTIF('Call Log'!$C$2:$C$5000,B32))</f>
        <v>0</v>
      </c>
      <c r="R32" s="21" t="str">
        <f>IF(B32="","",IFERROR(IF(MAXIFS('Call Log'!$A$2:$A$5000,'Call Log'!$C$2:$C$5000,B32)=0,"",MAXIFS('Call Log'!$A$2:$A$5000,'Call Log'!$C$2:$C$5000,B32)),""))</f>
        <v/>
      </c>
      <c r="S32" s="5"/>
      <c r="T32" s="21"/>
      <c r="U32" s="21"/>
      <c r="V32" s="5"/>
      <c r="W32" s="20"/>
      <c r="X32" s="5"/>
      <c r="Y32" s="5"/>
      <c r="Z32" s="5" t="s">
        <v>132</v>
      </c>
      <c r="AA32" s="5" t="s">
        <v>322</v>
      </c>
    </row>
    <row r="33" ht="15.0" customHeight="1">
      <c r="A33" s="5" t="s">
        <v>323</v>
      </c>
      <c r="B33" s="5" t="s">
        <v>324</v>
      </c>
      <c r="C33" s="5" t="s">
        <v>325</v>
      </c>
      <c r="D33" s="5" t="s">
        <v>326</v>
      </c>
      <c r="E33" s="5">
        <v>42.0</v>
      </c>
      <c r="F33" s="20">
        <v>852000.0</v>
      </c>
      <c r="G33" s="20">
        <v>7100000.0</v>
      </c>
      <c r="H33" s="5" t="s">
        <v>40</v>
      </c>
      <c r="I33" s="5" t="s">
        <v>146</v>
      </c>
      <c r="J33" s="5" t="s">
        <v>114</v>
      </c>
      <c r="K33" s="5" t="s">
        <v>327</v>
      </c>
      <c r="L33" s="5"/>
      <c r="M33" s="5" t="s">
        <v>8</v>
      </c>
      <c r="N33" s="5" t="s">
        <v>80</v>
      </c>
      <c r="O33" s="5" t="str">
        <f>IF(B33="","",IFERROR(LOOKUP(2,1/('Call Log'!$C$2:$C$5000=B33),'Call Log'!$B$2:$B$5000),""))</f>
        <v/>
      </c>
      <c r="P33" s="5">
        <f>IF(B33="","",COUNTIFS('Call Log'!$C$2:$C$5000,B33,'Call Log'!$A$2:$A$5000,"&gt;="&amp;(TODAY()-WEEKDAY(TODAY(),2)+1)))</f>
        <v>0</v>
      </c>
      <c r="Q33" s="5">
        <f>IF(B33="","",COUNTIF('Call Log'!$C$2:$C$5000,B33))</f>
        <v>0</v>
      </c>
      <c r="R33" s="21" t="str">
        <f>IF(B33="","",IFERROR(IF(MAXIFS('Call Log'!$A$2:$A$5000,'Call Log'!$C$2:$C$5000,B33)=0,"",MAXIFS('Call Log'!$A$2:$A$5000,'Call Log'!$C$2:$C$5000,B33)),""))</f>
        <v/>
      </c>
      <c r="S33" s="5"/>
      <c r="T33" s="21"/>
      <c r="U33" s="21"/>
      <c r="V33" s="5"/>
      <c r="W33" s="20"/>
      <c r="X33" s="5"/>
      <c r="Y33" s="5"/>
      <c r="Z33" s="5"/>
      <c r="AA33" s="5" t="s">
        <v>215</v>
      </c>
    </row>
    <row r="34" ht="15.0" customHeight="1">
      <c r="A34" s="5" t="s">
        <v>328</v>
      </c>
      <c r="B34" s="5" t="s">
        <v>329</v>
      </c>
      <c r="C34" s="5" t="s">
        <v>330</v>
      </c>
      <c r="D34" s="5" t="s">
        <v>331</v>
      </c>
      <c r="E34" s="5">
        <v>10.0</v>
      </c>
      <c r="F34" s="20">
        <v>787000.0</v>
      </c>
      <c r="G34" s="20">
        <v>6561000.0</v>
      </c>
      <c r="H34" s="5" t="s">
        <v>40</v>
      </c>
      <c r="I34" s="5" t="s">
        <v>129</v>
      </c>
      <c r="J34" s="5" t="s">
        <v>114</v>
      </c>
      <c r="K34" s="5" t="s">
        <v>332</v>
      </c>
      <c r="L34" s="5" t="s">
        <v>333</v>
      </c>
      <c r="M34" s="5" t="s">
        <v>8</v>
      </c>
      <c r="N34" s="5" t="s">
        <v>80</v>
      </c>
      <c r="O34" s="5" t="str">
        <f>IF(B34="","",IFERROR(LOOKUP(2,1/('Call Log'!$C$2:$C$5000=B34),'Call Log'!$B$2:$B$5000),""))</f>
        <v/>
      </c>
      <c r="P34" s="5">
        <f>IF(B34="","",COUNTIFS('Call Log'!$C$2:$C$5000,B34,'Call Log'!$A$2:$A$5000,"&gt;="&amp;(TODAY()-WEEKDAY(TODAY(),2)+1)))</f>
        <v>0</v>
      </c>
      <c r="Q34" s="5">
        <f>IF(B34="","",COUNTIF('Call Log'!$C$2:$C$5000,B34))</f>
        <v>0</v>
      </c>
      <c r="R34" s="21" t="str">
        <f>IF(B34="","",IFERROR(IF(MAXIFS('Call Log'!$A$2:$A$5000,'Call Log'!$C$2:$C$5000,B34)=0,"",MAXIFS('Call Log'!$A$2:$A$5000,'Call Log'!$C$2:$C$5000,B34)),""))</f>
        <v/>
      </c>
      <c r="S34" s="5"/>
      <c r="T34" s="21"/>
      <c r="U34" s="21"/>
      <c r="V34" s="5"/>
      <c r="W34" s="20"/>
      <c r="X34" s="5"/>
      <c r="Y34" s="5"/>
      <c r="Z34" s="5" t="s">
        <v>132</v>
      </c>
      <c r="AA34" s="5" t="s">
        <v>334</v>
      </c>
    </row>
    <row r="35" ht="15.0" customHeight="1">
      <c r="A35" s="5" t="s">
        <v>335</v>
      </c>
      <c r="B35" s="5" t="s">
        <v>336</v>
      </c>
      <c r="C35" s="5" t="s">
        <v>337</v>
      </c>
      <c r="D35" s="5" t="s">
        <v>338</v>
      </c>
      <c r="E35" s="5">
        <v>15.0</v>
      </c>
      <c r="F35" s="20">
        <v>703000.0</v>
      </c>
      <c r="G35" s="20">
        <v>5860000.0</v>
      </c>
      <c r="H35" s="5" t="s">
        <v>40</v>
      </c>
      <c r="I35" s="5" t="s">
        <v>122</v>
      </c>
      <c r="J35" s="5" t="s">
        <v>114</v>
      </c>
      <c r="K35" s="5" t="s">
        <v>339</v>
      </c>
      <c r="L35" s="5"/>
      <c r="M35" s="5" t="s">
        <v>8</v>
      </c>
      <c r="N35" s="5" t="s">
        <v>80</v>
      </c>
      <c r="O35" s="5" t="str">
        <f>IF(B35="","",IFERROR(LOOKUP(2,1/('Call Log'!$C$2:$C$5000=B35),'Call Log'!$B$2:$B$5000),""))</f>
        <v/>
      </c>
      <c r="P35" s="5">
        <f>IF(B35="","",COUNTIFS('Call Log'!$C$2:$C$5000,B35,'Call Log'!$A$2:$A$5000,"&gt;="&amp;(TODAY()-WEEKDAY(TODAY(),2)+1)))</f>
        <v>0</v>
      </c>
      <c r="Q35" s="5">
        <f>IF(B35="","",COUNTIF('Call Log'!$C$2:$C$5000,B35))</f>
        <v>0</v>
      </c>
      <c r="R35" s="21" t="str">
        <f>IF(B35="","",IFERROR(IF(MAXIFS('Call Log'!$A$2:$A$5000,'Call Log'!$C$2:$C$5000,B35)=0,"",MAXIFS('Call Log'!$A$2:$A$5000,'Call Log'!$C$2:$C$5000,B35)),""))</f>
        <v/>
      </c>
      <c r="S35" s="5"/>
      <c r="T35" s="21"/>
      <c r="U35" s="21"/>
      <c r="V35" s="5"/>
      <c r="W35" s="20"/>
      <c r="X35" s="5"/>
      <c r="Y35" s="5"/>
      <c r="Z35" s="5" t="s">
        <v>132</v>
      </c>
      <c r="AA35" s="5" t="s">
        <v>340</v>
      </c>
    </row>
    <row r="36" ht="15.0" customHeight="1">
      <c r="A36" s="5" t="s">
        <v>341</v>
      </c>
      <c r="B36" s="5" t="s">
        <v>342</v>
      </c>
      <c r="C36" s="5" t="s">
        <v>343</v>
      </c>
      <c r="D36" s="5" t="s">
        <v>344</v>
      </c>
      <c r="E36" s="5">
        <v>98.0</v>
      </c>
      <c r="F36" s="20">
        <v>684000.0</v>
      </c>
      <c r="G36" s="20">
        <v>5700000.0</v>
      </c>
      <c r="H36" s="5" t="s">
        <v>40</v>
      </c>
      <c r="I36" s="5" t="s">
        <v>184</v>
      </c>
      <c r="J36" s="5" t="s">
        <v>114</v>
      </c>
      <c r="K36" s="5" t="s">
        <v>345</v>
      </c>
      <c r="L36" s="5" t="s">
        <v>346</v>
      </c>
      <c r="M36" s="5" t="s">
        <v>8</v>
      </c>
      <c r="N36" s="5" t="s">
        <v>80</v>
      </c>
      <c r="O36" s="5" t="str">
        <f>IF(B36="","",IFERROR(LOOKUP(2,1/('Call Log'!$C$2:$C$5000=B36),'Call Log'!$B$2:$B$5000),""))</f>
        <v/>
      </c>
      <c r="P36" s="5">
        <f>IF(B36="","",COUNTIFS('Call Log'!$C$2:$C$5000,B36,'Call Log'!$A$2:$A$5000,"&gt;="&amp;(TODAY()-WEEKDAY(TODAY(),2)+1)))</f>
        <v>0</v>
      </c>
      <c r="Q36" s="5">
        <f>IF(B36="","",COUNTIF('Call Log'!$C$2:$C$5000,B36))</f>
        <v>0</v>
      </c>
      <c r="R36" s="21" t="str">
        <f>IF(B36="","",IFERROR(IF(MAXIFS('Call Log'!$A$2:$A$5000,'Call Log'!$C$2:$C$5000,B36)=0,"",MAXIFS('Call Log'!$A$2:$A$5000,'Call Log'!$C$2:$C$5000,B36)),""))</f>
        <v/>
      </c>
      <c r="S36" s="5"/>
      <c r="T36" s="21"/>
      <c r="U36" s="21"/>
      <c r="V36" s="5"/>
      <c r="W36" s="20"/>
      <c r="X36" s="5"/>
      <c r="Y36" s="5"/>
      <c r="Z36" s="5" t="s">
        <v>132</v>
      </c>
      <c r="AA36" s="5" t="s">
        <v>347</v>
      </c>
    </row>
    <row r="37" ht="15.0" customHeight="1">
      <c r="A37" s="5" t="s">
        <v>348</v>
      </c>
      <c r="B37" s="5" t="s">
        <v>349</v>
      </c>
      <c r="C37" s="5" t="s">
        <v>350</v>
      </c>
      <c r="D37" s="5" t="s">
        <v>351</v>
      </c>
      <c r="E37" s="5">
        <v>30.0</v>
      </c>
      <c r="F37" s="20">
        <v>681000.0</v>
      </c>
      <c r="G37" s="20">
        <v>5676000.0</v>
      </c>
      <c r="H37" s="5" t="s">
        <v>43</v>
      </c>
      <c r="I37" s="5" t="s">
        <v>113</v>
      </c>
      <c r="J37" s="5" t="s">
        <v>114</v>
      </c>
      <c r="K37" s="5" t="s">
        <v>352</v>
      </c>
      <c r="L37" s="5" t="s">
        <v>353</v>
      </c>
      <c r="M37" s="5" t="s">
        <v>8</v>
      </c>
      <c r="N37" s="5" t="s">
        <v>80</v>
      </c>
      <c r="O37" s="5" t="str">
        <f>IF(B37="","",IFERROR(LOOKUP(2,1/('Call Log'!$C$2:$C$5000=B37),'Call Log'!$B$2:$B$5000),""))</f>
        <v/>
      </c>
      <c r="P37" s="5">
        <f>IF(B37="","",COUNTIFS('Call Log'!$C$2:$C$5000,B37,'Call Log'!$A$2:$A$5000,"&gt;="&amp;(TODAY()-WEEKDAY(TODAY(),2)+1)))</f>
        <v>0</v>
      </c>
      <c r="Q37" s="5">
        <f>IF(B37="","",COUNTIF('Call Log'!$C$2:$C$5000,B37))</f>
        <v>0</v>
      </c>
      <c r="R37" s="21" t="str">
        <f>IF(B37="","",IFERROR(IF(MAXIFS('Call Log'!$A$2:$A$5000,'Call Log'!$C$2:$C$5000,B37)=0,"",MAXIFS('Call Log'!$A$2:$A$5000,'Call Log'!$C$2:$C$5000,B37)),""))</f>
        <v/>
      </c>
      <c r="S37" s="5"/>
      <c r="T37" s="21"/>
      <c r="U37" s="21"/>
      <c r="V37" s="5"/>
      <c r="W37" s="20"/>
      <c r="X37" s="5"/>
      <c r="Y37" s="5"/>
      <c r="Z37" s="5"/>
      <c r="AA37" s="5" t="s">
        <v>124</v>
      </c>
    </row>
    <row r="38" ht="15.0" customHeight="1">
      <c r="A38" s="5" t="s">
        <v>354</v>
      </c>
      <c r="B38" s="5" t="s">
        <v>355</v>
      </c>
      <c r="C38" s="5" t="s">
        <v>356</v>
      </c>
      <c r="D38" s="5" t="s">
        <v>351</v>
      </c>
      <c r="E38" s="5">
        <v>30.0</v>
      </c>
      <c r="F38" s="20">
        <v>681000.0</v>
      </c>
      <c r="G38" s="20">
        <v>5676000.0</v>
      </c>
      <c r="H38" s="5" t="s">
        <v>40</v>
      </c>
      <c r="I38" s="5" t="s">
        <v>357</v>
      </c>
      <c r="J38" s="5" t="s">
        <v>114</v>
      </c>
      <c r="K38" s="5" t="s">
        <v>358</v>
      </c>
      <c r="L38" s="5" t="s">
        <v>353</v>
      </c>
      <c r="M38" s="5" t="s">
        <v>8</v>
      </c>
      <c r="N38" s="5" t="s">
        <v>80</v>
      </c>
      <c r="O38" s="5" t="str">
        <f>IF(B38="","",IFERROR(LOOKUP(2,1/('Call Log'!$C$2:$C$5000=B38),'Call Log'!$B$2:$B$5000),""))</f>
        <v/>
      </c>
      <c r="P38" s="5">
        <f>IF(B38="","",COUNTIFS('Call Log'!$C$2:$C$5000,B38,'Call Log'!$A$2:$A$5000,"&gt;="&amp;(TODAY()-WEEKDAY(TODAY(),2)+1)))</f>
        <v>0</v>
      </c>
      <c r="Q38" s="5">
        <f>IF(B38="","",COUNTIF('Call Log'!$C$2:$C$5000,B38))</f>
        <v>0</v>
      </c>
      <c r="R38" s="21" t="str">
        <f>IF(B38="","",IFERROR(IF(MAXIFS('Call Log'!$A$2:$A$5000,'Call Log'!$C$2:$C$5000,B38)=0,"",MAXIFS('Call Log'!$A$2:$A$5000,'Call Log'!$C$2:$C$5000,B38)),""))</f>
        <v/>
      </c>
      <c r="S38" s="5"/>
      <c r="T38" s="21"/>
      <c r="U38" s="21"/>
      <c r="V38" s="5"/>
      <c r="W38" s="20"/>
      <c r="X38" s="5"/>
      <c r="Y38" s="5"/>
      <c r="Z38" s="5" t="s">
        <v>132</v>
      </c>
      <c r="AA38" s="5" t="s">
        <v>359</v>
      </c>
    </row>
    <row r="39" ht="15.0" customHeight="1">
      <c r="A39" s="5" t="s">
        <v>360</v>
      </c>
      <c r="B39" s="5" t="s">
        <v>361</v>
      </c>
      <c r="C39" s="5" t="s">
        <v>362</v>
      </c>
      <c r="D39" s="5" t="s">
        <v>363</v>
      </c>
      <c r="E39" s="5">
        <v>16.0</v>
      </c>
      <c r="F39" s="20">
        <v>657000.0</v>
      </c>
      <c r="G39" s="20">
        <v>5476000.0</v>
      </c>
      <c r="H39" s="5" t="s">
        <v>40</v>
      </c>
      <c r="I39" s="5" t="s">
        <v>146</v>
      </c>
      <c r="J39" s="5" t="s">
        <v>114</v>
      </c>
      <c r="K39" s="5" t="s">
        <v>364</v>
      </c>
      <c r="L39" s="5" t="s">
        <v>365</v>
      </c>
      <c r="M39" s="5" t="s">
        <v>8</v>
      </c>
      <c r="N39" s="5" t="s">
        <v>80</v>
      </c>
      <c r="O39" s="5" t="str">
        <f>IF(B39="","",IFERROR(LOOKUP(2,1/('Call Log'!$C$2:$C$5000=B39),'Call Log'!$B$2:$B$5000),""))</f>
        <v/>
      </c>
      <c r="P39" s="5">
        <f>IF(B39="","",COUNTIFS('Call Log'!$C$2:$C$5000,B39,'Call Log'!$A$2:$A$5000,"&gt;="&amp;(TODAY()-WEEKDAY(TODAY(),2)+1)))</f>
        <v>0</v>
      </c>
      <c r="Q39" s="5">
        <f>IF(B39="","",COUNTIF('Call Log'!$C$2:$C$5000,B39))</f>
        <v>0</v>
      </c>
      <c r="R39" s="21" t="str">
        <f>IF(B39="","",IFERROR(IF(MAXIFS('Call Log'!$A$2:$A$5000,'Call Log'!$C$2:$C$5000,B39)=0,"",MAXIFS('Call Log'!$A$2:$A$5000,'Call Log'!$C$2:$C$5000,B39)),""))</f>
        <v/>
      </c>
      <c r="S39" s="5"/>
      <c r="T39" s="21"/>
      <c r="U39" s="21"/>
      <c r="V39" s="5"/>
      <c r="W39" s="20"/>
      <c r="X39" s="5"/>
      <c r="Y39" s="5"/>
      <c r="Z39" s="5"/>
      <c r="AA39" s="5" t="s">
        <v>124</v>
      </c>
    </row>
    <row r="40" ht="15.0" customHeight="1">
      <c r="A40" s="5" t="s">
        <v>366</v>
      </c>
      <c r="B40" s="5" t="s">
        <v>367</v>
      </c>
      <c r="C40" s="5" t="s">
        <v>368</v>
      </c>
      <c r="D40" s="5" t="s">
        <v>369</v>
      </c>
      <c r="E40" s="5">
        <v>31.0</v>
      </c>
      <c r="F40" s="20">
        <v>615000.0</v>
      </c>
      <c r="G40" s="20">
        <v>5125000.0</v>
      </c>
      <c r="H40" s="5" t="s">
        <v>41</v>
      </c>
      <c r="I40" s="5" t="s">
        <v>370</v>
      </c>
      <c r="J40" s="5" t="s">
        <v>114</v>
      </c>
      <c r="K40" s="5" t="s">
        <v>371</v>
      </c>
      <c r="L40" s="5" t="s">
        <v>372</v>
      </c>
      <c r="M40" s="5" t="s">
        <v>8</v>
      </c>
      <c r="N40" s="5" t="s">
        <v>80</v>
      </c>
      <c r="O40" s="5" t="str">
        <f>IF(B40="","",IFERROR(LOOKUP(2,1/('Call Log'!$C$2:$C$5000=B40),'Call Log'!$B$2:$B$5000),""))</f>
        <v/>
      </c>
      <c r="P40" s="5">
        <f>IF(B40="","",COUNTIFS('Call Log'!$C$2:$C$5000,B40,'Call Log'!$A$2:$A$5000,"&gt;="&amp;(TODAY()-WEEKDAY(TODAY(),2)+1)))</f>
        <v>0</v>
      </c>
      <c r="Q40" s="5">
        <f>IF(B40="","",COUNTIF('Call Log'!$C$2:$C$5000,B40))</f>
        <v>0</v>
      </c>
      <c r="R40" s="21" t="str">
        <f>IF(B40="","",IFERROR(IF(MAXIFS('Call Log'!$A$2:$A$5000,'Call Log'!$C$2:$C$5000,B40)=0,"",MAXIFS('Call Log'!$A$2:$A$5000,'Call Log'!$C$2:$C$5000,B40)),""))</f>
        <v/>
      </c>
      <c r="S40" s="5"/>
      <c r="T40" s="21"/>
      <c r="U40" s="21"/>
      <c r="V40" s="5"/>
      <c r="W40" s="20"/>
      <c r="X40" s="5"/>
      <c r="Y40" s="5"/>
      <c r="Z40" s="5" t="s">
        <v>132</v>
      </c>
      <c r="AA40" s="5" t="s">
        <v>373</v>
      </c>
    </row>
    <row r="41" ht="15.0" customHeight="1">
      <c r="A41" s="5" t="s">
        <v>374</v>
      </c>
      <c r="B41" s="5" t="s">
        <v>375</v>
      </c>
      <c r="C41" s="5" t="s">
        <v>376</v>
      </c>
      <c r="D41" s="5" t="s">
        <v>377</v>
      </c>
      <c r="E41" s="5">
        <v>59.0</v>
      </c>
      <c r="F41" s="20">
        <v>606000.0</v>
      </c>
      <c r="G41" s="20">
        <v>5046000.0</v>
      </c>
      <c r="H41" s="5" t="s">
        <v>41</v>
      </c>
      <c r="I41" s="5" t="s">
        <v>175</v>
      </c>
      <c r="J41" s="5" t="s">
        <v>114</v>
      </c>
      <c r="K41" s="5" t="s">
        <v>378</v>
      </c>
      <c r="L41" s="5"/>
      <c r="M41" s="5" t="s">
        <v>8</v>
      </c>
      <c r="N41" s="5" t="s">
        <v>80</v>
      </c>
      <c r="O41" s="5" t="str">
        <f>IF(B41="","",IFERROR(LOOKUP(2,1/('Call Log'!$C$2:$C$5000=B41),'Call Log'!$B$2:$B$5000),""))</f>
        <v/>
      </c>
      <c r="P41" s="5">
        <f>IF(B41="","",COUNTIFS('Call Log'!$C$2:$C$5000,B41,'Call Log'!$A$2:$A$5000,"&gt;="&amp;(TODAY()-WEEKDAY(TODAY(),2)+1)))</f>
        <v>0</v>
      </c>
      <c r="Q41" s="5">
        <f>IF(B41="","",COUNTIF('Call Log'!$C$2:$C$5000,B41))</f>
        <v>0</v>
      </c>
      <c r="R41" s="21" t="str">
        <f>IF(B41="","",IFERROR(IF(MAXIFS('Call Log'!$A$2:$A$5000,'Call Log'!$C$2:$C$5000,B41)=0,"",MAXIFS('Call Log'!$A$2:$A$5000,'Call Log'!$C$2:$C$5000,B41)),""))</f>
        <v/>
      </c>
      <c r="S41" s="5"/>
      <c r="T41" s="21"/>
      <c r="U41" s="21"/>
      <c r="V41" s="5"/>
      <c r="W41" s="20"/>
      <c r="X41" s="5"/>
      <c r="Y41" s="5"/>
      <c r="Z41" s="5" t="s">
        <v>178</v>
      </c>
      <c r="AA41" s="5" t="s">
        <v>379</v>
      </c>
    </row>
    <row r="42" ht="15.0" customHeight="1">
      <c r="A42" s="5" t="s">
        <v>380</v>
      </c>
      <c r="B42" s="5" t="s">
        <v>381</v>
      </c>
      <c r="C42" s="5" t="s">
        <v>382</v>
      </c>
      <c r="D42" s="5" t="s">
        <v>383</v>
      </c>
      <c r="E42" s="5">
        <v>30.0</v>
      </c>
      <c r="F42" s="20">
        <v>540000.0</v>
      </c>
      <c r="G42" s="20">
        <v>4504000.0</v>
      </c>
      <c r="H42" s="5" t="s">
        <v>40</v>
      </c>
      <c r="I42" s="5" t="s">
        <v>146</v>
      </c>
      <c r="J42" s="5" t="s">
        <v>114</v>
      </c>
      <c r="K42" s="5" t="s">
        <v>384</v>
      </c>
      <c r="L42" s="5" t="s">
        <v>385</v>
      </c>
      <c r="M42" s="5" t="s">
        <v>8</v>
      </c>
      <c r="N42" s="5" t="s">
        <v>80</v>
      </c>
      <c r="O42" s="5" t="str">
        <f>IF(B42="","",IFERROR(LOOKUP(2,1/('Call Log'!$C$2:$C$5000=B42),'Call Log'!$B$2:$B$5000),""))</f>
        <v/>
      </c>
      <c r="P42" s="5">
        <f>IF(B42="","",COUNTIFS('Call Log'!$C$2:$C$5000,B42,'Call Log'!$A$2:$A$5000,"&gt;="&amp;(TODAY()-WEEKDAY(TODAY(),2)+1)))</f>
        <v>0</v>
      </c>
      <c r="Q42" s="5">
        <f>IF(B42="","",COUNTIF('Call Log'!$C$2:$C$5000,B42))</f>
        <v>0</v>
      </c>
      <c r="R42" s="21" t="str">
        <f>IF(B42="","",IFERROR(IF(MAXIFS('Call Log'!$A$2:$A$5000,'Call Log'!$C$2:$C$5000,B42)=0,"",MAXIFS('Call Log'!$A$2:$A$5000,'Call Log'!$C$2:$C$5000,B42)),""))</f>
        <v/>
      </c>
      <c r="S42" s="5"/>
      <c r="T42" s="21"/>
      <c r="U42" s="21"/>
      <c r="V42" s="5"/>
      <c r="W42" s="20"/>
      <c r="X42" s="5"/>
      <c r="Y42" s="5"/>
      <c r="Z42" s="5" t="s">
        <v>132</v>
      </c>
      <c r="AA42" s="5" t="s">
        <v>386</v>
      </c>
    </row>
    <row r="43" ht="15.0" customHeight="1">
      <c r="A43" s="5" t="s">
        <v>387</v>
      </c>
      <c r="B43" s="5" t="s">
        <v>388</v>
      </c>
      <c r="C43" s="5" t="s">
        <v>389</v>
      </c>
      <c r="D43" s="5" t="s">
        <v>390</v>
      </c>
      <c r="E43" s="5">
        <v>2.0</v>
      </c>
      <c r="F43" s="20">
        <v>535000.0</v>
      </c>
      <c r="G43" s="20">
        <v>4455000.0</v>
      </c>
      <c r="H43" s="5" t="s">
        <v>40</v>
      </c>
      <c r="I43" s="5" t="s">
        <v>175</v>
      </c>
      <c r="J43" s="5" t="s">
        <v>114</v>
      </c>
      <c r="K43" s="5" t="s">
        <v>391</v>
      </c>
      <c r="L43" s="5"/>
      <c r="M43" s="5" t="s">
        <v>8</v>
      </c>
      <c r="N43" s="5" t="s">
        <v>80</v>
      </c>
      <c r="O43" s="5" t="str">
        <f>IF(B43="","",IFERROR(LOOKUP(2,1/('Call Log'!$C$2:$C$5000=B43),'Call Log'!$B$2:$B$5000),""))</f>
        <v/>
      </c>
      <c r="P43" s="5">
        <f>IF(B43="","",COUNTIFS('Call Log'!$C$2:$C$5000,B43,'Call Log'!$A$2:$A$5000,"&gt;="&amp;(TODAY()-WEEKDAY(TODAY(),2)+1)))</f>
        <v>0</v>
      </c>
      <c r="Q43" s="5">
        <f>IF(B43="","",COUNTIF('Call Log'!$C$2:$C$5000,B43))</f>
        <v>0</v>
      </c>
      <c r="R43" s="21" t="str">
        <f>IF(B43="","",IFERROR(IF(MAXIFS('Call Log'!$A$2:$A$5000,'Call Log'!$C$2:$C$5000,B43)=0,"",MAXIFS('Call Log'!$A$2:$A$5000,'Call Log'!$C$2:$C$5000,B43)),""))</f>
        <v/>
      </c>
      <c r="S43" s="5"/>
      <c r="T43" s="21"/>
      <c r="U43" s="21"/>
      <c r="V43" s="5"/>
      <c r="W43" s="20"/>
      <c r="X43" s="5"/>
      <c r="Y43" s="5"/>
      <c r="Z43" s="5" t="s">
        <v>178</v>
      </c>
      <c r="AA43" s="5" t="s">
        <v>392</v>
      </c>
    </row>
    <row r="44" ht="15.0" customHeight="1">
      <c r="A44" s="5" t="s">
        <v>393</v>
      </c>
      <c r="B44" s="5" t="s">
        <v>394</v>
      </c>
      <c r="C44" s="5" t="s">
        <v>395</v>
      </c>
      <c r="D44" s="5" t="s">
        <v>396</v>
      </c>
      <c r="E44" s="5">
        <v>5.0</v>
      </c>
      <c r="F44" s="20">
        <v>505000.0</v>
      </c>
      <c r="G44" s="20">
        <v>4208000.0</v>
      </c>
      <c r="H44" s="5" t="s">
        <v>40</v>
      </c>
      <c r="I44" s="5" t="s">
        <v>154</v>
      </c>
      <c r="J44" s="5" t="s">
        <v>114</v>
      </c>
      <c r="K44" s="5" t="s">
        <v>397</v>
      </c>
      <c r="L44" s="5" t="s">
        <v>398</v>
      </c>
      <c r="M44" s="5" t="s">
        <v>8</v>
      </c>
      <c r="N44" s="5" t="s">
        <v>80</v>
      </c>
      <c r="O44" s="5" t="str">
        <f>IF(B44="","",IFERROR(LOOKUP(2,1/('Call Log'!$C$2:$C$5000=B44),'Call Log'!$B$2:$B$5000),""))</f>
        <v/>
      </c>
      <c r="P44" s="5">
        <f>IF(B44="","",COUNTIFS('Call Log'!$C$2:$C$5000,B44,'Call Log'!$A$2:$A$5000,"&gt;="&amp;(TODAY()-WEEKDAY(TODAY(),2)+1)))</f>
        <v>0</v>
      </c>
      <c r="Q44" s="5">
        <f>IF(B44="","",COUNTIF('Call Log'!$C$2:$C$5000,B44))</f>
        <v>0</v>
      </c>
      <c r="R44" s="21" t="str">
        <f>IF(B44="","",IFERROR(IF(MAXIFS('Call Log'!$A$2:$A$5000,'Call Log'!$C$2:$C$5000,B44)=0,"",MAXIFS('Call Log'!$A$2:$A$5000,'Call Log'!$C$2:$C$5000,B44)),""))</f>
        <v/>
      </c>
      <c r="S44" s="5"/>
      <c r="T44" s="21"/>
      <c r="U44" s="21"/>
      <c r="V44" s="5"/>
      <c r="W44" s="20"/>
      <c r="X44" s="5"/>
      <c r="Y44" s="5"/>
      <c r="Z44" s="5" t="s">
        <v>132</v>
      </c>
      <c r="AA44" s="5" t="s">
        <v>399</v>
      </c>
    </row>
    <row r="45" ht="15.0" customHeight="1">
      <c r="A45" s="5" t="s">
        <v>400</v>
      </c>
      <c r="B45" s="5" t="s">
        <v>401</v>
      </c>
      <c r="C45" s="5" t="s">
        <v>402</v>
      </c>
      <c r="D45" s="5" t="s">
        <v>403</v>
      </c>
      <c r="E45" s="5">
        <v>22.0</v>
      </c>
      <c r="F45" s="20">
        <v>498000.0</v>
      </c>
      <c r="G45" s="20">
        <v>4152000.0</v>
      </c>
      <c r="H45" s="5" t="s">
        <v>41</v>
      </c>
      <c r="I45" s="5" t="s">
        <v>122</v>
      </c>
      <c r="J45" s="5" t="s">
        <v>114</v>
      </c>
      <c r="K45" s="5" t="s">
        <v>404</v>
      </c>
      <c r="L45" s="5" t="s">
        <v>405</v>
      </c>
      <c r="M45" s="5" t="s">
        <v>8</v>
      </c>
      <c r="N45" s="5" t="s">
        <v>80</v>
      </c>
      <c r="O45" s="5" t="str">
        <f>IF(B45="","",IFERROR(LOOKUP(2,1/('Call Log'!$C$2:$C$5000=B45),'Call Log'!$B$2:$B$5000),""))</f>
        <v/>
      </c>
      <c r="P45" s="5">
        <f>IF(B45="","",COUNTIFS('Call Log'!$C$2:$C$5000,B45,'Call Log'!$A$2:$A$5000,"&gt;="&amp;(TODAY()-WEEKDAY(TODAY(),2)+1)))</f>
        <v>0</v>
      </c>
      <c r="Q45" s="5">
        <f>IF(B45="","",COUNTIF('Call Log'!$C$2:$C$5000,B45))</f>
        <v>0</v>
      </c>
      <c r="R45" s="21" t="str">
        <f>IF(B45="","",IFERROR(IF(MAXIFS('Call Log'!$A$2:$A$5000,'Call Log'!$C$2:$C$5000,B45)=0,"",MAXIFS('Call Log'!$A$2:$A$5000,'Call Log'!$C$2:$C$5000,B45)),""))</f>
        <v/>
      </c>
      <c r="S45" s="5"/>
      <c r="T45" s="21"/>
      <c r="U45" s="21"/>
      <c r="V45" s="5"/>
      <c r="W45" s="20"/>
      <c r="X45" s="5"/>
      <c r="Y45" s="5"/>
      <c r="Z45" s="5"/>
      <c r="AA45" s="5" t="s">
        <v>124</v>
      </c>
    </row>
    <row r="46" ht="15.0" customHeight="1">
      <c r="A46" s="5" t="s">
        <v>406</v>
      </c>
      <c r="B46" s="5" t="s">
        <v>407</v>
      </c>
      <c r="C46" s="5" t="s">
        <v>408</v>
      </c>
      <c r="D46" s="5" t="s">
        <v>409</v>
      </c>
      <c r="E46" s="5">
        <v>1.0</v>
      </c>
      <c r="F46" s="20">
        <v>466000.0</v>
      </c>
      <c r="G46" s="20">
        <v>3882000.0</v>
      </c>
      <c r="H46" s="5" t="s">
        <v>41</v>
      </c>
      <c r="I46" s="5" t="s">
        <v>154</v>
      </c>
      <c r="J46" s="5" t="s">
        <v>114</v>
      </c>
      <c r="K46" s="5" t="s">
        <v>410</v>
      </c>
      <c r="L46" s="5"/>
      <c r="M46" s="5" t="s">
        <v>8</v>
      </c>
      <c r="N46" s="5" t="s">
        <v>80</v>
      </c>
      <c r="O46" s="5" t="str">
        <f>IF(B46="","",IFERROR(LOOKUP(2,1/('Call Log'!$C$2:$C$5000=B46),'Call Log'!$B$2:$B$5000),""))</f>
        <v/>
      </c>
      <c r="P46" s="5">
        <f>IF(B46="","",COUNTIFS('Call Log'!$C$2:$C$5000,B46,'Call Log'!$A$2:$A$5000,"&gt;="&amp;(TODAY()-WEEKDAY(TODAY(),2)+1)))</f>
        <v>0</v>
      </c>
      <c r="Q46" s="5">
        <f>IF(B46="","",COUNTIF('Call Log'!$C$2:$C$5000,B46))</f>
        <v>0</v>
      </c>
      <c r="R46" s="21" t="str">
        <f>IF(B46="","",IFERROR(IF(MAXIFS('Call Log'!$A$2:$A$5000,'Call Log'!$C$2:$C$5000,B46)=0,"",MAXIFS('Call Log'!$A$2:$A$5000,'Call Log'!$C$2:$C$5000,B46)),""))</f>
        <v/>
      </c>
      <c r="S46" s="5"/>
      <c r="T46" s="21"/>
      <c r="U46" s="21"/>
      <c r="V46" s="5"/>
      <c r="W46" s="20"/>
      <c r="X46" s="5"/>
      <c r="Y46" s="5"/>
      <c r="Z46" s="5" t="s">
        <v>132</v>
      </c>
      <c r="AA46" s="5" t="s">
        <v>411</v>
      </c>
    </row>
    <row r="47" ht="15.0" customHeight="1">
      <c r="A47" s="5" t="s">
        <v>412</v>
      </c>
      <c r="B47" s="5" t="s">
        <v>413</v>
      </c>
      <c r="C47" s="5" t="s">
        <v>414</v>
      </c>
      <c r="D47" s="5" t="s">
        <v>415</v>
      </c>
      <c r="E47" s="5">
        <v>350.0</v>
      </c>
      <c r="F47" s="20">
        <v>446000.0</v>
      </c>
      <c r="G47" s="20">
        <v>3717000.0</v>
      </c>
      <c r="H47" s="5" t="s">
        <v>41</v>
      </c>
      <c r="I47" s="5" t="s">
        <v>154</v>
      </c>
      <c r="J47" s="5" t="s">
        <v>114</v>
      </c>
      <c r="K47" s="5" t="s">
        <v>416</v>
      </c>
      <c r="L47" s="5" t="s">
        <v>417</v>
      </c>
      <c r="M47" s="5" t="s">
        <v>8</v>
      </c>
      <c r="N47" s="5" t="s">
        <v>80</v>
      </c>
      <c r="O47" s="5" t="str">
        <f>IF(B47="","",IFERROR(LOOKUP(2,1/('Call Log'!$C$2:$C$5000=B47),'Call Log'!$B$2:$B$5000),""))</f>
        <v/>
      </c>
      <c r="P47" s="5">
        <f>IF(B47="","",COUNTIFS('Call Log'!$C$2:$C$5000,B47,'Call Log'!$A$2:$A$5000,"&gt;="&amp;(TODAY()-WEEKDAY(TODAY(),2)+1)))</f>
        <v>0</v>
      </c>
      <c r="Q47" s="5">
        <f>IF(B47="","",COUNTIF('Call Log'!$C$2:$C$5000,B47))</f>
        <v>0</v>
      </c>
      <c r="R47" s="21" t="str">
        <f>IF(B47="","",IFERROR(IF(MAXIFS('Call Log'!$A$2:$A$5000,'Call Log'!$C$2:$C$5000,B47)=0,"",MAXIFS('Call Log'!$A$2:$A$5000,'Call Log'!$C$2:$C$5000,B47)),""))</f>
        <v/>
      </c>
      <c r="S47" s="5"/>
      <c r="T47" s="21"/>
      <c r="U47" s="21"/>
      <c r="V47" s="5"/>
      <c r="W47" s="20"/>
      <c r="X47" s="5"/>
      <c r="Y47" s="5"/>
      <c r="Z47" s="5"/>
      <c r="AA47" s="5" t="s">
        <v>124</v>
      </c>
    </row>
    <row r="48" ht="15.0" customHeight="1">
      <c r="A48" s="5" t="s">
        <v>418</v>
      </c>
      <c r="B48" s="5" t="s">
        <v>419</v>
      </c>
      <c r="C48" s="5" t="s">
        <v>420</v>
      </c>
      <c r="D48" s="5" t="s">
        <v>421</v>
      </c>
      <c r="E48" s="5">
        <v>1.0</v>
      </c>
      <c r="F48" s="20">
        <v>420000.0</v>
      </c>
      <c r="G48" s="20">
        <v>3502000.0</v>
      </c>
      <c r="H48" s="5" t="s">
        <v>41</v>
      </c>
      <c r="I48" s="5" t="s">
        <v>422</v>
      </c>
      <c r="J48" s="5" t="s">
        <v>114</v>
      </c>
      <c r="K48" s="5" t="s">
        <v>423</v>
      </c>
      <c r="L48" s="5"/>
      <c r="M48" s="5" t="s">
        <v>8</v>
      </c>
      <c r="N48" s="5" t="s">
        <v>80</v>
      </c>
      <c r="O48" s="5" t="str">
        <f>IF(B48="","",IFERROR(LOOKUP(2,1/('Call Log'!$C$2:$C$5000=B48),'Call Log'!$B$2:$B$5000),""))</f>
        <v/>
      </c>
      <c r="P48" s="5">
        <f>IF(B48="","",COUNTIFS('Call Log'!$C$2:$C$5000,B48,'Call Log'!$A$2:$A$5000,"&gt;="&amp;(TODAY()-WEEKDAY(TODAY(),2)+1)))</f>
        <v>0</v>
      </c>
      <c r="Q48" s="5">
        <f>IF(B48="","",COUNTIF('Call Log'!$C$2:$C$5000,B48))</f>
        <v>0</v>
      </c>
      <c r="R48" s="21" t="str">
        <f>IF(B48="","",IFERROR(IF(MAXIFS('Call Log'!$A$2:$A$5000,'Call Log'!$C$2:$C$5000,B48)=0,"",MAXIFS('Call Log'!$A$2:$A$5000,'Call Log'!$C$2:$C$5000,B48)),""))</f>
        <v/>
      </c>
      <c r="S48" s="5"/>
      <c r="T48" s="21"/>
      <c r="U48" s="21"/>
      <c r="V48" s="5"/>
      <c r="W48" s="20"/>
      <c r="X48" s="5"/>
      <c r="Y48" s="5"/>
      <c r="Z48" s="5" t="s">
        <v>132</v>
      </c>
      <c r="AA48" s="5" t="s">
        <v>424</v>
      </c>
    </row>
    <row r="49" ht="15.0" customHeight="1">
      <c r="A49" s="5" t="s">
        <v>425</v>
      </c>
      <c r="B49" s="5" t="s">
        <v>426</v>
      </c>
      <c r="C49" s="5" t="s">
        <v>427</v>
      </c>
      <c r="D49" s="5" t="s">
        <v>428</v>
      </c>
      <c r="E49" s="5">
        <v>2.0</v>
      </c>
      <c r="F49" s="20">
        <v>348000.0</v>
      </c>
      <c r="G49" s="20">
        <v>2896000.0</v>
      </c>
      <c r="H49" s="5" t="s">
        <v>40</v>
      </c>
      <c r="I49" s="5" t="s">
        <v>429</v>
      </c>
      <c r="J49" s="5" t="s">
        <v>114</v>
      </c>
      <c r="K49" s="5" t="s">
        <v>430</v>
      </c>
      <c r="L49" s="5" t="s">
        <v>431</v>
      </c>
      <c r="M49" s="5" t="s">
        <v>8</v>
      </c>
      <c r="N49" s="5" t="s">
        <v>80</v>
      </c>
      <c r="O49" s="5" t="str">
        <f>IF(B49="","",IFERROR(LOOKUP(2,1/('Call Log'!$C$2:$C$5000=B49),'Call Log'!$B$2:$B$5000),""))</f>
        <v/>
      </c>
      <c r="P49" s="5">
        <f>IF(B49="","",COUNTIFS('Call Log'!$C$2:$C$5000,B49,'Call Log'!$A$2:$A$5000,"&gt;="&amp;(TODAY()-WEEKDAY(TODAY(),2)+1)))</f>
        <v>0</v>
      </c>
      <c r="Q49" s="5">
        <f>IF(B49="","",COUNTIF('Call Log'!$C$2:$C$5000,B49))</f>
        <v>0</v>
      </c>
      <c r="R49" s="21" t="str">
        <f>IF(B49="","",IFERROR(IF(MAXIFS('Call Log'!$A$2:$A$5000,'Call Log'!$C$2:$C$5000,B49)=0,"",MAXIFS('Call Log'!$A$2:$A$5000,'Call Log'!$C$2:$C$5000,B49)),""))</f>
        <v/>
      </c>
      <c r="S49" s="5"/>
      <c r="T49" s="21"/>
      <c r="U49" s="21"/>
      <c r="V49" s="5"/>
      <c r="W49" s="20"/>
      <c r="X49" s="5"/>
      <c r="Y49" s="5"/>
      <c r="Z49" s="5"/>
      <c r="AA49" s="5" t="s">
        <v>124</v>
      </c>
    </row>
    <row r="50" ht="15.0" customHeight="1">
      <c r="A50" s="5" t="s">
        <v>432</v>
      </c>
      <c r="B50" s="5" t="s">
        <v>433</v>
      </c>
      <c r="C50" s="5" t="s">
        <v>434</v>
      </c>
      <c r="D50" s="5" t="s">
        <v>435</v>
      </c>
      <c r="E50" s="5">
        <v>53.0</v>
      </c>
      <c r="F50" s="20">
        <v>329000.0</v>
      </c>
      <c r="G50" s="20">
        <v>2741000.0</v>
      </c>
      <c r="H50" s="5" t="s">
        <v>40</v>
      </c>
      <c r="I50" s="5" t="s">
        <v>122</v>
      </c>
      <c r="J50" s="5" t="s">
        <v>114</v>
      </c>
      <c r="K50" s="5" t="s">
        <v>436</v>
      </c>
      <c r="L50" s="5" t="s">
        <v>437</v>
      </c>
      <c r="M50" s="5" t="s">
        <v>8</v>
      </c>
      <c r="N50" s="5" t="s">
        <v>80</v>
      </c>
      <c r="O50" s="5" t="str">
        <f>IF(B50="","",IFERROR(LOOKUP(2,1/('Call Log'!$C$2:$C$5000=B50),'Call Log'!$B$2:$B$5000),""))</f>
        <v/>
      </c>
      <c r="P50" s="5">
        <f>IF(B50="","",COUNTIFS('Call Log'!$C$2:$C$5000,B50,'Call Log'!$A$2:$A$5000,"&gt;="&amp;(TODAY()-WEEKDAY(TODAY(),2)+1)))</f>
        <v>0</v>
      </c>
      <c r="Q50" s="5">
        <f>IF(B50="","",COUNTIF('Call Log'!$C$2:$C$5000,B50))</f>
        <v>0</v>
      </c>
      <c r="R50" s="21" t="str">
        <f>IF(B50="","",IFERROR(IF(MAXIFS('Call Log'!$A$2:$A$5000,'Call Log'!$C$2:$C$5000,B50)=0,"",MAXIFS('Call Log'!$A$2:$A$5000,'Call Log'!$C$2:$C$5000,B50)),""))</f>
        <v/>
      </c>
      <c r="S50" s="5"/>
      <c r="T50" s="21"/>
      <c r="U50" s="21"/>
      <c r="V50" s="5"/>
      <c r="W50" s="20"/>
      <c r="X50" s="5"/>
      <c r="Y50" s="5"/>
      <c r="Z50" s="5"/>
      <c r="AA50" s="5" t="s">
        <v>438</v>
      </c>
    </row>
    <row r="51" ht="15.0" customHeight="1">
      <c r="A51" s="5" t="s">
        <v>439</v>
      </c>
      <c r="B51" s="5" t="s">
        <v>440</v>
      </c>
      <c r="C51" s="5" t="s">
        <v>356</v>
      </c>
      <c r="D51" s="5" t="s">
        <v>441</v>
      </c>
      <c r="E51" s="5">
        <v>50.0</v>
      </c>
      <c r="F51" s="20">
        <v>308000.0</v>
      </c>
      <c r="G51" s="20">
        <v>2567000.0</v>
      </c>
      <c r="H51" s="5" t="s">
        <v>40</v>
      </c>
      <c r="I51" s="5" t="s">
        <v>122</v>
      </c>
      <c r="J51" s="5" t="s">
        <v>114</v>
      </c>
      <c r="K51" s="5" t="s">
        <v>442</v>
      </c>
      <c r="L51" s="5"/>
      <c r="M51" s="5" t="s">
        <v>8</v>
      </c>
      <c r="N51" s="5" t="s">
        <v>80</v>
      </c>
      <c r="O51" s="5" t="str">
        <f>IF(B51="","",IFERROR(LOOKUP(2,1/('Call Log'!$C$2:$C$5000=B51),'Call Log'!$B$2:$B$5000),""))</f>
        <v/>
      </c>
      <c r="P51" s="5">
        <f>IF(B51="","",COUNTIFS('Call Log'!$C$2:$C$5000,B51,'Call Log'!$A$2:$A$5000,"&gt;="&amp;(TODAY()-WEEKDAY(TODAY(),2)+1)))</f>
        <v>0</v>
      </c>
      <c r="Q51" s="5">
        <f>IF(B51="","",COUNTIF('Call Log'!$C$2:$C$5000,B51))</f>
        <v>0</v>
      </c>
      <c r="R51" s="21" t="str">
        <f>IF(B51="","",IFERROR(IF(MAXIFS('Call Log'!$A$2:$A$5000,'Call Log'!$C$2:$C$5000,B51)=0,"",MAXIFS('Call Log'!$A$2:$A$5000,'Call Log'!$C$2:$C$5000,B51)),""))</f>
        <v/>
      </c>
      <c r="S51" s="5"/>
      <c r="T51" s="21"/>
      <c r="U51" s="21"/>
      <c r="V51" s="5"/>
      <c r="W51" s="20"/>
      <c r="X51" s="5"/>
      <c r="Y51" s="5"/>
      <c r="Z51" s="5" t="s">
        <v>132</v>
      </c>
      <c r="AA51" s="5" t="s">
        <v>443</v>
      </c>
    </row>
    <row r="52" ht="15.0" customHeight="1">
      <c r="A52" s="5" t="s">
        <v>444</v>
      </c>
      <c r="B52" s="5" t="s">
        <v>445</v>
      </c>
      <c r="C52" s="5" t="s">
        <v>446</v>
      </c>
      <c r="D52" s="5" t="s">
        <v>447</v>
      </c>
      <c r="E52" s="5">
        <v>40.0</v>
      </c>
      <c r="F52" s="20">
        <v>246000.0</v>
      </c>
      <c r="G52" s="20">
        <v>2048000.0</v>
      </c>
      <c r="H52" s="5" t="s">
        <v>40</v>
      </c>
      <c r="I52" s="5" t="s">
        <v>161</v>
      </c>
      <c r="J52" s="5" t="s">
        <v>114</v>
      </c>
      <c r="K52" s="5" t="s">
        <v>448</v>
      </c>
      <c r="L52" s="5"/>
      <c r="M52" s="5" t="s">
        <v>8</v>
      </c>
      <c r="N52" s="5" t="s">
        <v>80</v>
      </c>
      <c r="O52" s="5" t="str">
        <f>IF(B52="","",IFERROR(LOOKUP(2,1/('Call Log'!$C$2:$C$5000=B52),'Call Log'!$B$2:$B$5000),""))</f>
        <v/>
      </c>
      <c r="P52" s="5">
        <f>IF(B52="","",COUNTIFS('Call Log'!$C$2:$C$5000,B52,'Call Log'!$A$2:$A$5000,"&gt;="&amp;(TODAY()-WEEKDAY(TODAY(),2)+1)))</f>
        <v>0</v>
      </c>
      <c r="Q52" s="5">
        <f>IF(B52="","",COUNTIF('Call Log'!$C$2:$C$5000,B52))</f>
        <v>0</v>
      </c>
      <c r="R52" s="21" t="str">
        <f>IF(B52="","",IFERROR(IF(MAXIFS('Call Log'!$A$2:$A$5000,'Call Log'!$C$2:$C$5000,B52)=0,"",MAXIFS('Call Log'!$A$2:$A$5000,'Call Log'!$C$2:$C$5000,B52)),""))</f>
        <v/>
      </c>
      <c r="S52" s="5"/>
      <c r="T52" s="21"/>
      <c r="U52" s="21"/>
      <c r="V52" s="5"/>
      <c r="W52" s="20"/>
      <c r="X52" s="5"/>
      <c r="Y52" s="5"/>
      <c r="Z52" s="5" t="s">
        <v>132</v>
      </c>
      <c r="AA52" s="5" t="s">
        <v>449</v>
      </c>
    </row>
    <row r="53" ht="15.0" customHeight="1">
      <c r="A53" s="5" t="s">
        <v>450</v>
      </c>
      <c r="B53" s="5" t="s">
        <v>451</v>
      </c>
      <c r="C53" s="5" t="s">
        <v>452</v>
      </c>
      <c r="D53" s="5" t="s">
        <v>453</v>
      </c>
      <c r="E53" s="5">
        <v>3.0</v>
      </c>
      <c r="F53" s="20">
        <v>129000.0</v>
      </c>
      <c r="G53" s="20">
        <v>1076000.0</v>
      </c>
      <c r="H53" s="5" t="s">
        <v>40</v>
      </c>
      <c r="I53" s="5" t="s">
        <v>175</v>
      </c>
      <c r="J53" s="5" t="s">
        <v>114</v>
      </c>
      <c r="K53" s="5" t="s">
        <v>454</v>
      </c>
      <c r="L53" s="5"/>
      <c r="M53" s="5" t="s">
        <v>8</v>
      </c>
      <c r="N53" s="5" t="s">
        <v>80</v>
      </c>
      <c r="O53" s="5" t="str">
        <f>IF(B53="","",IFERROR(LOOKUP(2,1/('Call Log'!$C$2:$C$5000=B53),'Call Log'!$B$2:$B$5000),""))</f>
        <v/>
      </c>
      <c r="P53" s="5">
        <f>IF(B53="","",COUNTIFS('Call Log'!$C$2:$C$5000,B53,'Call Log'!$A$2:$A$5000,"&gt;="&amp;(TODAY()-WEEKDAY(TODAY(),2)+1)))</f>
        <v>0</v>
      </c>
      <c r="Q53" s="5">
        <f>IF(B53="","",COUNTIF('Call Log'!$C$2:$C$5000,B53))</f>
        <v>0</v>
      </c>
      <c r="R53" s="21" t="str">
        <f>IF(B53="","",IFERROR(IF(MAXIFS('Call Log'!$A$2:$A$5000,'Call Log'!$C$2:$C$5000,B53)=0,"",MAXIFS('Call Log'!$A$2:$A$5000,'Call Log'!$C$2:$C$5000,B53)),""))</f>
        <v/>
      </c>
      <c r="S53" s="5"/>
      <c r="T53" s="21"/>
      <c r="U53" s="21"/>
      <c r="V53" s="5"/>
      <c r="W53" s="20"/>
      <c r="X53" s="5"/>
      <c r="Y53" s="5"/>
      <c r="Z53" s="5" t="s">
        <v>455</v>
      </c>
      <c r="AA53" s="5" t="s">
        <v>456</v>
      </c>
    </row>
    <row r="54" ht="15.0" customHeight="1">
      <c r="A54" s="5" t="s">
        <v>457</v>
      </c>
      <c r="B54" s="5" t="s">
        <v>458</v>
      </c>
      <c r="C54" s="5" t="s">
        <v>459</v>
      </c>
      <c r="D54" s="5" t="s">
        <v>460</v>
      </c>
      <c r="E54" s="5">
        <v>15.0</v>
      </c>
      <c r="F54" s="20">
        <v>128000.0</v>
      </c>
      <c r="G54" s="20">
        <v>1065000.0</v>
      </c>
      <c r="H54" s="5" t="s">
        <v>40</v>
      </c>
      <c r="I54" s="5" t="s">
        <v>461</v>
      </c>
      <c r="J54" s="5" t="s">
        <v>114</v>
      </c>
      <c r="K54" s="5" t="s">
        <v>462</v>
      </c>
      <c r="L54" s="5" t="s">
        <v>463</v>
      </c>
      <c r="M54" s="5" t="s">
        <v>8</v>
      </c>
      <c r="N54" s="5" t="s">
        <v>80</v>
      </c>
      <c r="O54" s="5" t="str">
        <f>IF(B54="","",IFERROR(LOOKUP(2,1/('Call Log'!$C$2:$C$5000=B54),'Call Log'!$B$2:$B$5000),""))</f>
        <v/>
      </c>
      <c r="P54" s="5">
        <f>IF(B54="","",COUNTIFS('Call Log'!$C$2:$C$5000,B54,'Call Log'!$A$2:$A$5000,"&gt;="&amp;(TODAY()-WEEKDAY(TODAY(),2)+1)))</f>
        <v>0</v>
      </c>
      <c r="Q54" s="5">
        <f>IF(B54="","",COUNTIF('Call Log'!$C$2:$C$5000,B54))</f>
        <v>0</v>
      </c>
      <c r="R54" s="21" t="str">
        <f>IF(B54="","",IFERROR(IF(MAXIFS('Call Log'!$A$2:$A$5000,'Call Log'!$C$2:$C$5000,B54)=0,"",MAXIFS('Call Log'!$A$2:$A$5000,'Call Log'!$C$2:$C$5000,B54)),""))</f>
        <v/>
      </c>
      <c r="S54" s="5"/>
      <c r="T54" s="21"/>
      <c r="U54" s="21"/>
      <c r="V54" s="5"/>
      <c r="W54" s="20"/>
      <c r="X54" s="5"/>
      <c r="Y54" s="5"/>
      <c r="Z54" s="5" t="s">
        <v>132</v>
      </c>
      <c r="AA54" s="5" t="s">
        <v>464</v>
      </c>
    </row>
    <row r="55" ht="15.0" customHeight="1">
      <c r="A55" s="5" t="s">
        <v>465</v>
      </c>
      <c r="B55" s="5" t="s">
        <v>466</v>
      </c>
      <c r="C55" s="5" t="s">
        <v>467</v>
      </c>
      <c r="D55" s="5" t="s">
        <v>468</v>
      </c>
      <c r="E55" s="5">
        <v>5.0</v>
      </c>
      <c r="F55" s="20">
        <v>74000.0</v>
      </c>
      <c r="G55" s="20">
        <v>617000.0</v>
      </c>
      <c r="H55" s="5" t="s">
        <v>41</v>
      </c>
      <c r="I55" s="5" t="s">
        <v>246</v>
      </c>
      <c r="J55" s="5" t="s">
        <v>114</v>
      </c>
      <c r="K55" s="5" t="s">
        <v>469</v>
      </c>
      <c r="L55" s="5" t="s">
        <v>470</v>
      </c>
      <c r="M55" s="5" t="s">
        <v>8</v>
      </c>
      <c r="N55" s="5" t="s">
        <v>80</v>
      </c>
      <c r="O55" s="5" t="str">
        <f>IF(B55="","",IFERROR(LOOKUP(2,1/('Call Log'!$C$2:$C$5000=B55),'Call Log'!$B$2:$B$5000),""))</f>
        <v/>
      </c>
      <c r="P55" s="5">
        <f>IF(B55="","",COUNTIFS('Call Log'!$C$2:$C$5000,B55,'Call Log'!$A$2:$A$5000,"&gt;="&amp;(TODAY()-WEEKDAY(TODAY(),2)+1)))</f>
        <v>0</v>
      </c>
      <c r="Q55" s="5">
        <f>IF(B55="","",COUNTIF('Call Log'!$C$2:$C$5000,B55))</f>
        <v>0</v>
      </c>
      <c r="R55" s="21" t="str">
        <f>IF(B55="","",IFERROR(IF(MAXIFS('Call Log'!$A$2:$A$5000,'Call Log'!$C$2:$C$5000,B55)=0,"",MAXIFS('Call Log'!$A$2:$A$5000,'Call Log'!$C$2:$C$5000,B55)),""))</f>
        <v/>
      </c>
      <c r="S55" s="5"/>
      <c r="T55" s="21"/>
      <c r="U55" s="21"/>
      <c r="V55" s="5"/>
      <c r="W55" s="20"/>
      <c r="X55" s="5"/>
      <c r="Y55" s="5"/>
      <c r="Z55" s="5" t="s">
        <v>132</v>
      </c>
      <c r="AA55" s="5" t="s">
        <v>471</v>
      </c>
    </row>
    <row r="56" ht="15.0" customHeight="1">
      <c r="A56" s="5" t="s">
        <v>472</v>
      </c>
      <c r="B56" s="5" t="s">
        <v>473</v>
      </c>
      <c r="C56" s="5" t="s">
        <v>474</v>
      </c>
      <c r="D56" s="5" t="s">
        <v>475</v>
      </c>
      <c r="E56" s="5">
        <v>28.0</v>
      </c>
      <c r="F56" s="20">
        <v>52000.0</v>
      </c>
      <c r="G56" s="20">
        <v>431000.0</v>
      </c>
      <c r="H56" s="5" t="s">
        <v>41</v>
      </c>
      <c r="I56" s="5" t="s">
        <v>175</v>
      </c>
      <c r="J56" s="5" t="s">
        <v>114</v>
      </c>
      <c r="K56" s="5" t="s">
        <v>476</v>
      </c>
      <c r="L56" s="5"/>
      <c r="M56" s="5" t="s">
        <v>8</v>
      </c>
      <c r="N56" s="5" t="s">
        <v>80</v>
      </c>
      <c r="O56" s="5" t="str">
        <f>IF(B56="","",IFERROR(LOOKUP(2,1/('Call Log'!$C$2:$C$5000=B56),'Call Log'!$B$2:$B$5000),""))</f>
        <v/>
      </c>
      <c r="P56" s="5">
        <f>IF(B56="","",COUNTIFS('Call Log'!$C$2:$C$5000,B56,'Call Log'!$A$2:$A$5000,"&gt;="&amp;(TODAY()-WEEKDAY(TODAY(),2)+1)))</f>
        <v>0</v>
      </c>
      <c r="Q56" s="5">
        <f>IF(B56="","",COUNTIF('Call Log'!$C$2:$C$5000,B56))</f>
        <v>0</v>
      </c>
      <c r="R56" s="21" t="str">
        <f>IF(B56="","",IFERROR(IF(MAXIFS('Call Log'!$A$2:$A$5000,'Call Log'!$C$2:$C$5000,B56)=0,"",MAXIFS('Call Log'!$A$2:$A$5000,'Call Log'!$C$2:$C$5000,B56)),""))</f>
        <v/>
      </c>
      <c r="S56" s="5"/>
      <c r="T56" s="21"/>
      <c r="U56" s="21"/>
      <c r="V56" s="5"/>
      <c r="W56" s="20"/>
      <c r="X56" s="5"/>
      <c r="Y56" s="5"/>
      <c r="Z56" s="5"/>
      <c r="AA56" s="5" t="s">
        <v>477</v>
      </c>
    </row>
    <row r="57" ht="15.0" customHeight="1">
      <c r="A57" s="5" t="s">
        <v>478</v>
      </c>
      <c r="B57" s="5" t="s">
        <v>479</v>
      </c>
      <c r="C57" s="5" t="s">
        <v>480</v>
      </c>
      <c r="D57" s="5" t="s">
        <v>481</v>
      </c>
      <c r="E57" s="5">
        <v>6.0</v>
      </c>
      <c r="F57" s="20">
        <v>48000.0</v>
      </c>
      <c r="G57" s="20">
        <v>397000.0</v>
      </c>
      <c r="H57" s="5" t="s">
        <v>40</v>
      </c>
      <c r="I57" s="5" t="s">
        <v>175</v>
      </c>
      <c r="J57" s="5" t="s">
        <v>114</v>
      </c>
      <c r="K57" s="5" t="s">
        <v>482</v>
      </c>
      <c r="L57" s="5"/>
      <c r="M57" s="5" t="s">
        <v>8</v>
      </c>
      <c r="N57" s="5" t="s">
        <v>80</v>
      </c>
      <c r="O57" s="5" t="str">
        <f>IF(B57="","",IFERROR(LOOKUP(2,1/('Call Log'!$C$2:$C$5000=B57),'Call Log'!$B$2:$B$5000),""))</f>
        <v/>
      </c>
      <c r="P57" s="5">
        <f>IF(B57="","",COUNTIFS('Call Log'!$C$2:$C$5000,B57,'Call Log'!$A$2:$A$5000,"&gt;="&amp;(TODAY()-WEEKDAY(TODAY(),2)+1)))</f>
        <v>0</v>
      </c>
      <c r="Q57" s="5">
        <f>IF(B57="","",COUNTIF('Call Log'!$C$2:$C$5000,B57))</f>
        <v>0</v>
      </c>
      <c r="R57" s="21" t="str">
        <f>IF(B57="","",IFERROR(IF(MAXIFS('Call Log'!$A$2:$A$5000,'Call Log'!$C$2:$C$5000,B57)=0,"",MAXIFS('Call Log'!$A$2:$A$5000,'Call Log'!$C$2:$C$5000,B57)),""))</f>
        <v/>
      </c>
      <c r="S57" s="5"/>
      <c r="T57" s="21"/>
      <c r="U57" s="21"/>
      <c r="V57" s="5"/>
      <c r="W57" s="20"/>
      <c r="X57" s="5"/>
      <c r="Y57" s="5"/>
      <c r="Z57" s="5" t="s">
        <v>178</v>
      </c>
      <c r="AA57" s="5" t="s">
        <v>483</v>
      </c>
    </row>
    <row r="58" ht="15.0" customHeight="1">
      <c r="A58" s="5" t="s">
        <v>484</v>
      </c>
      <c r="B58" s="5" t="s">
        <v>485</v>
      </c>
      <c r="C58" s="5" t="s">
        <v>486</v>
      </c>
      <c r="D58" s="5" t="s">
        <v>487</v>
      </c>
      <c r="E58" s="5">
        <v>30.0</v>
      </c>
      <c r="F58" s="20"/>
      <c r="G58" s="20"/>
      <c r="H58" s="5" t="s">
        <v>40</v>
      </c>
      <c r="I58" s="5" t="s">
        <v>175</v>
      </c>
      <c r="J58" s="5" t="s">
        <v>114</v>
      </c>
      <c r="K58" s="5" t="s">
        <v>488</v>
      </c>
      <c r="L58" s="5"/>
      <c r="M58" s="5" t="s">
        <v>8</v>
      </c>
      <c r="N58" s="5" t="s">
        <v>80</v>
      </c>
      <c r="O58" s="5" t="str">
        <f>IF(B58="","",IFERROR(LOOKUP(2,1/('Call Log'!$C$2:$C$5000=B58),'Call Log'!$B$2:$B$5000),""))</f>
        <v/>
      </c>
      <c r="P58" s="5">
        <f>IF(B58="","",COUNTIFS('Call Log'!$C$2:$C$5000,B58,'Call Log'!$A$2:$A$5000,"&gt;="&amp;(TODAY()-WEEKDAY(TODAY(),2)+1)))</f>
        <v>0</v>
      </c>
      <c r="Q58" s="5">
        <f>IF(B58="","",COUNTIF('Call Log'!$C$2:$C$5000,B58))</f>
        <v>0</v>
      </c>
      <c r="R58" s="21" t="str">
        <f>IF(B58="","",IFERROR(IF(MAXIFS('Call Log'!$A$2:$A$5000,'Call Log'!$C$2:$C$5000,B58)=0,"",MAXIFS('Call Log'!$A$2:$A$5000,'Call Log'!$C$2:$C$5000,B58)),""))</f>
        <v/>
      </c>
      <c r="S58" s="5"/>
      <c r="T58" s="21"/>
      <c r="U58" s="21"/>
      <c r="V58" s="5"/>
      <c r="W58" s="20"/>
      <c r="X58" s="5"/>
      <c r="Y58" s="5"/>
      <c r="Z58" s="5" t="s">
        <v>132</v>
      </c>
      <c r="AA58" s="5" t="s">
        <v>489</v>
      </c>
    </row>
    <row r="59" ht="15.0" customHeight="1">
      <c r="A59" s="5" t="s">
        <v>490</v>
      </c>
      <c r="B59" s="5" t="s">
        <v>491</v>
      </c>
      <c r="C59" s="5" t="s">
        <v>492</v>
      </c>
      <c r="D59" s="5" t="s">
        <v>493</v>
      </c>
      <c r="E59" s="5">
        <v>6.0</v>
      </c>
      <c r="F59" s="20"/>
      <c r="G59" s="20"/>
      <c r="H59" s="5" t="s">
        <v>41</v>
      </c>
      <c r="I59" s="5" t="s">
        <v>146</v>
      </c>
      <c r="J59" s="5" t="s">
        <v>114</v>
      </c>
      <c r="K59" s="5" t="s">
        <v>494</v>
      </c>
      <c r="L59" s="5" t="s">
        <v>495</v>
      </c>
      <c r="M59" s="5" t="s">
        <v>8</v>
      </c>
      <c r="N59" s="5" t="s">
        <v>80</v>
      </c>
      <c r="O59" s="5" t="str">
        <f>IF(B59="","",IFERROR(LOOKUP(2,1/('Call Log'!$C$2:$C$5000=B59),'Call Log'!$B$2:$B$5000),""))</f>
        <v/>
      </c>
      <c r="P59" s="5">
        <f>IF(B59="","",COUNTIFS('Call Log'!$C$2:$C$5000,B59,'Call Log'!$A$2:$A$5000,"&gt;="&amp;(TODAY()-WEEKDAY(TODAY(),2)+1)))</f>
        <v>0</v>
      </c>
      <c r="Q59" s="5">
        <f>IF(B59="","",COUNTIF('Call Log'!$C$2:$C$5000,B59))</f>
        <v>0</v>
      </c>
      <c r="R59" s="21" t="str">
        <f>IF(B59="","",IFERROR(IF(MAXIFS('Call Log'!$A$2:$A$5000,'Call Log'!$C$2:$C$5000,B59)=0,"",MAXIFS('Call Log'!$A$2:$A$5000,'Call Log'!$C$2:$C$5000,B59)),""))</f>
        <v/>
      </c>
      <c r="S59" s="5"/>
      <c r="T59" s="21"/>
      <c r="U59" s="21"/>
      <c r="V59" s="5"/>
      <c r="W59" s="20"/>
      <c r="X59" s="5"/>
      <c r="Y59" s="5"/>
      <c r="Z59" s="5"/>
      <c r="AA59" s="5" t="s">
        <v>496</v>
      </c>
    </row>
    <row r="60" ht="15.0" customHeight="1">
      <c r="A60" s="5" t="s">
        <v>497</v>
      </c>
      <c r="B60" s="5" t="s">
        <v>498</v>
      </c>
      <c r="C60" s="5" t="s">
        <v>499</v>
      </c>
      <c r="D60" s="5" t="s">
        <v>500</v>
      </c>
      <c r="E60" s="5">
        <v>30.0</v>
      </c>
      <c r="F60" s="20"/>
      <c r="G60" s="20"/>
      <c r="H60" s="5" t="s">
        <v>40</v>
      </c>
      <c r="I60" s="5" t="s">
        <v>122</v>
      </c>
      <c r="J60" s="5" t="s">
        <v>114</v>
      </c>
      <c r="K60" s="5" t="s">
        <v>501</v>
      </c>
      <c r="L60" s="5" t="s">
        <v>502</v>
      </c>
      <c r="M60" s="5" t="s">
        <v>8</v>
      </c>
      <c r="N60" s="5" t="s">
        <v>80</v>
      </c>
      <c r="O60" s="5" t="str">
        <f>IF(B60="","",IFERROR(LOOKUP(2,1/('Call Log'!$C$2:$C$5000=B60),'Call Log'!$B$2:$B$5000),""))</f>
        <v/>
      </c>
      <c r="P60" s="5">
        <f>IF(B60="","",COUNTIFS('Call Log'!$C$2:$C$5000,B60,'Call Log'!$A$2:$A$5000,"&gt;="&amp;(TODAY()-WEEKDAY(TODAY(),2)+1)))</f>
        <v>0</v>
      </c>
      <c r="Q60" s="5">
        <f>IF(B60="","",COUNTIF('Call Log'!$C$2:$C$5000,B60))</f>
        <v>0</v>
      </c>
      <c r="R60" s="21" t="str">
        <f>IF(B60="","",IFERROR(IF(MAXIFS('Call Log'!$A$2:$A$5000,'Call Log'!$C$2:$C$5000,B60)=0,"",MAXIFS('Call Log'!$A$2:$A$5000,'Call Log'!$C$2:$C$5000,B60)),""))</f>
        <v/>
      </c>
      <c r="S60" s="5"/>
      <c r="T60" s="21"/>
      <c r="U60" s="21"/>
      <c r="V60" s="5"/>
      <c r="W60" s="20"/>
      <c r="X60" s="5"/>
      <c r="Y60" s="5"/>
      <c r="Z60" s="5" t="s">
        <v>132</v>
      </c>
      <c r="AA60" s="5" t="s">
        <v>503</v>
      </c>
    </row>
    <row r="61" ht="15.0" customHeight="1">
      <c r="A61" s="5" t="s">
        <v>504</v>
      </c>
      <c r="B61" s="5" t="s">
        <v>505</v>
      </c>
      <c r="C61" s="5" t="s">
        <v>506</v>
      </c>
      <c r="D61" s="5" t="s">
        <v>507</v>
      </c>
      <c r="E61" s="5">
        <v>30.0</v>
      </c>
      <c r="F61" s="20"/>
      <c r="G61" s="20"/>
      <c r="H61" s="5" t="s">
        <v>40</v>
      </c>
      <c r="I61" s="5" t="s">
        <v>422</v>
      </c>
      <c r="J61" s="5" t="s">
        <v>114</v>
      </c>
      <c r="K61" s="5" t="s">
        <v>508</v>
      </c>
      <c r="L61" s="5"/>
      <c r="M61" s="5" t="s">
        <v>8</v>
      </c>
      <c r="N61" s="5" t="s">
        <v>80</v>
      </c>
      <c r="O61" s="5" t="str">
        <f>IF(B61="","",IFERROR(LOOKUP(2,1/('Call Log'!$C$2:$C$5000=B61),'Call Log'!$B$2:$B$5000),""))</f>
        <v/>
      </c>
      <c r="P61" s="5">
        <f>IF(B61="","",COUNTIFS('Call Log'!$C$2:$C$5000,B61,'Call Log'!$A$2:$A$5000,"&gt;="&amp;(TODAY()-WEEKDAY(TODAY(),2)+1)))</f>
        <v>0</v>
      </c>
      <c r="Q61" s="5">
        <f>IF(B61="","",COUNTIF('Call Log'!$C$2:$C$5000,B61))</f>
        <v>0</v>
      </c>
      <c r="R61" s="21" t="str">
        <f>IF(B61="","",IFERROR(IF(MAXIFS('Call Log'!$A$2:$A$5000,'Call Log'!$C$2:$C$5000,B61)=0,"",MAXIFS('Call Log'!$A$2:$A$5000,'Call Log'!$C$2:$C$5000,B61)),""))</f>
        <v/>
      </c>
      <c r="S61" s="5"/>
      <c r="T61" s="21"/>
      <c r="U61" s="21"/>
      <c r="V61" s="5"/>
      <c r="W61" s="20"/>
      <c r="X61" s="5"/>
      <c r="Y61" s="5"/>
      <c r="Z61" s="5"/>
      <c r="AA61" s="5" t="s">
        <v>509</v>
      </c>
    </row>
    <row r="62" ht="15.0" customHeight="1">
      <c r="A62" s="5" t="s">
        <v>510</v>
      </c>
      <c r="B62" s="5" t="s">
        <v>511</v>
      </c>
      <c r="C62" s="5" t="s">
        <v>512</v>
      </c>
      <c r="D62" s="5" t="s">
        <v>513</v>
      </c>
      <c r="E62" s="5">
        <v>34.0</v>
      </c>
      <c r="F62" s="20"/>
      <c r="G62" s="20"/>
      <c r="H62" s="5" t="s">
        <v>40</v>
      </c>
      <c r="I62" s="5" t="s">
        <v>370</v>
      </c>
      <c r="J62" s="5" t="s">
        <v>114</v>
      </c>
      <c r="K62" s="5" t="s">
        <v>514</v>
      </c>
      <c r="L62" s="5"/>
      <c r="M62" s="5" t="s">
        <v>8</v>
      </c>
      <c r="N62" s="5" t="s">
        <v>80</v>
      </c>
      <c r="O62" s="5" t="str">
        <f>IF(B62="","",IFERROR(LOOKUP(2,1/('Call Log'!$C$2:$C$5000=B62),'Call Log'!$B$2:$B$5000),""))</f>
        <v/>
      </c>
      <c r="P62" s="5">
        <f>IF(B62="","",COUNTIFS('Call Log'!$C$2:$C$5000,B62,'Call Log'!$A$2:$A$5000,"&gt;="&amp;(TODAY()-WEEKDAY(TODAY(),2)+1)))</f>
        <v>0</v>
      </c>
      <c r="Q62" s="5">
        <f>IF(B62="","",COUNTIF('Call Log'!$C$2:$C$5000,B62))</f>
        <v>0</v>
      </c>
      <c r="R62" s="21" t="str">
        <f>IF(B62="","",IFERROR(IF(MAXIFS('Call Log'!$A$2:$A$5000,'Call Log'!$C$2:$C$5000,B62)=0,"",MAXIFS('Call Log'!$A$2:$A$5000,'Call Log'!$C$2:$C$5000,B62)),""))</f>
        <v/>
      </c>
      <c r="S62" s="5"/>
      <c r="T62" s="21"/>
      <c r="U62" s="21"/>
      <c r="V62" s="5"/>
      <c r="W62" s="20"/>
      <c r="X62" s="5"/>
      <c r="Y62" s="5"/>
      <c r="Z62" s="5" t="s">
        <v>132</v>
      </c>
      <c r="AA62" s="5" t="s">
        <v>515</v>
      </c>
    </row>
    <row r="63" ht="15.0" customHeight="1">
      <c r="A63" s="5" t="s">
        <v>516</v>
      </c>
      <c r="B63" s="5" t="s">
        <v>517</v>
      </c>
      <c r="C63" s="5" t="s">
        <v>518</v>
      </c>
      <c r="D63" s="5" t="s">
        <v>519</v>
      </c>
      <c r="E63" s="5">
        <v>11.0</v>
      </c>
      <c r="F63" s="20"/>
      <c r="G63" s="20"/>
      <c r="H63" s="5" t="s">
        <v>41</v>
      </c>
      <c r="I63" s="5" t="s">
        <v>246</v>
      </c>
      <c r="J63" s="5" t="s">
        <v>114</v>
      </c>
      <c r="K63" s="5" t="s">
        <v>520</v>
      </c>
      <c r="L63" s="5" t="s">
        <v>521</v>
      </c>
      <c r="M63" s="5" t="s">
        <v>8</v>
      </c>
      <c r="N63" s="5" t="s">
        <v>80</v>
      </c>
      <c r="O63" s="5" t="str">
        <f>IF(B63="","",IFERROR(LOOKUP(2,1/('Call Log'!$C$2:$C$5000=B63),'Call Log'!$B$2:$B$5000),""))</f>
        <v/>
      </c>
      <c r="P63" s="5">
        <f>IF(B63="","",COUNTIFS('Call Log'!$C$2:$C$5000,B63,'Call Log'!$A$2:$A$5000,"&gt;="&amp;(TODAY()-WEEKDAY(TODAY(),2)+1)))</f>
        <v>0</v>
      </c>
      <c r="Q63" s="5">
        <f>IF(B63="","",COUNTIF('Call Log'!$C$2:$C$5000,B63))</f>
        <v>0</v>
      </c>
      <c r="R63" s="21" t="str">
        <f>IF(B63="","",IFERROR(IF(MAXIFS('Call Log'!$A$2:$A$5000,'Call Log'!$C$2:$C$5000,B63)=0,"",MAXIFS('Call Log'!$A$2:$A$5000,'Call Log'!$C$2:$C$5000,B63)),""))</f>
        <v/>
      </c>
      <c r="S63" s="5"/>
      <c r="T63" s="21"/>
      <c r="U63" s="21"/>
      <c r="V63" s="5"/>
      <c r="W63" s="20"/>
      <c r="X63" s="5"/>
      <c r="Y63" s="5"/>
      <c r="Z63" s="5"/>
      <c r="AA63" s="5" t="s">
        <v>522</v>
      </c>
    </row>
    <row r="64" ht="15.0" customHeight="1">
      <c r="A64" s="5" t="s">
        <v>523</v>
      </c>
      <c r="B64" s="5" t="s">
        <v>524</v>
      </c>
      <c r="C64" s="5" t="s">
        <v>525</v>
      </c>
      <c r="D64" s="5" t="s">
        <v>526</v>
      </c>
      <c r="E64" s="5">
        <v>30.0</v>
      </c>
      <c r="F64" s="20"/>
      <c r="G64" s="20"/>
      <c r="H64" s="5" t="s">
        <v>43</v>
      </c>
      <c r="I64" s="5" t="s">
        <v>146</v>
      </c>
      <c r="J64" s="5" t="s">
        <v>114</v>
      </c>
      <c r="K64" s="5" t="s">
        <v>527</v>
      </c>
      <c r="L64" s="5"/>
      <c r="M64" s="5" t="s">
        <v>8</v>
      </c>
      <c r="N64" s="5" t="s">
        <v>80</v>
      </c>
      <c r="O64" s="5" t="str">
        <f>IF(B64="","",IFERROR(LOOKUP(2,1/('Call Log'!$C$2:$C$5000=B64),'Call Log'!$B$2:$B$5000),""))</f>
        <v/>
      </c>
      <c r="P64" s="5">
        <f>IF(B64="","",COUNTIFS('Call Log'!$C$2:$C$5000,B64,'Call Log'!$A$2:$A$5000,"&gt;="&amp;(TODAY()-WEEKDAY(TODAY(),2)+1)))</f>
        <v>0</v>
      </c>
      <c r="Q64" s="5">
        <f>IF(B64="","",COUNTIF('Call Log'!$C$2:$C$5000,B64))</f>
        <v>0</v>
      </c>
      <c r="R64" s="21" t="str">
        <f>IF(B64="","",IFERROR(IF(MAXIFS('Call Log'!$A$2:$A$5000,'Call Log'!$C$2:$C$5000,B64)=0,"",MAXIFS('Call Log'!$A$2:$A$5000,'Call Log'!$C$2:$C$5000,B64)),""))</f>
        <v/>
      </c>
      <c r="S64" s="5"/>
      <c r="T64" s="21"/>
      <c r="U64" s="21"/>
      <c r="V64" s="5"/>
      <c r="W64" s="20"/>
      <c r="X64" s="5"/>
      <c r="Y64" s="5"/>
      <c r="Z64" s="5" t="s">
        <v>132</v>
      </c>
      <c r="AA64" s="5" t="s">
        <v>528</v>
      </c>
    </row>
    <row r="65" ht="15.0" customHeight="1">
      <c r="A65" s="5" t="s">
        <v>529</v>
      </c>
      <c r="B65" s="5" t="s">
        <v>530</v>
      </c>
      <c r="C65" s="5" t="s">
        <v>531</v>
      </c>
      <c r="D65" s="5" t="s">
        <v>532</v>
      </c>
      <c r="E65" s="5">
        <v>9.0</v>
      </c>
      <c r="F65" s="20"/>
      <c r="G65" s="20"/>
      <c r="H65" s="5" t="s">
        <v>40</v>
      </c>
      <c r="I65" s="5" t="s">
        <v>370</v>
      </c>
      <c r="J65" s="5" t="s">
        <v>114</v>
      </c>
      <c r="K65" s="5" t="s">
        <v>533</v>
      </c>
      <c r="L65" s="5" t="s">
        <v>534</v>
      </c>
      <c r="M65" s="5" t="s">
        <v>8</v>
      </c>
      <c r="N65" s="5" t="s">
        <v>80</v>
      </c>
      <c r="O65" s="5" t="str">
        <f>IF(B65="","",IFERROR(LOOKUP(2,1/('Call Log'!$C$2:$C$5000=B65),'Call Log'!$B$2:$B$5000),""))</f>
        <v/>
      </c>
      <c r="P65" s="5">
        <f>IF(B65="","",COUNTIFS('Call Log'!$C$2:$C$5000,B65,'Call Log'!$A$2:$A$5000,"&gt;="&amp;(TODAY()-WEEKDAY(TODAY(),2)+1)))</f>
        <v>0</v>
      </c>
      <c r="Q65" s="5">
        <f>IF(B65="","",COUNTIF('Call Log'!$C$2:$C$5000,B65))</f>
        <v>0</v>
      </c>
      <c r="R65" s="21" t="str">
        <f>IF(B65="","",IFERROR(IF(MAXIFS('Call Log'!$A$2:$A$5000,'Call Log'!$C$2:$C$5000,B65)=0,"",MAXIFS('Call Log'!$A$2:$A$5000,'Call Log'!$C$2:$C$5000,B65)),""))</f>
        <v/>
      </c>
      <c r="S65" s="5"/>
      <c r="T65" s="21"/>
      <c r="U65" s="21"/>
      <c r="V65" s="5"/>
      <c r="W65" s="20"/>
      <c r="X65" s="5"/>
      <c r="Y65" s="5"/>
      <c r="Z65" s="5" t="s">
        <v>132</v>
      </c>
      <c r="AA65" s="5" t="s">
        <v>535</v>
      </c>
    </row>
    <row r="66" ht="15.0" customHeight="1">
      <c r="A66" s="5" t="s">
        <v>536</v>
      </c>
      <c r="B66" s="5" t="s">
        <v>537</v>
      </c>
      <c r="C66" s="5" t="s">
        <v>538</v>
      </c>
      <c r="D66" s="5" t="s">
        <v>539</v>
      </c>
      <c r="E66" s="5">
        <v>5.0</v>
      </c>
      <c r="F66" s="20"/>
      <c r="G66" s="20"/>
      <c r="H66" s="5" t="s">
        <v>40</v>
      </c>
      <c r="I66" s="5" t="s">
        <v>122</v>
      </c>
      <c r="J66" s="5" t="s">
        <v>114</v>
      </c>
      <c r="K66" s="5" t="s">
        <v>540</v>
      </c>
      <c r="L66" s="5" t="s">
        <v>541</v>
      </c>
      <c r="M66" s="5" t="s">
        <v>8</v>
      </c>
      <c r="N66" s="5" t="s">
        <v>80</v>
      </c>
      <c r="O66" s="5" t="str">
        <f>IF(B66="","",IFERROR(LOOKUP(2,1/('Call Log'!$C$2:$C$5000=B66),'Call Log'!$B$2:$B$5000),""))</f>
        <v/>
      </c>
      <c r="P66" s="5">
        <f>IF(B66="","",COUNTIFS('Call Log'!$C$2:$C$5000,B66,'Call Log'!$A$2:$A$5000,"&gt;="&amp;(TODAY()-WEEKDAY(TODAY(),2)+1)))</f>
        <v>0</v>
      </c>
      <c r="Q66" s="5">
        <f>IF(B66="","",COUNTIF('Call Log'!$C$2:$C$5000,B66))</f>
        <v>0</v>
      </c>
      <c r="R66" s="21" t="str">
        <f>IF(B66="","",IFERROR(IF(MAXIFS('Call Log'!$A$2:$A$5000,'Call Log'!$C$2:$C$5000,B66)=0,"",MAXIFS('Call Log'!$A$2:$A$5000,'Call Log'!$C$2:$C$5000,B66)),""))</f>
        <v/>
      </c>
      <c r="S66" s="5"/>
      <c r="T66" s="21"/>
      <c r="U66" s="21"/>
      <c r="V66" s="5"/>
      <c r="W66" s="20"/>
      <c r="X66" s="5"/>
      <c r="Y66" s="5"/>
      <c r="Z66" s="5" t="s">
        <v>132</v>
      </c>
      <c r="AA66" s="5" t="s">
        <v>542</v>
      </c>
    </row>
    <row r="67" ht="15.0" customHeight="1">
      <c r="A67" s="5" t="s">
        <v>543</v>
      </c>
      <c r="B67" s="5" t="s">
        <v>544</v>
      </c>
      <c r="C67" s="5" t="s">
        <v>545</v>
      </c>
      <c r="D67" s="5" t="s">
        <v>546</v>
      </c>
      <c r="E67" s="5">
        <v>5.0</v>
      </c>
      <c r="F67" s="20"/>
      <c r="G67" s="20"/>
      <c r="H67" s="5" t="s">
        <v>41</v>
      </c>
      <c r="I67" s="5" t="s">
        <v>547</v>
      </c>
      <c r="J67" s="5" t="s">
        <v>114</v>
      </c>
      <c r="K67" s="5" t="s">
        <v>548</v>
      </c>
      <c r="L67" s="5"/>
      <c r="M67" s="5" t="s">
        <v>8</v>
      </c>
      <c r="N67" s="5" t="s">
        <v>80</v>
      </c>
      <c r="O67" s="5" t="str">
        <f>IF(B67="","",IFERROR(LOOKUP(2,1/('Call Log'!$C$2:$C$5000=B67),'Call Log'!$B$2:$B$5000),""))</f>
        <v/>
      </c>
      <c r="P67" s="5">
        <f>IF(B67="","",COUNTIFS('Call Log'!$C$2:$C$5000,B67,'Call Log'!$A$2:$A$5000,"&gt;="&amp;(TODAY()-WEEKDAY(TODAY(),2)+1)))</f>
        <v>0</v>
      </c>
      <c r="Q67" s="5">
        <f>IF(B67="","",COUNTIF('Call Log'!$C$2:$C$5000,B67))</f>
        <v>0</v>
      </c>
      <c r="R67" s="21" t="str">
        <f>IF(B67="","",IFERROR(IF(MAXIFS('Call Log'!$A$2:$A$5000,'Call Log'!$C$2:$C$5000,B67)=0,"",MAXIFS('Call Log'!$A$2:$A$5000,'Call Log'!$C$2:$C$5000,B67)),""))</f>
        <v/>
      </c>
      <c r="S67" s="5"/>
      <c r="T67" s="21"/>
      <c r="U67" s="21"/>
      <c r="V67" s="5"/>
      <c r="W67" s="20"/>
      <c r="X67" s="5"/>
      <c r="Y67" s="5"/>
      <c r="Z67" s="5" t="s">
        <v>132</v>
      </c>
      <c r="AA67" s="5" t="s">
        <v>549</v>
      </c>
    </row>
    <row r="68" ht="15.0" customHeight="1">
      <c r="A68" s="5" t="s">
        <v>550</v>
      </c>
      <c r="B68" s="5" t="s">
        <v>551</v>
      </c>
      <c r="C68" s="5" t="s">
        <v>552</v>
      </c>
      <c r="D68" s="5" t="s">
        <v>553</v>
      </c>
      <c r="E68" s="5">
        <v>17.0</v>
      </c>
      <c r="F68" s="20"/>
      <c r="G68" s="20"/>
      <c r="H68" s="5" t="s">
        <v>41</v>
      </c>
      <c r="I68" s="5" t="s">
        <v>246</v>
      </c>
      <c r="J68" s="5" t="s">
        <v>114</v>
      </c>
      <c r="K68" s="5" t="s">
        <v>554</v>
      </c>
      <c r="L68" s="5"/>
      <c r="M68" s="5" t="s">
        <v>8</v>
      </c>
      <c r="N68" s="5" t="s">
        <v>80</v>
      </c>
      <c r="O68" s="5" t="str">
        <f>IF(B68="","",IFERROR(LOOKUP(2,1/('Call Log'!$C$2:$C$5000=B68),'Call Log'!$B$2:$B$5000),""))</f>
        <v/>
      </c>
      <c r="P68" s="5">
        <f>IF(B68="","",COUNTIFS('Call Log'!$C$2:$C$5000,B68,'Call Log'!$A$2:$A$5000,"&gt;="&amp;(TODAY()-WEEKDAY(TODAY(),2)+1)))</f>
        <v>0</v>
      </c>
      <c r="Q68" s="5">
        <f>IF(B68="","",COUNTIF('Call Log'!$C$2:$C$5000,B68))</f>
        <v>0</v>
      </c>
      <c r="R68" s="21" t="str">
        <f>IF(B68="","",IFERROR(IF(MAXIFS('Call Log'!$A$2:$A$5000,'Call Log'!$C$2:$C$5000,B68)=0,"",MAXIFS('Call Log'!$A$2:$A$5000,'Call Log'!$C$2:$C$5000,B68)),""))</f>
        <v/>
      </c>
      <c r="S68" s="5"/>
      <c r="T68" s="21"/>
      <c r="U68" s="21"/>
      <c r="V68" s="5"/>
      <c r="W68" s="20"/>
      <c r="X68" s="5"/>
      <c r="Y68" s="5"/>
      <c r="Z68" s="5" t="s">
        <v>132</v>
      </c>
      <c r="AA68" s="5" t="s">
        <v>555</v>
      </c>
    </row>
    <row r="69" ht="15.0" customHeight="1">
      <c r="A69" s="5" t="s">
        <v>556</v>
      </c>
      <c r="B69" s="5" t="s">
        <v>557</v>
      </c>
      <c r="C69" s="5" t="s">
        <v>558</v>
      </c>
      <c r="D69" s="5" t="s">
        <v>559</v>
      </c>
      <c r="E69" s="5">
        <v>4.0</v>
      </c>
      <c r="F69" s="20"/>
      <c r="G69" s="20"/>
      <c r="H69" s="5" t="s">
        <v>41</v>
      </c>
      <c r="I69" s="5" t="s">
        <v>184</v>
      </c>
      <c r="J69" s="5" t="s">
        <v>114</v>
      </c>
      <c r="K69" s="5" t="s">
        <v>560</v>
      </c>
      <c r="L69" s="5" t="s">
        <v>561</v>
      </c>
      <c r="M69" s="5" t="s">
        <v>8</v>
      </c>
      <c r="N69" s="5" t="s">
        <v>80</v>
      </c>
      <c r="O69" s="5" t="str">
        <f>IF(B69="","",IFERROR(LOOKUP(2,1/('Call Log'!$C$2:$C$5000=B69),'Call Log'!$B$2:$B$5000),""))</f>
        <v/>
      </c>
      <c r="P69" s="5">
        <f>IF(B69="","",COUNTIFS('Call Log'!$C$2:$C$5000,B69,'Call Log'!$A$2:$A$5000,"&gt;="&amp;(TODAY()-WEEKDAY(TODAY(),2)+1)))</f>
        <v>0</v>
      </c>
      <c r="Q69" s="5">
        <f>IF(B69="","",COUNTIF('Call Log'!$C$2:$C$5000,B69))</f>
        <v>0</v>
      </c>
      <c r="R69" s="21" t="str">
        <f>IF(B69="","",IFERROR(IF(MAXIFS('Call Log'!$A$2:$A$5000,'Call Log'!$C$2:$C$5000,B69)=0,"",MAXIFS('Call Log'!$A$2:$A$5000,'Call Log'!$C$2:$C$5000,B69)),""))</f>
        <v/>
      </c>
      <c r="S69" s="5"/>
      <c r="T69" s="21"/>
      <c r="U69" s="21"/>
      <c r="V69" s="5"/>
      <c r="W69" s="20"/>
      <c r="X69" s="5"/>
      <c r="Y69" s="5"/>
      <c r="Z69" s="5" t="s">
        <v>132</v>
      </c>
      <c r="AA69" s="5" t="s">
        <v>562</v>
      </c>
    </row>
    <row r="70" ht="15.0" customHeight="1">
      <c r="A70" s="5" t="s">
        <v>563</v>
      </c>
      <c r="B70" s="5" t="s">
        <v>564</v>
      </c>
      <c r="C70" s="5" t="s">
        <v>565</v>
      </c>
      <c r="D70" s="5" t="s">
        <v>566</v>
      </c>
      <c r="E70" s="5">
        <v>10.0</v>
      </c>
      <c r="F70" s="20"/>
      <c r="G70" s="20"/>
      <c r="H70" s="5" t="s">
        <v>40</v>
      </c>
      <c r="I70" s="5" t="s">
        <v>122</v>
      </c>
      <c r="J70" s="5" t="s">
        <v>114</v>
      </c>
      <c r="K70" s="5" t="s">
        <v>567</v>
      </c>
      <c r="L70" s="5" t="s">
        <v>568</v>
      </c>
      <c r="M70" s="5" t="s">
        <v>8</v>
      </c>
      <c r="N70" s="5" t="s">
        <v>80</v>
      </c>
      <c r="O70" s="5" t="str">
        <f>IF(B70="","",IFERROR(LOOKUP(2,1/('Call Log'!$C$2:$C$5000=B70),'Call Log'!$B$2:$B$5000),""))</f>
        <v/>
      </c>
      <c r="P70" s="5">
        <f>IF(B70="","",COUNTIFS('Call Log'!$C$2:$C$5000,B70,'Call Log'!$A$2:$A$5000,"&gt;="&amp;(TODAY()-WEEKDAY(TODAY(),2)+1)))</f>
        <v>0</v>
      </c>
      <c r="Q70" s="5">
        <f>IF(B70="","",COUNTIF('Call Log'!$C$2:$C$5000,B70))</f>
        <v>0</v>
      </c>
      <c r="R70" s="21" t="str">
        <f>IF(B70="","",IFERROR(IF(MAXIFS('Call Log'!$A$2:$A$5000,'Call Log'!$C$2:$C$5000,B70)=0,"",MAXIFS('Call Log'!$A$2:$A$5000,'Call Log'!$C$2:$C$5000,B70)),""))</f>
        <v/>
      </c>
      <c r="S70" s="5"/>
      <c r="T70" s="21"/>
      <c r="U70" s="21"/>
      <c r="V70" s="5"/>
      <c r="W70" s="20"/>
      <c r="X70" s="5"/>
      <c r="Y70" s="5"/>
      <c r="Z70" s="5" t="s">
        <v>178</v>
      </c>
      <c r="AA70" s="5" t="s">
        <v>569</v>
      </c>
    </row>
    <row r="71" ht="15.0" customHeight="1">
      <c r="A71" s="5" t="s">
        <v>570</v>
      </c>
      <c r="B71" s="5" t="s">
        <v>571</v>
      </c>
      <c r="C71" s="5" t="s">
        <v>572</v>
      </c>
      <c r="D71" s="5" t="s">
        <v>573</v>
      </c>
      <c r="E71" s="5">
        <v>10.0</v>
      </c>
      <c r="F71" s="20"/>
      <c r="G71" s="20"/>
      <c r="H71" s="5" t="s">
        <v>43</v>
      </c>
      <c r="I71" s="5" t="s">
        <v>175</v>
      </c>
      <c r="J71" s="5" t="s">
        <v>114</v>
      </c>
      <c r="K71" s="5" t="s">
        <v>574</v>
      </c>
      <c r="L71" s="5" t="s">
        <v>575</v>
      </c>
      <c r="M71" s="5" t="s">
        <v>8</v>
      </c>
      <c r="N71" s="5" t="s">
        <v>80</v>
      </c>
      <c r="O71" s="5" t="str">
        <f>IF(B71="","",IFERROR(LOOKUP(2,1/('Call Log'!$C$2:$C$5000=B71),'Call Log'!$B$2:$B$5000),""))</f>
        <v/>
      </c>
      <c r="P71" s="5">
        <f>IF(B71="","",COUNTIFS('Call Log'!$C$2:$C$5000,B71,'Call Log'!$A$2:$A$5000,"&gt;="&amp;(TODAY()-WEEKDAY(TODAY(),2)+1)))</f>
        <v>0</v>
      </c>
      <c r="Q71" s="5">
        <f>IF(B71="","",COUNTIF('Call Log'!$C$2:$C$5000,B71))</f>
        <v>0</v>
      </c>
      <c r="R71" s="21" t="str">
        <f>IF(B71="","",IFERROR(IF(MAXIFS('Call Log'!$A$2:$A$5000,'Call Log'!$C$2:$C$5000,B71)=0,"",MAXIFS('Call Log'!$A$2:$A$5000,'Call Log'!$C$2:$C$5000,B71)),""))</f>
        <v/>
      </c>
      <c r="S71" s="5"/>
      <c r="T71" s="21"/>
      <c r="U71" s="21"/>
      <c r="V71" s="5"/>
      <c r="W71" s="20"/>
      <c r="X71" s="5"/>
      <c r="Y71" s="5"/>
      <c r="Z71" s="5" t="s">
        <v>132</v>
      </c>
      <c r="AA71" s="5" t="s">
        <v>576</v>
      </c>
    </row>
    <row r="72" ht="15.0" customHeight="1">
      <c r="A72" s="5" t="s">
        <v>577</v>
      </c>
      <c r="B72" s="5" t="s">
        <v>578</v>
      </c>
      <c r="C72" s="5" t="s">
        <v>579</v>
      </c>
      <c r="D72" s="5" t="s">
        <v>580</v>
      </c>
      <c r="E72" s="5">
        <v>1.0</v>
      </c>
      <c r="F72" s="20"/>
      <c r="G72" s="20"/>
      <c r="H72" s="5" t="s">
        <v>41</v>
      </c>
      <c r="I72" s="5" t="s">
        <v>370</v>
      </c>
      <c r="J72" s="5" t="s">
        <v>114</v>
      </c>
      <c r="K72" s="5" t="s">
        <v>581</v>
      </c>
      <c r="L72" s="5"/>
      <c r="M72" s="5" t="s">
        <v>8</v>
      </c>
      <c r="N72" s="5" t="s">
        <v>80</v>
      </c>
      <c r="O72" s="5" t="str">
        <f>IF(B72="","",IFERROR(LOOKUP(2,1/('Call Log'!$C$2:$C$5000=B72),'Call Log'!$B$2:$B$5000),""))</f>
        <v/>
      </c>
      <c r="P72" s="5">
        <f>IF(B72="","",COUNTIFS('Call Log'!$C$2:$C$5000,B72,'Call Log'!$A$2:$A$5000,"&gt;="&amp;(TODAY()-WEEKDAY(TODAY(),2)+1)))</f>
        <v>0</v>
      </c>
      <c r="Q72" s="5">
        <f>IF(B72="","",COUNTIF('Call Log'!$C$2:$C$5000,B72))</f>
        <v>0</v>
      </c>
      <c r="R72" s="21" t="str">
        <f>IF(B72="","",IFERROR(IF(MAXIFS('Call Log'!$A$2:$A$5000,'Call Log'!$C$2:$C$5000,B72)=0,"",MAXIFS('Call Log'!$A$2:$A$5000,'Call Log'!$C$2:$C$5000,B72)),""))</f>
        <v/>
      </c>
      <c r="S72" s="5"/>
      <c r="T72" s="21"/>
      <c r="U72" s="21"/>
      <c r="V72" s="5"/>
      <c r="W72" s="20"/>
      <c r="X72" s="5"/>
      <c r="Y72" s="5"/>
      <c r="Z72" s="5" t="s">
        <v>132</v>
      </c>
      <c r="AA72" s="5" t="s">
        <v>582</v>
      </c>
    </row>
    <row r="73" ht="15.0" customHeight="1">
      <c r="A73" s="5" t="s">
        <v>583</v>
      </c>
      <c r="B73" s="5" t="s">
        <v>584</v>
      </c>
      <c r="C73" s="5" t="s">
        <v>585</v>
      </c>
      <c r="D73" s="5" t="s">
        <v>586</v>
      </c>
      <c r="E73" s="5">
        <v>4.0</v>
      </c>
      <c r="F73" s="20"/>
      <c r="G73" s="20"/>
      <c r="H73" s="5" t="s">
        <v>41</v>
      </c>
      <c r="I73" s="5" t="s">
        <v>122</v>
      </c>
      <c r="J73" s="5" t="s">
        <v>114</v>
      </c>
      <c r="K73" s="5" t="s">
        <v>587</v>
      </c>
      <c r="L73" s="5" t="s">
        <v>588</v>
      </c>
      <c r="M73" s="5" t="s">
        <v>8</v>
      </c>
      <c r="N73" s="5" t="s">
        <v>80</v>
      </c>
      <c r="O73" s="5" t="str">
        <f>IF(B73="","",IFERROR(LOOKUP(2,1/('Call Log'!$C$2:$C$5000=B73),'Call Log'!$B$2:$B$5000),""))</f>
        <v/>
      </c>
      <c r="P73" s="5">
        <f>IF(B73="","",COUNTIFS('Call Log'!$C$2:$C$5000,B73,'Call Log'!$A$2:$A$5000,"&gt;="&amp;(TODAY()-WEEKDAY(TODAY(),2)+1)))</f>
        <v>0</v>
      </c>
      <c r="Q73" s="5">
        <f>IF(B73="","",COUNTIF('Call Log'!$C$2:$C$5000,B73))</f>
        <v>0</v>
      </c>
      <c r="R73" s="21" t="str">
        <f>IF(B73="","",IFERROR(IF(MAXIFS('Call Log'!$A$2:$A$5000,'Call Log'!$C$2:$C$5000,B73)=0,"",MAXIFS('Call Log'!$A$2:$A$5000,'Call Log'!$C$2:$C$5000,B73)),""))</f>
        <v/>
      </c>
      <c r="S73" s="5"/>
      <c r="T73" s="21"/>
      <c r="U73" s="21"/>
      <c r="V73" s="5"/>
      <c r="W73" s="20"/>
      <c r="X73" s="5"/>
      <c r="Y73" s="5"/>
      <c r="Z73" s="5" t="s">
        <v>178</v>
      </c>
      <c r="AA73" s="5" t="s">
        <v>589</v>
      </c>
    </row>
    <row r="74" ht="15.0" customHeight="1">
      <c r="A74" s="5" t="s">
        <v>590</v>
      </c>
      <c r="B74" s="5" t="s">
        <v>591</v>
      </c>
      <c r="C74" s="5" t="s">
        <v>592</v>
      </c>
      <c r="D74" s="5" t="s">
        <v>593</v>
      </c>
      <c r="E74" s="5">
        <v>5.0</v>
      </c>
      <c r="F74" s="20"/>
      <c r="G74" s="20"/>
      <c r="H74" s="5" t="s">
        <v>40</v>
      </c>
      <c r="I74" s="5" t="s">
        <v>594</v>
      </c>
      <c r="J74" s="5" t="s">
        <v>114</v>
      </c>
      <c r="K74" s="5" t="s">
        <v>595</v>
      </c>
      <c r="L74" s="5" t="s">
        <v>596</v>
      </c>
      <c r="M74" s="5" t="s">
        <v>8</v>
      </c>
      <c r="N74" s="5" t="s">
        <v>80</v>
      </c>
      <c r="O74" s="5" t="str">
        <f>IF(B74="","",IFERROR(LOOKUP(2,1/('Call Log'!$C$2:$C$5000=B74),'Call Log'!$B$2:$B$5000),""))</f>
        <v/>
      </c>
      <c r="P74" s="5">
        <f>IF(B74="","",COUNTIFS('Call Log'!$C$2:$C$5000,B74,'Call Log'!$A$2:$A$5000,"&gt;="&amp;(TODAY()-WEEKDAY(TODAY(),2)+1)))</f>
        <v>0</v>
      </c>
      <c r="Q74" s="5">
        <f>IF(B74="","",COUNTIF('Call Log'!$C$2:$C$5000,B74))</f>
        <v>0</v>
      </c>
      <c r="R74" s="21" t="str">
        <f>IF(B74="","",IFERROR(IF(MAXIFS('Call Log'!$A$2:$A$5000,'Call Log'!$C$2:$C$5000,B74)=0,"",MAXIFS('Call Log'!$A$2:$A$5000,'Call Log'!$C$2:$C$5000,B74)),""))</f>
        <v/>
      </c>
      <c r="S74" s="5"/>
      <c r="T74" s="21"/>
      <c r="U74" s="21"/>
      <c r="V74" s="5"/>
      <c r="W74" s="20"/>
      <c r="X74" s="5"/>
      <c r="Y74" s="5"/>
      <c r="Z74" s="5" t="s">
        <v>132</v>
      </c>
      <c r="AA74" s="5" t="s">
        <v>597</v>
      </c>
    </row>
    <row r="75" ht="15.0" customHeight="1">
      <c r="A75" s="5" t="s">
        <v>598</v>
      </c>
      <c r="B75" s="5" t="s">
        <v>599</v>
      </c>
      <c r="C75" s="5" t="s">
        <v>600</v>
      </c>
      <c r="D75" s="5" t="s">
        <v>601</v>
      </c>
      <c r="E75" s="5"/>
      <c r="F75" s="20"/>
      <c r="G75" s="20"/>
      <c r="H75" s="5" t="s">
        <v>40</v>
      </c>
      <c r="I75" s="5" t="s">
        <v>175</v>
      </c>
      <c r="J75" s="5" t="s">
        <v>114</v>
      </c>
      <c r="K75" s="5" t="s">
        <v>602</v>
      </c>
      <c r="L75" s="5" t="s">
        <v>603</v>
      </c>
      <c r="M75" s="5" t="s">
        <v>8</v>
      </c>
      <c r="N75" s="5" t="s">
        <v>80</v>
      </c>
      <c r="O75" s="5" t="str">
        <f>IF(B75="","",IFERROR(LOOKUP(2,1/('Call Log'!$C$2:$C$5000=B75),'Call Log'!$B$2:$B$5000),""))</f>
        <v/>
      </c>
      <c r="P75" s="5">
        <f>IF(B75="","",COUNTIFS('Call Log'!$C$2:$C$5000,B75,'Call Log'!$A$2:$A$5000,"&gt;="&amp;(TODAY()-WEEKDAY(TODAY(),2)+1)))</f>
        <v>0</v>
      </c>
      <c r="Q75" s="5">
        <f>IF(B75="","",COUNTIF('Call Log'!$C$2:$C$5000,B75))</f>
        <v>0</v>
      </c>
      <c r="R75" s="21" t="str">
        <f>IF(B75="","",IFERROR(IF(MAXIFS('Call Log'!$A$2:$A$5000,'Call Log'!$C$2:$C$5000,B75)=0,"",MAXIFS('Call Log'!$A$2:$A$5000,'Call Log'!$C$2:$C$5000,B75)),""))</f>
        <v/>
      </c>
      <c r="S75" s="5"/>
      <c r="T75" s="21"/>
      <c r="U75" s="21"/>
      <c r="V75" s="5"/>
      <c r="W75" s="20"/>
      <c r="X75" s="5"/>
      <c r="Y75" s="5"/>
      <c r="Z75" s="5" t="s">
        <v>178</v>
      </c>
      <c r="AA75" s="5" t="s">
        <v>604</v>
      </c>
    </row>
    <row r="76" ht="15.0" customHeight="1">
      <c r="A76" s="5" t="s">
        <v>605</v>
      </c>
      <c r="B76" s="5" t="s">
        <v>606</v>
      </c>
      <c r="C76" s="5" t="s">
        <v>607</v>
      </c>
      <c r="D76" s="5" t="s">
        <v>608</v>
      </c>
      <c r="E76" s="5"/>
      <c r="F76" s="20"/>
      <c r="G76" s="20"/>
      <c r="H76" s="5" t="s">
        <v>40</v>
      </c>
      <c r="I76" s="5" t="s">
        <v>129</v>
      </c>
      <c r="J76" s="5" t="s">
        <v>114</v>
      </c>
      <c r="K76" s="5" t="s">
        <v>609</v>
      </c>
      <c r="L76" s="5"/>
      <c r="M76" s="5" t="s">
        <v>8</v>
      </c>
      <c r="N76" s="5" t="s">
        <v>80</v>
      </c>
      <c r="O76" s="5" t="str">
        <f>IF(B76="","",IFERROR(LOOKUP(2,1/('Call Log'!$C$2:$C$5000=B76),'Call Log'!$B$2:$B$5000),""))</f>
        <v/>
      </c>
      <c r="P76" s="5">
        <f>IF(B76="","",COUNTIFS('Call Log'!$C$2:$C$5000,B76,'Call Log'!$A$2:$A$5000,"&gt;="&amp;(TODAY()-WEEKDAY(TODAY(),2)+1)))</f>
        <v>0</v>
      </c>
      <c r="Q76" s="5">
        <f>IF(B76="","",COUNTIF('Call Log'!$C$2:$C$5000,B76))</f>
        <v>0</v>
      </c>
      <c r="R76" s="21" t="str">
        <f>IF(B76="","",IFERROR(IF(MAXIFS('Call Log'!$A$2:$A$5000,'Call Log'!$C$2:$C$5000,B76)=0,"",MAXIFS('Call Log'!$A$2:$A$5000,'Call Log'!$C$2:$C$5000,B76)),""))</f>
        <v/>
      </c>
      <c r="S76" s="5"/>
      <c r="T76" s="21"/>
      <c r="U76" s="21"/>
      <c r="V76" s="5"/>
      <c r="W76" s="20"/>
      <c r="X76" s="5"/>
      <c r="Y76" s="5"/>
      <c r="Z76" s="5" t="s">
        <v>132</v>
      </c>
      <c r="AA76" s="5" t="s">
        <v>610</v>
      </c>
    </row>
    <row r="77" ht="15.0" customHeight="1">
      <c r="A77" s="5" t="s">
        <v>611</v>
      </c>
      <c r="B77" s="5" t="s">
        <v>612</v>
      </c>
      <c r="C77" s="5" t="s">
        <v>613</v>
      </c>
      <c r="D77" s="5" t="s">
        <v>614</v>
      </c>
      <c r="E77" s="5">
        <v>10.0</v>
      </c>
      <c r="F77" s="20"/>
      <c r="G77" s="20"/>
      <c r="H77" s="5" t="s">
        <v>43</v>
      </c>
      <c r="I77" s="5" t="s">
        <v>146</v>
      </c>
      <c r="J77" s="5" t="s">
        <v>114</v>
      </c>
      <c r="K77" s="5" t="s">
        <v>615</v>
      </c>
      <c r="L77" s="5" t="s">
        <v>616</v>
      </c>
      <c r="M77" s="5" t="s">
        <v>8</v>
      </c>
      <c r="N77" s="5" t="s">
        <v>80</v>
      </c>
      <c r="O77" s="5" t="str">
        <f>IF(B77="","",IFERROR(LOOKUP(2,1/('Call Log'!$C$2:$C$5000=B77),'Call Log'!$B$2:$B$5000),""))</f>
        <v/>
      </c>
      <c r="P77" s="5">
        <f>IF(B77="","",COUNTIFS('Call Log'!$C$2:$C$5000,B77,'Call Log'!$A$2:$A$5000,"&gt;="&amp;(TODAY()-WEEKDAY(TODAY(),2)+1)))</f>
        <v>0</v>
      </c>
      <c r="Q77" s="5">
        <f>IF(B77="","",COUNTIF('Call Log'!$C$2:$C$5000,B77))</f>
        <v>0</v>
      </c>
      <c r="R77" s="21" t="str">
        <f>IF(B77="","",IFERROR(IF(MAXIFS('Call Log'!$A$2:$A$5000,'Call Log'!$C$2:$C$5000,B77)=0,"",MAXIFS('Call Log'!$A$2:$A$5000,'Call Log'!$C$2:$C$5000,B77)),""))</f>
        <v/>
      </c>
      <c r="S77" s="5"/>
      <c r="T77" s="21"/>
      <c r="U77" s="21"/>
      <c r="V77" s="5"/>
      <c r="W77" s="20"/>
      <c r="X77" s="5"/>
      <c r="Y77" s="5"/>
      <c r="Z77" s="5" t="s">
        <v>132</v>
      </c>
      <c r="AA77" s="5" t="s">
        <v>617</v>
      </c>
    </row>
    <row r="78" ht="15.0" customHeight="1">
      <c r="A78" s="5" t="s">
        <v>618</v>
      </c>
      <c r="B78" s="5" t="s">
        <v>619</v>
      </c>
      <c r="C78" s="5" t="s">
        <v>620</v>
      </c>
      <c r="D78" s="5" t="s">
        <v>621</v>
      </c>
      <c r="E78" s="5">
        <v>2.0</v>
      </c>
      <c r="F78" s="20"/>
      <c r="G78" s="20"/>
      <c r="H78" s="5" t="s">
        <v>41</v>
      </c>
      <c r="I78" s="5" t="s">
        <v>622</v>
      </c>
      <c r="J78" s="5" t="s">
        <v>114</v>
      </c>
      <c r="K78" s="5" t="s">
        <v>623</v>
      </c>
      <c r="L78" s="5"/>
      <c r="M78" s="5" t="s">
        <v>8</v>
      </c>
      <c r="N78" s="5" t="s">
        <v>80</v>
      </c>
      <c r="O78" s="5" t="str">
        <f>IF(B78="","",IFERROR(LOOKUP(2,1/('Call Log'!$C$2:$C$5000=B78),'Call Log'!$B$2:$B$5000),""))</f>
        <v/>
      </c>
      <c r="P78" s="5">
        <f>IF(B78="","",COUNTIFS('Call Log'!$C$2:$C$5000,B78,'Call Log'!$A$2:$A$5000,"&gt;="&amp;(TODAY()-WEEKDAY(TODAY(),2)+1)))</f>
        <v>0</v>
      </c>
      <c r="Q78" s="5">
        <f>IF(B78="","",COUNTIF('Call Log'!$C$2:$C$5000,B78))</f>
        <v>0</v>
      </c>
      <c r="R78" s="21" t="str">
        <f>IF(B78="","",IFERROR(IF(MAXIFS('Call Log'!$A$2:$A$5000,'Call Log'!$C$2:$C$5000,B78)=0,"",MAXIFS('Call Log'!$A$2:$A$5000,'Call Log'!$C$2:$C$5000,B78)),""))</f>
        <v/>
      </c>
      <c r="S78" s="5"/>
      <c r="T78" s="21"/>
      <c r="U78" s="21"/>
      <c r="V78" s="5"/>
      <c r="W78" s="20"/>
      <c r="X78" s="5"/>
      <c r="Y78" s="5"/>
      <c r="Z78" s="5" t="s">
        <v>132</v>
      </c>
      <c r="AA78" s="5" t="s">
        <v>624</v>
      </c>
    </row>
    <row r="79" ht="15.0" customHeight="1">
      <c r="A79" s="5" t="s">
        <v>625</v>
      </c>
      <c r="B79" s="5" t="s">
        <v>626</v>
      </c>
      <c r="C79" s="5" t="s">
        <v>627</v>
      </c>
      <c r="D79" s="5" t="s">
        <v>628</v>
      </c>
      <c r="E79" s="5">
        <v>4.0</v>
      </c>
      <c r="F79" s="20"/>
      <c r="G79" s="20"/>
      <c r="H79" s="5" t="s">
        <v>40</v>
      </c>
      <c r="I79" s="5" t="s">
        <v>175</v>
      </c>
      <c r="J79" s="5" t="s">
        <v>114</v>
      </c>
      <c r="K79" s="5" t="s">
        <v>629</v>
      </c>
      <c r="L79" s="5" t="s">
        <v>630</v>
      </c>
      <c r="M79" s="5" t="s">
        <v>8</v>
      </c>
      <c r="N79" s="5" t="s">
        <v>80</v>
      </c>
      <c r="O79" s="5" t="str">
        <f>IF(B79="","",IFERROR(LOOKUP(2,1/('Call Log'!$C$2:$C$5000=B79),'Call Log'!$B$2:$B$5000),""))</f>
        <v/>
      </c>
      <c r="P79" s="5">
        <f>IF(B79="","",COUNTIFS('Call Log'!$C$2:$C$5000,B79,'Call Log'!$A$2:$A$5000,"&gt;="&amp;(TODAY()-WEEKDAY(TODAY(),2)+1)))</f>
        <v>0</v>
      </c>
      <c r="Q79" s="5">
        <f>IF(B79="","",COUNTIF('Call Log'!$C$2:$C$5000,B79))</f>
        <v>0</v>
      </c>
      <c r="R79" s="21" t="str">
        <f>IF(B79="","",IFERROR(IF(MAXIFS('Call Log'!$A$2:$A$5000,'Call Log'!$C$2:$C$5000,B79)=0,"",MAXIFS('Call Log'!$A$2:$A$5000,'Call Log'!$C$2:$C$5000,B79)),""))</f>
        <v/>
      </c>
      <c r="S79" s="5"/>
      <c r="T79" s="21"/>
      <c r="U79" s="21"/>
      <c r="V79" s="5"/>
      <c r="W79" s="20"/>
      <c r="X79" s="5"/>
      <c r="Y79" s="5"/>
      <c r="Z79" s="5" t="s">
        <v>132</v>
      </c>
      <c r="AA79" s="5" t="s">
        <v>631</v>
      </c>
    </row>
    <row r="80" ht="15.0" customHeight="1">
      <c r="A80" s="5" t="s">
        <v>632</v>
      </c>
      <c r="B80" s="5" t="s">
        <v>633</v>
      </c>
      <c r="C80" s="5" t="s">
        <v>634</v>
      </c>
      <c r="D80" s="5" t="s">
        <v>635</v>
      </c>
      <c r="E80" s="5">
        <v>8.0</v>
      </c>
      <c r="F80" s="20"/>
      <c r="G80" s="20"/>
      <c r="H80" s="5" t="s">
        <v>40</v>
      </c>
      <c r="I80" s="5" t="s">
        <v>122</v>
      </c>
      <c r="J80" s="5" t="s">
        <v>114</v>
      </c>
      <c r="K80" s="5" t="s">
        <v>636</v>
      </c>
      <c r="L80" s="5" t="s">
        <v>637</v>
      </c>
      <c r="M80" s="5" t="s">
        <v>8</v>
      </c>
      <c r="N80" s="5" t="s">
        <v>80</v>
      </c>
      <c r="O80" s="5" t="str">
        <f>IF(B80="","",IFERROR(LOOKUP(2,1/('Call Log'!$C$2:$C$5000=B80),'Call Log'!$B$2:$B$5000),""))</f>
        <v/>
      </c>
      <c r="P80" s="5">
        <f>IF(B80="","",COUNTIFS('Call Log'!$C$2:$C$5000,B80,'Call Log'!$A$2:$A$5000,"&gt;="&amp;(TODAY()-WEEKDAY(TODAY(),2)+1)))</f>
        <v>0</v>
      </c>
      <c r="Q80" s="5">
        <f>IF(B80="","",COUNTIF('Call Log'!$C$2:$C$5000,B80))</f>
        <v>0</v>
      </c>
      <c r="R80" s="21" t="str">
        <f>IF(B80="","",IFERROR(IF(MAXIFS('Call Log'!$A$2:$A$5000,'Call Log'!$C$2:$C$5000,B80)=0,"",MAXIFS('Call Log'!$A$2:$A$5000,'Call Log'!$C$2:$C$5000,B80)),""))</f>
        <v/>
      </c>
      <c r="S80" s="5"/>
      <c r="T80" s="21"/>
      <c r="U80" s="21"/>
      <c r="V80" s="5"/>
      <c r="W80" s="20"/>
      <c r="X80" s="5"/>
      <c r="Y80" s="5"/>
      <c r="Z80" s="5" t="s">
        <v>132</v>
      </c>
      <c r="AA80" s="5" t="s">
        <v>638</v>
      </c>
    </row>
    <row r="81" ht="15.0" customHeight="1">
      <c r="A81" s="5" t="s">
        <v>639</v>
      </c>
      <c r="B81" s="5" t="s">
        <v>640</v>
      </c>
      <c r="C81" s="5" t="s">
        <v>641</v>
      </c>
      <c r="D81" s="5" t="s">
        <v>642</v>
      </c>
      <c r="E81" s="5">
        <v>12.0</v>
      </c>
      <c r="F81" s="20"/>
      <c r="G81" s="20"/>
      <c r="H81" s="5" t="s">
        <v>40</v>
      </c>
      <c r="I81" s="5" t="s">
        <v>213</v>
      </c>
      <c r="J81" s="5" t="s">
        <v>114</v>
      </c>
      <c r="K81" s="5" t="s">
        <v>643</v>
      </c>
      <c r="L81" s="5" t="s">
        <v>644</v>
      </c>
      <c r="M81" s="5" t="s">
        <v>8</v>
      </c>
      <c r="N81" s="5" t="s">
        <v>80</v>
      </c>
      <c r="O81" s="5" t="str">
        <f>IF(B81="","",IFERROR(LOOKUP(2,1/('Call Log'!$C$2:$C$5000=B81),'Call Log'!$B$2:$B$5000),""))</f>
        <v/>
      </c>
      <c r="P81" s="5">
        <f>IF(B81="","",COUNTIFS('Call Log'!$C$2:$C$5000,B81,'Call Log'!$A$2:$A$5000,"&gt;="&amp;(TODAY()-WEEKDAY(TODAY(),2)+1)))</f>
        <v>0</v>
      </c>
      <c r="Q81" s="5">
        <f>IF(B81="","",COUNTIF('Call Log'!$C$2:$C$5000,B81))</f>
        <v>0</v>
      </c>
      <c r="R81" s="21" t="str">
        <f>IF(B81="","",IFERROR(IF(MAXIFS('Call Log'!$A$2:$A$5000,'Call Log'!$C$2:$C$5000,B81)=0,"",MAXIFS('Call Log'!$A$2:$A$5000,'Call Log'!$C$2:$C$5000,B81)),""))</f>
        <v/>
      </c>
      <c r="S81" s="5"/>
      <c r="T81" s="21"/>
      <c r="U81" s="21"/>
      <c r="V81" s="5"/>
      <c r="W81" s="20"/>
      <c r="X81" s="5"/>
      <c r="Y81" s="5"/>
      <c r="Z81" s="5"/>
      <c r="AA81" s="5" t="s">
        <v>645</v>
      </c>
    </row>
    <row r="82" ht="15.0" customHeight="1">
      <c r="A82" s="5" t="s">
        <v>646</v>
      </c>
      <c r="B82" s="5" t="s">
        <v>647</v>
      </c>
      <c r="C82" s="5" t="s">
        <v>648</v>
      </c>
      <c r="D82" s="5" t="s">
        <v>649</v>
      </c>
      <c r="E82" s="5">
        <v>14.0</v>
      </c>
      <c r="F82" s="20"/>
      <c r="G82" s="20"/>
      <c r="H82" s="5" t="s">
        <v>40</v>
      </c>
      <c r="I82" s="5" t="s">
        <v>213</v>
      </c>
      <c r="J82" s="5" t="s">
        <v>114</v>
      </c>
      <c r="K82" s="5" t="s">
        <v>650</v>
      </c>
      <c r="L82" s="5" t="s">
        <v>651</v>
      </c>
      <c r="M82" s="5" t="s">
        <v>8</v>
      </c>
      <c r="N82" s="5" t="s">
        <v>80</v>
      </c>
      <c r="O82" s="5" t="str">
        <f>IF(B82="","",IFERROR(LOOKUP(2,1/('Call Log'!$C$2:$C$5000=B82),'Call Log'!$B$2:$B$5000),""))</f>
        <v/>
      </c>
      <c r="P82" s="5">
        <f>IF(B82="","",COUNTIFS('Call Log'!$C$2:$C$5000,B82,'Call Log'!$A$2:$A$5000,"&gt;="&amp;(TODAY()-WEEKDAY(TODAY(),2)+1)))</f>
        <v>0</v>
      </c>
      <c r="Q82" s="5">
        <f>IF(B82="","",COUNTIF('Call Log'!$C$2:$C$5000,B82))</f>
        <v>0</v>
      </c>
      <c r="R82" s="21" t="str">
        <f>IF(B82="","",IFERROR(IF(MAXIFS('Call Log'!$A$2:$A$5000,'Call Log'!$C$2:$C$5000,B82)=0,"",MAXIFS('Call Log'!$A$2:$A$5000,'Call Log'!$C$2:$C$5000,B82)),""))</f>
        <v/>
      </c>
      <c r="S82" s="5"/>
      <c r="T82" s="21"/>
      <c r="U82" s="21"/>
      <c r="V82" s="5"/>
      <c r="W82" s="20"/>
      <c r="X82" s="5"/>
      <c r="Y82" s="5"/>
      <c r="Z82" s="5" t="s">
        <v>132</v>
      </c>
      <c r="AA82" s="5" t="s">
        <v>652</v>
      </c>
    </row>
    <row r="83" ht="15.0" customHeight="1">
      <c r="A83" s="5" t="s">
        <v>653</v>
      </c>
      <c r="B83" s="5" t="s">
        <v>654</v>
      </c>
      <c r="C83" s="5" t="s">
        <v>376</v>
      </c>
      <c r="D83" s="5" t="s">
        <v>655</v>
      </c>
      <c r="E83" s="5">
        <v>30.0</v>
      </c>
      <c r="F83" s="20"/>
      <c r="G83" s="20"/>
      <c r="H83" s="5" t="s">
        <v>40</v>
      </c>
      <c r="I83" s="5" t="s">
        <v>175</v>
      </c>
      <c r="J83" s="5" t="s">
        <v>114</v>
      </c>
      <c r="K83" s="5" t="s">
        <v>656</v>
      </c>
      <c r="L83" s="5"/>
      <c r="M83" s="5" t="s">
        <v>8</v>
      </c>
      <c r="N83" s="5" t="s">
        <v>80</v>
      </c>
      <c r="O83" s="5" t="str">
        <f>IF(B83="","",IFERROR(LOOKUP(2,1/('Call Log'!$C$2:$C$5000=B83),'Call Log'!$B$2:$B$5000),""))</f>
        <v/>
      </c>
      <c r="P83" s="5">
        <f>IF(B83="","",COUNTIFS('Call Log'!$C$2:$C$5000,B83,'Call Log'!$A$2:$A$5000,"&gt;="&amp;(TODAY()-WEEKDAY(TODAY(),2)+1)))</f>
        <v>0</v>
      </c>
      <c r="Q83" s="5">
        <f>IF(B83="","",COUNTIF('Call Log'!$C$2:$C$5000,B83))</f>
        <v>0</v>
      </c>
      <c r="R83" s="21" t="str">
        <f>IF(B83="","",IFERROR(IF(MAXIFS('Call Log'!$A$2:$A$5000,'Call Log'!$C$2:$C$5000,B83)=0,"",MAXIFS('Call Log'!$A$2:$A$5000,'Call Log'!$C$2:$C$5000,B83)),""))</f>
        <v/>
      </c>
      <c r="S83" s="5"/>
      <c r="T83" s="21"/>
      <c r="U83" s="21"/>
      <c r="V83" s="5"/>
      <c r="W83" s="20"/>
      <c r="X83" s="5"/>
      <c r="Y83" s="5"/>
      <c r="Z83" s="5" t="s">
        <v>178</v>
      </c>
      <c r="AA83" s="5" t="s">
        <v>657</v>
      </c>
    </row>
    <row r="84" ht="15.0" customHeight="1">
      <c r="A84" s="5" t="s">
        <v>658</v>
      </c>
      <c r="B84" s="5" t="s">
        <v>659</v>
      </c>
      <c r="C84" s="5" t="s">
        <v>660</v>
      </c>
      <c r="D84" s="5" t="s">
        <v>661</v>
      </c>
      <c r="E84" s="5">
        <v>5.0</v>
      </c>
      <c r="F84" s="20"/>
      <c r="G84" s="20"/>
      <c r="H84" s="5" t="s">
        <v>40</v>
      </c>
      <c r="I84" s="5" t="s">
        <v>429</v>
      </c>
      <c r="J84" s="5" t="s">
        <v>114</v>
      </c>
      <c r="K84" s="5" t="s">
        <v>661</v>
      </c>
      <c r="L84" s="5"/>
      <c r="M84" s="5" t="s">
        <v>8</v>
      </c>
      <c r="N84" s="5" t="s">
        <v>80</v>
      </c>
      <c r="O84" s="5" t="str">
        <f>IF(B84="","",IFERROR(LOOKUP(2,1/('Call Log'!$C$2:$C$5000=B84),'Call Log'!$B$2:$B$5000),""))</f>
        <v/>
      </c>
      <c r="P84" s="5">
        <f>IF(B84="","",COUNTIFS('Call Log'!$C$2:$C$5000,B84,'Call Log'!$A$2:$A$5000,"&gt;="&amp;(TODAY()-WEEKDAY(TODAY(),2)+1)))</f>
        <v>0</v>
      </c>
      <c r="Q84" s="5">
        <f>IF(B84="","",COUNTIF('Call Log'!$C$2:$C$5000,B84))</f>
        <v>0</v>
      </c>
      <c r="R84" s="21" t="str">
        <f>IF(B84="","",IFERROR(IF(MAXIFS('Call Log'!$A$2:$A$5000,'Call Log'!$C$2:$C$5000,B84)=0,"",MAXIFS('Call Log'!$A$2:$A$5000,'Call Log'!$C$2:$C$5000,B84)),""))</f>
        <v/>
      </c>
      <c r="S84" s="5"/>
      <c r="T84" s="21"/>
      <c r="U84" s="21"/>
      <c r="V84" s="5"/>
      <c r="W84" s="20"/>
      <c r="X84" s="5"/>
      <c r="Y84" s="5"/>
      <c r="Z84" s="5" t="s">
        <v>132</v>
      </c>
      <c r="AA84" s="5" t="s">
        <v>662</v>
      </c>
    </row>
    <row r="85" ht="15.0" customHeight="1">
      <c r="A85" s="5" t="s">
        <v>663</v>
      </c>
      <c r="B85" s="5" t="s">
        <v>664</v>
      </c>
      <c r="C85" s="5" t="s">
        <v>665</v>
      </c>
      <c r="D85" s="5" t="s">
        <v>666</v>
      </c>
      <c r="E85" s="5">
        <v>6.0</v>
      </c>
      <c r="F85" s="20"/>
      <c r="G85" s="20"/>
      <c r="H85" s="5" t="s">
        <v>40</v>
      </c>
      <c r="I85" s="5" t="s">
        <v>667</v>
      </c>
      <c r="J85" s="5" t="s">
        <v>114</v>
      </c>
      <c r="K85" s="5" t="s">
        <v>668</v>
      </c>
      <c r="L85" s="5" t="s">
        <v>669</v>
      </c>
      <c r="M85" s="5" t="s">
        <v>8</v>
      </c>
      <c r="N85" s="5" t="s">
        <v>80</v>
      </c>
      <c r="O85" s="5" t="str">
        <f>IF(B85="","",IFERROR(LOOKUP(2,1/('Call Log'!$C$2:$C$5000=B85),'Call Log'!$B$2:$B$5000),""))</f>
        <v/>
      </c>
      <c r="P85" s="5">
        <f>IF(B85="","",COUNTIFS('Call Log'!$C$2:$C$5000,B85,'Call Log'!$A$2:$A$5000,"&gt;="&amp;(TODAY()-WEEKDAY(TODAY(),2)+1)))</f>
        <v>0</v>
      </c>
      <c r="Q85" s="5">
        <f>IF(B85="","",COUNTIF('Call Log'!$C$2:$C$5000,B85))</f>
        <v>0</v>
      </c>
      <c r="R85" s="21" t="str">
        <f>IF(B85="","",IFERROR(IF(MAXIFS('Call Log'!$A$2:$A$5000,'Call Log'!$C$2:$C$5000,B85)=0,"",MAXIFS('Call Log'!$A$2:$A$5000,'Call Log'!$C$2:$C$5000,B85)),""))</f>
        <v/>
      </c>
      <c r="S85" s="5"/>
      <c r="T85" s="21"/>
      <c r="U85" s="21"/>
      <c r="V85" s="5"/>
      <c r="W85" s="20"/>
      <c r="X85" s="5"/>
      <c r="Y85" s="5"/>
      <c r="Z85" s="5" t="s">
        <v>132</v>
      </c>
      <c r="AA85" s="5" t="s">
        <v>670</v>
      </c>
    </row>
    <row r="86" ht="15.0" customHeight="1">
      <c r="A86" s="5" t="s">
        <v>671</v>
      </c>
      <c r="B86" s="5" t="s">
        <v>672</v>
      </c>
      <c r="C86" s="5" t="s">
        <v>673</v>
      </c>
      <c r="D86" s="5" t="s">
        <v>674</v>
      </c>
      <c r="E86" s="5">
        <v>12.0</v>
      </c>
      <c r="F86" s="20"/>
      <c r="G86" s="20"/>
      <c r="H86" s="5" t="s">
        <v>41</v>
      </c>
      <c r="I86" s="5" t="s">
        <v>122</v>
      </c>
      <c r="J86" s="5" t="s">
        <v>114</v>
      </c>
      <c r="K86" s="5" t="s">
        <v>675</v>
      </c>
      <c r="L86" s="5" t="s">
        <v>676</v>
      </c>
      <c r="M86" s="5" t="s">
        <v>8</v>
      </c>
      <c r="N86" s="5" t="s">
        <v>80</v>
      </c>
      <c r="O86" s="5" t="str">
        <f>IF(B86="","",IFERROR(LOOKUP(2,1/('Call Log'!$C$2:$C$5000=B86),'Call Log'!$B$2:$B$5000),""))</f>
        <v/>
      </c>
      <c r="P86" s="5">
        <f>IF(B86="","",COUNTIFS('Call Log'!$C$2:$C$5000,B86,'Call Log'!$A$2:$A$5000,"&gt;="&amp;(TODAY()-WEEKDAY(TODAY(),2)+1)))</f>
        <v>0</v>
      </c>
      <c r="Q86" s="5">
        <f>IF(B86="","",COUNTIF('Call Log'!$C$2:$C$5000,B86))</f>
        <v>0</v>
      </c>
      <c r="R86" s="21" t="str">
        <f>IF(B86="","",IFERROR(IF(MAXIFS('Call Log'!$A$2:$A$5000,'Call Log'!$C$2:$C$5000,B86)=0,"",MAXIFS('Call Log'!$A$2:$A$5000,'Call Log'!$C$2:$C$5000,B86)),""))</f>
        <v/>
      </c>
      <c r="S86" s="5"/>
      <c r="T86" s="21"/>
      <c r="U86" s="21"/>
      <c r="V86" s="5"/>
      <c r="W86" s="20"/>
      <c r="X86" s="5"/>
      <c r="Y86" s="5"/>
      <c r="Z86" s="5" t="s">
        <v>178</v>
      </c>
      <c r="AA86" s="5" t="s">
        <v>677</v>
      </c>
    </row>
    <row r="87" ht="15.0" customHeight="1">
      <c r="A87" s="5" t="s">
        <v>678</v>
      </c>
      <c r="B87" s="5" t="s">
        <v>679</v>
      </c>
      <c r="C87" s="5" t="s">
        <v>680</v>
      </c>
      <c r="D87" s="5" t="s">
        <v>681</v>
      </c>
      <c r="E87" s="5">
        <v>5.0</v>
      </c>
      <c r="F87" s="20"/>
      <c r="G87" s="20"/>
      <c r="H87" s="5" t="s">
        <v>40</v>
      </c>
      <c r="I87" s="5" t="s">
        <v>146</v>
      </c>
      <c r="J87" s="5" t="s">
        <v>114</v>
      </c>
      <c r="K87" s="5" t="s">
        <v>682</v>
      </c>
      <c r="L87" s="5"/>
      <c r="M87" s="5" t="s">
        <v>8</v>
      </c>
      <c r="N87" s="5" t="s">
        <v>80</v>
      </c>
      <c r="O87" s="5" t="str">
        <f>IF(B87="","",IFERROR(LOOKUP(2,1/('Call Log'!$C$2:$C$5000=B87),'Call Log'!$B$2:$B$5000),""))</f>
        <v/>
      </c>
      <c r="P87" s="5">
        <f>IF(B87="","",COUNTIFS('Call Log'!$C$2:$C$5000,B87,'Call Log'!$A$2:$A$5000,"&gt;="&amp;(TODAY()-WEEKDAY(TODAY(),2)+1)))</f>
        <v>0</v>
      </c>
      <c r="Q87" s="5">
        <f>IF(B87="","",COUNTIF('Call Log'!$C$2:$C$5000,B87))</f>
        <v>0</v>
      </c>
      <c r="R87" s="21" t="str">
        <f>IF(B87="","",IFERROR(IF(MAXIFS('Call Log'!$A$2:$A$5000,'Call Log'!$C$2:$C$5000,B87)=0,"",MAXIFS('Call Log'!$A$2:$A$5000,'Call Log'!$C$2:$C$5000,B87)),""))</f>
        <v/>
      </c>
      <c r="S87" s="5"/>
      <c r="T87" s="21"/>
      <c r="U87" s="21"/>
      <c r="V87" s="5"/>
      <c r="W87" s="20"/>
      <c r="X87" s="5"/>
      <c r="Y87" s="5"/>
      <c r="Z87" s="5" t="s">
        <v>132</v>
      </c>
      <c r="AA87" s="5" t="s">
        <v>683</v>
      </c>
    </row>
    <row r="88" ht="15.0" customHeight="1">
      <c r="A88" s="5" t="s">
        <v>684</v>
      </c>
      <c r="B88" s="5" t="s">
        <v>685</v>
      </c>
      <c r="C88" s="5" t="s">
        <v>686</v>
      </c>
      <c r="D88" s="5" t="s">
        <v>687</v>
      </c>
      <c r="E88" s="5">
        <v>30.0</v>
      </c>
      <c r="F88" s="20"/>
      <c r="G88" s="20"/>
      <c r="H88" s="5" t="s">
        <v>40</v>
      </c>
      <c r="I88" s="5" t="s">
        <v>122</v>
      </c>
      <c r="J88" s="5" t="s">
        <v>114</v>
      </c>
      <c r="K88" s="5" t="s">
        <v>688</v>
      </c>
      <c r="L88" s="5" t="s">
        <v>689</v>
      </c>
      <c r="M88" s="5" t="s">
        <v>8</v>
      </c>
      <c r="N88" s="5" t="s">
        <v>80</v>
      </c>
      <c r="O88" s="5" t="str">
        <f>IF(B88="","",IFERROR(LOOKUP(2,1/('Call Log'!$C$2:$C$5000=B88),'Call Log'!$B$2:$B$5000),""))</f>
        <v/>
      </c>
      <c r="P88" s="5">
        <f>IF(B88="","",COUNTIFS('Call Log'!$C$2:$C$5000,B88,'Call Log'!$A$2:$A$5000,"&gt;="&amp;(TODAY()-WEEKDAY(TODAY(),2)+1)))</f>
        <v>0</v>
      </c>
      <c r="Q88" s="5">
        <f>IF(B88="","",COUNTIF('Call Log'!$C$2:$C$5000,B88))</f>
        <v>0</v>
      </c>
      <c r="R88" s="21" t="str">
        <f>IF(B88="","",IFERROR(IF(MAXIFS('Call Log'!$A$2:$A$5000,'Call Log'!$C$2:$C$5000,B88)=0,"",MAXIFS('Call Log'!$A$2:$A$5000,'Call Log'!$C$2:$C$5000,B88)),""))</f>
        <v/>
      </c>
      <c r="S88" s="5"/>
      <c r="T88" s="21"/>
      <c r="U88" s="21"/>
      <c r="V88" s="5"/>
      <c r="W88" s="20"/>
      <c r="X88" s="5"/>
      <c r="Y88" s="5"/>
      <c r="Z88" s="5" t="s">
        <v>178</v>
      </c>
      <c r="AA88" s="5" t="s">
        <v>690</v>
      </c>
    </row>
    <row r="89" ht="15.0" customHeight="1">
      <c r="A89" s="5" t="s">
        <v>691</v>
      </c>
      <c r="B89" s="5" t="s">
        <v>692</v>
      </c>
      <c r="C89" s="5" t="s">
        <v>693</v>
      </c>
      <c r="D89" s="5" t="s">
        <v>694</v>
      </c>
      <c r="E89" s="5">
        <v>2.0</v>
      </c>
      <c r="F89" s="20"/>
      <c r="G89" s="20"/>
      <c r="H89" s="5" t="s">
        <v>40</v>
      </c>
      <c r="I89" s="5" t="s">
        <v>122</v>
      </c>
      <c r="J89" s="5" t="s">
        <v>114</v>
      </c>
      <c r="K89" s="5" t="s">
        <v>695</v>
      </c>
      <c r="L89" s="5" t="s">
        <v>696</v>
      </c>
      <c r="M89" s="5" t="s">
        <v>8</v>
      </c>
      <c r="N89" s="5" t="s">
        <v>80</v>
      </c>
      <c r="O89" s="5" t="str">
        <f>IF(B89="","",IFERROR(LOOKUP(2,1/('Call Log'!$C$2:$C$5000=B89),'Call Log'!$B$2:$B$5000),""))</f>
        <v/>
      </c>
      <c r="P89" s="5">
        <f>IF(B89="","",COUNTIFS('Call Log'!$C$2:$C$5000,B89,'Call Log'!$A$2:$A$5000,"&gt;="&amp;(TODAY()-WEEKDAY(TODAY(),2)+1)))</f>
        <v>0</v>
      </c>
      <c r="Q89" s="5">
        <f>IF(B89="","",COUNTIF('Call Log'!$C$2:$C$5000,B89))</f>
        <v>0</v>
      </c>
      <c r="R89" s="21" t="str">
        <f>IF(B89="","",IFERROR(IF(MAXIFS('Call Log'!$A$2:$A$5000,'Call Log'!$C$2:$C$5000,B89)=0,"",MAXIFS('Call Log'!$A$2:$A$5000,'Call Log'!$C$2:$C$5000,B89)),""))</f>
        <v/>
      </c>
      <c r="S89" s="5"/>
      <c r="T89" s="21"/>
      <c r="U89" s="21"/>
      <c r="V89" s="5"/>
      <c r="W89" s="20"/>
      <c r="X89" s="5"/>
      <c r="Y89" s="5"/>
      <c r="Z89" s="5" t="s">
        <v>132</v>
      </c>
      <c r="AA89" s="5" t="s">
        <v>697</v>
      </c>
    </row>
    <row r="90" ht="15.0" customHeight="1">
      <c r="A90" s="5" t="s">
        <v>698</v>
      </c>
      <c r="B90" s="5" t="s">
        <v>699</v>
      </c>
      <c r="C90" s="5" t="s">
        <v>700</v>
      </c>
      <c r="D90" s="5" t="s">
        <v>701</v>
      </c>
      <c r="E90" s="5">
        <v>3.0</v>
      </c>
      <c r="F90" s="20"/>
      <c r="G90" s="20"/>
      <c r="H90" s="5" t="s">
        <v>40</v>
      </c>
      <c r="I90" s="5" t="s">
        <v>161</v>
      </c>
      <c r="J90" s="5" t="s">
        <v>114</v>
      </c>
      <c r="K90" s="5" t="s">
        <v>702</v>
      </c>
      <c r="L90" s="5"/>
      <c r="M90" s="5" t="s">
        <v>8</v>
      </c>
      <c r="N90" s="5" t="s">
        <v>80</v>
      </c>
      <c r="O90" s="5" t="str">
        <f>IF(B90="","",IFERROR(LOOKUP(2,1/('Call Log'!$C$2:$C$5000=B90),'Call Log'!$B$2:$B$5000),""))</f>
        <v/>
      </c>
      <c r="P90" s="5">
        <f>IF(B90="","",COUNTIFS('Call Log'!$C$2:$C$5000,B90,'Call Log'!$A$2:$A$5000,"&gt;="&amp;(TODAY()-WEEKDAY(TODAY(),2)+1)))</f>
        <v>0</v>
      </c>
      <c r="Q90" s="5">
        <f>IF(B90="","",COUNTIF('Call Log'!$C$2:$C$5000,B90))</f>
        <v>0</v>
      </c>
      <c r="R90" s="21" t="str">
        <f>IF(B90="","",IFERROR(IF(MAXIFS('Call Log'!$A$2:$A$5000,'Call Log'!$C$2:$C$5000,B90)=0,"",MAXIFS('Call Log'!$A$2:$A$5000,'Call Log'!$C$2:$C$5000,B90)),""))</f>
        <v/>
      </c>
      <c r="S90" s="5"/>
      <c r="T90" s="21"/>
      <c r="U90" s="21"/>
      <c r="V90" s="5"/>
      <c r="W90" s="20"/>
      <c r="X90" s="5"/>
      <c r="Y90" s="5"/>
      <c r="Z90" s="5" t="s">
        <v>132</v>
      </c>
      <c r="AA90" s="5" t="s">
        <v>703</v>
      </c>
    </row>
    <row r="91" ht="15.0" customHeight="1">
      <c r="A91" s="5" t="s">
        <v>704</v>
      </c>
      <c r="B91" s="5" t="s">
        <v>705</v>
      </c>
      <c r="C91" s="5" t="s">
        <v>706</v>
      </c>
      <c r="D91" s="5" t="s">
        <v>707</v>
      </c>
      <c r="E91" s="5">
        <v>1.0</v>
      </c>
      <c r="F91" s="20"/>
      <c r="G91" s="20"/>
      <c r="H91" s="5" t="s">
        <v>40</v>
      </c>
      <c r="I91" s="5" t="s">
        <v>708</v>
      </c>
      <c r="J91" s="5" t="s">
        <v>114</v>
      </c>
      <c r="K91" s="5" t="s">
        <v>709</v>
      </c>
      <c r="L91" s="5"/>
      <c r="M91" s="5" t="s">
        <v>8</v>
      </c>
      <c r="N91" s="5" t="s">
        <v>80</v>
      </c>
      <c r="O91" s="5" t="str">
        <f>IF(B91="","",IFERROR(LOOKUP(2,1/('Call Log'!$C$2:$C$5000=B91),'Call Log'!$B$2:$B$5000),""))</f>
        <v/>
      </c>
      <c r="P91" s="5">
        <f>IF(B91="","",COUNTIFS('Call Log'!$C$2:$C$5000,B91,'Call Log'!$A$2:$A$5000,"&gt;="&amp;(TODAY()-WEEKDAY(TODAY(),2)+1)))</f>
        <v>0</v>
      </c>
      <c r="Q91" s="5">
        <f>IF(B91="","",COUNTIF('Call Log'!$C$2:$C$5000,B91))</f>
        <v>0</v>
      </c>
      <c r="R91" s="21" t="str">
        <f>IF(B91="","",IFERROR(IF(MAXIFS('Call Log'!$A$2:$A$5000,'Call Log'!$C$2:$C$5000,B91)=0,"",MAXIFS('Call Log'!$A$2:$A$5000,'Call Log'!$C$2:$C$5000,B91)),""))</f>
        <v/>
      </c>
      <c r="S91" s="5"/>
      <c r="T91" s="21"/>
      <c r="U91" s="21"/>
      <c r="V91" s="5"/>
      <c r="W91" s="20"/>
      <c r="X91" s="5"/>
      <c r="Y91" s="5"/>
      <c r="Z91" s="5" t="s">
        <v>132</v>
      </c>
      <c r="AA91" s="5" t="s">
        <v>710</v>
      </c>
    </row>
    <row r="92" ht="15.0" customHeight="1">
      <c r="A92" s="5" t="s">
        <v>711</v>
      </c>
      <c r="B92" s="5" t="s">
        <v>712</v>
      </c>
      <c r="C92" s="5" t="s">
        <v>713</v>
      </c>
      <c r="D92" s="5" t="s">
        <v>714</v>
      </c>
      <c r="E92" s="5">
        <v>4.0</v>
      </c>
      <c r="F92" s="20"/>
      <c r="G92" s="20"/>
      <c r="H92" s="5" t="s">
        <v>41</v>
      </c>
      <c r="I92" s="5" t="s">
        <v>246</v>
      </c>
      <c r="J92" s="5" t="s">
        <v>114</v>
      </c>
      <c r="K92" s="5" t="s">
        <v>715</v>
      </c>
      <c r="L92" s="5"/>
      <c r="M92" s="5" t="s">
        <v>8</v>
      </c>
      <c r="N92" s="5" t="s">
        <v>80</v>
      </c>
      <c r="O92" s="5" t="str">
        <f>IF(B92="","",IFERROR(LOOKUP(2,1/('Call Log'!$C$2:$C$5000=B92),'Call Log'!$B$2:$B$5000),""))</f>
        <v/>
      </c>
      <c r="P92" s="5">
        <f>IF(B92="","",COUNTIFS('Call Log'!$C$2:$C$5000,B92,'Call Log'!$A$2:$A$5000,"&gt;="&amp;(TODAY()-WEEKDAY(TODAY(),2)+1)))</f>
        <v>0</v>
      </c>
      <c r="Q92" s="5">
        <f>IF(B92="","",COUNTIF('Call Log'!$C$2:$C$5000,B92))</f>
        <v>0</v>
      </c>
      <c r="R92" s="21" t="str">
        <f>IF(B92="","",IFERROR(IF(MAXIFS('Call Log'!$A$2:$A$5000,'Call Log'!$C$2:$C$5000,B92)=0,"",MAXIFS('Call Log'!$A$2:$A$5000,'Call Log'!$C$2:$C$5000,B92)),""))</f>
        <v/>
      </c>
      <c r="S92" s="5"/>
      <c r="T92" s="21"/>
      <c r="U92" s="21"/>
      <c r="V92" s="5"/>
      <c r="W92" s="20"/>
      <c r="X92" s="5"/>
      <c r="Y92" s="5"/>
      <c r="Z92" s="5" t="s">
        <v>178</v>
      </c>
      <c r="AA92" s="5" t="s">
        <v>716</v>
      </c>
    </row>
    <row r="93" ht="15.0" customHeight="1">
      <c r="A93" s="5" t="s">
        <v>717</v>
      </c>
      <c r="B93" s="5" t="s">
        <v>718</v>
      </c>
      <c r="C93" s="5" t="s">
        <v>719</v>
      </c>
      <c r="D93" s="5" t="s">
        <v>720</v>
      </c>
      <c r="E93" s="5">
        <v>6.0</v>
      </c>
      <c r="F93" s="20"/>
      <c r="G93" s="20"/>
      <c r="H93" s="5" t="s">
        <v>40</v>
      </c>
      <c r="I93" s="5" t="s">
        <v>721</v>
      </c>
      <c r="J93" s="5" t="s">
        <v>114</v>
      </c>
      <c r="K93" s="5" t="s">
        <v>722</v>
      </c>
      <c r="L93" s="5" t="s">
        <v>723</v>
      </c>
      <c r="M93" s="5" t="s">
        <v>8</v>
      </c>
      <c r="N93" s="5" t="s">
        <v>80</v>
      </c>
      <c r="O93" s="5" t="str">
        <f>IF(B93="","",IFERROR(LOOKUP(2,1/('Call Log'!$C$2:$C$5000=B93),'Call Log'!$B$2:$B$5000),""))</f>
        <v/>
      </c>
      <c r="P93" s="5">
        <f>IF(B93="","",COUNTIFS('Call Log'!$C$2:$C$5000,B93,'Call Log'!$A$2:$A$5000,"&gt;="&amp;(TODAY()-WEEKDAY(TODAY(),2)+1)))</f>
        <v>0</v>
      </c>
      <c r="Q93" s="5">
        <f>IF(B93="","",COUNTIF('Call Log'!$C$2:$C$5000,B93))</f>
        <v>0</v>
      </c>
      <c r="R93" s="21" t="str">
        <f>IF(B93="","",IFERROR(IF(MAXIFS('Call Log'!$A$2:$A$5000,'Call Log'!$C$2:$C$5000,B93)=0,"",MAXIFS('Call Log'!$A$2:$A$5000,'Call Log'!$C$2:$C$5000,B93)),""))</f>
        <v/>
      </c>
      <c r="S93" s="5"/>
      <c r="T93" s="21"/>
      <c r="U93" s="21"/>
      <c r="V93" s="5"/>
      <c r="W93" s="20"/>
      <c r="X93" s="5"/>
      <c r="Y93" s="5"/>
      <c r="Z93" s="5"/>
      <c r="AA93" s="5" t="s">
        <v>724</v>
      </c>
    </row>
    <row r="94" ht="15.0" customHeight="1">
      <c r="A94" s="5" t="s">
        <v>725</v>
      </c>
      <c r="B94" s="5" t="s">
        <v>726</v>
      </c>
      <c r="C94" s="5" t="s">
        <v>727</v>
      </c>
      <c r="D94" s="5" t="s">
        <v>728</v>
      </c>
      <c r="E94" s="5">
        <v>3.0</v>
      </c>
      <c r="F94" s="20"/>
      <c r="G94" s="20"/>
      <c r="H94" s="5" t="s">
        <v>40</v>
      </c>
      <c r="I94" s="5" t="s">
        <v>594</v>
      </c>
      <c r="J94" s="5" t="s">
        <v>114</v>
      </c>
      <c r="K94" s="5" t="s">
        <v>729</v>
      </c>
      <c r="L94" s="5" t="s">
        <v>730</v>
      </c>
      <c r="M94" s="5" t="s">
        <v>8</v>
      </c>
      <c r="N94" s="5" t="s">
        <v>80</v>
      </c>
      <c r="O94" s="5" t="str">
        <f>IF(B94="","",IFERROR(LOOKUP(2,1/('Call Log'!$C$2:$C$5000=B94),'Call Log'!$B$2:$B$5000),""))</f>
        <v/>
      </c>
      <c r="P94" s="5">
        <f>IF(B94="","",COUNTIFS('Call Log'!$C$2:$C$5000,B94,'Call Log'!$A$2:$A$5000,"&gt;="&amp;(TODAY()-WEEKDAY(TODAY(),2)+1)))</f>
        <v>0</v>
      </c>
      <c r="Q94" s="5">
        <f>IF(B94="","",COUNTIF('Call Log'!$C$2:$C$5000,B94))</f>
        <v>0</v>
      </c>
      <c r="R94" s="21" t="str">
        <f>IF(B94="","",IFERROR(IF(MAXIFS('Call Log'!$A$2:$A$5000,'Call Log'!$C$2:$C$5000,B94)=0,"",MAXIFS('Call Log'!$A$2:$A$5000,'Call Log'!$C$2:$C$5000,B94)),""))</f>
        <v/>
      </c>
      <c r="S94" s="5"/>
      <c r="T94" s="21"/>
      <c r="U94" s="21"/>
      <c r="V94" s="5"/>
      <c r="W94" s="20"/>
      <c r="X94" s="5"/>
      <c r="Y94" s="5"/>
      <c r="Z94" s="5" t="s">
        <v>132</v>
      </c>
      <c r="AA94" s="5" t="s">
        <v>731</v>
      </c>
    </row>
    <row r="95" ht="15.0" customHeight="1">
      <c r="A95" s="5" t="s">
        <v>732</v>
      </c>
      <c r="B95" s="5" t="s">
        <v>733</v>
      </c>
      <c r="C95" s="5" t="s">
        <v>734</v>
      </c>
      <c r="D95" s="5" t="s">
        <v>735</v>
      </c>
      <c r="E95" s="5">
        <v>7.0</v>
      </c>
      <c r="F95" s="20"/>
      <c r="G95" s="20"/>
      <c r="H95" s="5" t="s">
        <v>41</v>
      </c>
      <c r="I95" s="5" t="s">
        <v>146</v>
      </c>
      <c r="J95" s="5" t="s">
        <v>114</v>
      </c>
      <c r="K95" s="5" t="s">
        <v>736</v>
      </c>
      <c r="L95" s="5" t="s">
        <v>737</v>
      </c>
      <c r="M95" s="5" t="s">
        <v>8</v>
      </c>
      <c r="N95" s="5" t="s">
        <v>80</v>
      </c>
      <c r="O95" s="5" t="str">
        <f>IF(B95="","",IFERROR(LOOKUP(2,1/('Call Log'!$C$2:$C$5000=B95),'Call Log'!$B$2:$B$5000),""))</f>
        <v/>
      </c>
      <c r="P95" s="5">
        <f>IF(B95="","",COUNTIFS('Call Log'!$C$2:$C$5000,B95,'Call Log'!$A$2:$A$5000,"&gt;="&amp;(TODAY()-WEEKDAY(TODAY(),2)+1)))</f>
        <v>0</v>
      </c>
      <c r="Q95" s="5">
        <f>IF(B95="","",COUNTIF('Call Log'!$C$2:$C$5000,B95))</f>
        <v>0</v>
      </c>
      <c r="R95" s="21" t="str">
        <f>IF(B95="","",IFERROR(IF(MAXIFS('Call Log'!$A$2:$A$5000,'Call Log'!$C$2:$C$5000,B95)=0,"",MAXIFS('Call Log'!$A$2:$A$5000,'Call Log'!$C$2:$C$5000,B95)),""))</f>
        <v/>
      </c>
      <c r="S95" s="5"/>
      <c r="T95" s="21"/>
      <c r="U95" s="21"/>
      <c r="V95" s="5"/>
      <c r="W95" s="20"/>
      <c r="X95" s="5"/>
      <c r="Y95" s="5"/>
      <c r="Z95" s="5" t="s">
        <v>132</v>
      </c>
      <c r="AA95" s="5" t="s">
        <v>738</v>
      </c>
    </row>
    <row r="96" ht="15.0" customHeight="1">
      <c r="A96" s="5" t="s">
        <v>739</v>
      </c>
      <c r="B96" s="5" t="s">
        <v>740</v>
      </c>
      <c r="C96" s="5" t="s">
        <v>741</v>
      </c>
      <c r="D96" s="5" t="s">
        <v>742</v>
      </c>
      <c r="E96" s="5">
        <v>2.0</v>
      </c>
      <c r="F96" s="20"/>
      <c r="G96" s="20"/>
      <c r="H96" s="5" t="s">
        <v>41</v>
      </c>
      <c r="I96" s="5" t="s">
        <v>594</v>
      </c>
      <c r="J96" s="5" t="s">
        <v>114</v>
      </c>
      <c r="K96" s="5" t="s">
        <v>743</v>
      </c>
      <c r="L96" s="5"/>
      <c r="M96" s="5" t="s">
        <v>8</v>
      </c>
      <c r="N96" s="5" t="s">
        <v>80</v>
      </c>
      <c r="O96" s="5" t="str">
        <f>IF(B96="","",IFERROR(LOOKUP(2,1/('Call Log'!$C$2:$C$5000=B96),'Call Log'!$B$2:$B$5000),""))</f>
        <v/>
      </c>
      <c r="P96" s="5">
        <f>IF(B96="","",COUNTIFS('Call Log'!$C$2:$C$5000,B96,'Call Log'!$A$2:$A$5000,"&gt;="&amp;(TODAY()-WEEKDAY(TODAY(),2)+1)))</f>
        <v>0</v>
      </c>
      <c r="Q96" s="5">
        <f>IF(B96="","",COUNTIF('Call Log'!$C$2:$C$5000,B96))</f>
        <v>0</v>
      </c>
      <c r="R96" s="21" t="str">
        <f>IF(B96="","",IFERROR(IF(MAXIFS('Call Log'!$A$2:$A$5000,'Call Log'!$C$2:$C$5000,B96)=0,"",MAXIFS('Call Log'!$A$2:$A$5000,'Call Log'!$C$2:$C$5000,B96)),""))</f>
        <v/>
      </c>
      <c r="S96" s="5"/>
      <c r="T96" s="21"/>
      <c r="U96" s="21"/>
      <c r="V96" s="5"/>
      <c r="W96" s="20"/>
      <c r="X96" s="5"/>
      <c r="Y96" s="5"/>
      <c r="Z96" s="5" t="s">
        <v>132</v>
      </c>
      <c r="AA96" s="5" t="s">
        <v>744</v>
      </c>
    </row>
    <row r="97" ht="15.0" customHeight="1">
      <c r="A97" s="5" t="s">
        <v>745</v>
      </c>
      <c r="B97" s="5" t="s">
        <v>746</v>
      </c>
      <c r="C97" s="5" t="s">
        <v>747</v>
      </c>
      <c r="D97" s="5" t="s">
        <v>748</v>
      </c>
      <c r="E97" s="5">
        <v>6.0</v>
      </c>
      <c r="F97" s="20"/>
      <c r="G97" s="20"/>
      <c r="H97" s="5" t="s">
        <v>40</v>
      </c>
      <c r="I97" s="5" t="s">
        <v>154</v>
      </c>
      <c r="J97" s="5" t="s">
        <v>114</v>
      </c>
      <c r="K97" s="5" t="s">
        <v>749</v>
      </c>
      <c r="L97" s="5" t="s">
        <v>750</v>
      </c>
      <c r="M97" s="5" t="s">
        <v>8</v>
      </c>
      <c r="N97" s="5" t="s">
        <v>80</v>
      </c>
      <c r="O97" s="5" t="str">
        <f>IF(B97="","",IFERROR(LOOKUP(2,1/('Call Log'!$C$2:$C$5000=B97),'Call Log'!$B$2:$B$5000),""))</f>
        <v/>
      </c>
      <c r="P97" s="5">
        <f>IF(B97="","",COUNTIFS('Call Log'!$C$2:$C$5000,B97,'Call Log'!$A$2:$A$5000,"&gt;="&amp;(TODAY()-WEEKDAY(TODAY(),2)+1)))</f>
        <v>0</v>
      </c>
      <c r="Q97" s="5">
        <f>IF(B97="","",COUNTIF('Call Log'!$C$2:$C$5000,B97))</f>
        <v>0</v>
      </c>
      <c r="R97" s="21" t="str">
        <f>IF(B97="","",IFERROR(IF(MAXIFS('Call Log'!$A$2:$A$5000,'Call Log'!$C$2:$C$5000,B97)=0,"",MAXIFS('Call Log'!$A$2:$A$5000,'Call Log'!$C$2:$C$5000,B97)),""))</f>
        <v/>
      </c>
      <c r="S97" s="5"/>
      <c r="T97" s="21"/>
      <c r="U97" s="21"/>
      <c r="V97" s="5"/>
      <c r="W97" s="20"/>
      <c r="X97" s="5"/>
      <c r="Y97" s="5"/>
      <c r="Z97" s="5" t="s">
        <v>132</v>
      </c>
      <c r="AA97" s="5" t="s">
        <v>751</v>
      </c>
    </row>
    <row r="98" ht="15.0" customHeight="1">
      <c r="A98" s="5" t="s">
        <v>752</v>
      </c>
      <c r="B98" s="5" t="s">
        <v>753</v>
      </c>
      <c r="C98" s="5" t="s">
        <v>754</v>
      </c>
      <c r="D98" s="5" t="s">
        <v>755</v>
      </c>
      <c r="E98" s="5">
        <v>4.0</v>
      </c>
      <c r="F98" s="20"/>
      <c r="G98" s="20"/>
      <c r="H98" s="5" t="s">
        <v>41</v>
      </c>
      <c r="I98" s="5" t="s">
        <v>756</v>
      </c>
      <c r="J98" s="5" t="s">
        <v>114</v>
      </c>
      <c r="K98" s="5" t="s">
        <v>757</v>
      </c>
      <c r="L98" s="5"/>
      <c r="M98" s="5" t="s">
        <v>8</v>
      </c>
      <c r="N98" s="5" t="s">
        <v>80</v>
      </c>
      <c r="O98" s="5" t="str">
        <f>IF(B98="","",IFERROR(LOOKUP(2,1/('Call Log'!$C$2:$C$5000=B98),'Call Log'!$B$2:$B$5000),""))</f>
        <v/>
      </c>
      <c r="P98" s="5">
        <f>IF(B98="","",COUNTIFS('Call Log'!$C$2:$C$5000,B98,'Call Log'!$A$2:$A$5000,"&gt;="&amp;(TODAY()-WEEKDAY(TODAY(),2)+1)))</f>
        <v>0</v>
      </c>
      <c r="Q98" s="5">
        <f>IF(B98="","",COUNTIF('Call Log'!$C$2:$C$5000,B98))</f>
        <v>0</v>
      </c>
      <c r="R98" s="21" t="str">
        <f>IF(B98="","",IFERROR(IF(MAXIFS('Call Log'!$A$2:$A$5000,'Call Log'!$C$2:$C$5000,B98)=0,"",MAXIFS('Call Log'!$A$2:$A$5000,'Call Log'!$C$2:$C$5000,B98)),""))</f>
        <v/>
      </c>
      <c r="S98" s="5"/>
      <c r="T98" s="21"/>
      <c r="U98" s="21"/>
      <c r="V98" s="5"/>
      <c r="W98" s="20"/>
      <c r="X98" s="5"/>
      <c r="Y98" s="5"/>
      <c r="Z98" s="5" t="s">
        <v>132</v>
      </c>
      <c r="AA98" s="5" t="s">
        <v>758</v>
      </c>
    </row>
    <row r="99" ht="15.0" customHeight="1">
      <c r="A99" s="5" t="s">
        <v>759</v>
      </c>
      <c r="B99" s="5" t="s">
        <v>760</v>
      </c>
      <c r="C99" s="5" t="s">
        <v>761</v>
      </c>
      <c r="D99" s="5" t="s">
        <v>762</v>
      </c>
      <c r="E99" s="5">
        <v>5.0</v>
      </c>
      <c r="F99" s="20"/>
      <c r="G99" s="20"/>
      <c r="H99" s="5" t="s">
        <v>40</v>
      </c>
      <c r="I99" s="5" t="s">
        <v>184</v>
      </c>
      <c r="J99" s="5" t="s">
        <v>114</v>
      </c>
      <c r="K99" s="5" t="s">
        <v>763</v>
      </c>
      <c r="L99" s="5" t="s">
        <v>764</v>
      </c>
      <c r="M99" s="5" t="s">
        <v>8</v>
      </c>
      <c r="N99" s="5" t="s">
        <v>80</v>
      </c>
      <c r="O99" s="5" t="str">
        <f>IF(B99="","",IFERROR(LOOKUP(2,1/('Call Log'!$C$2:$C$5000=B99),'Call Log'!$B$2:$B$5000),""))</f>
        <v/>
      </c>
      <c r="P99" s="5">
        <f>IF(B99="","",COUNTIFS('Call Log'!$C$2:$C$5000,B99,'Call Log'!$A$2:$A$5000,"&gt;="&amp;(TODAY()-WEEKDAY(TODAY(),2)+1)))</f>
        <v>0</v>
      </c>
      <c r="Q99" s="5">
        <f>IF(B99="","",COUNTIF('Call Log'!$C$2:$C$5000,B99))</f>
        <v>0</v>
      </c>
      <c r="R99" s="21" t="str">
        <f>IF(B99="","",IFERROR(IF(MAXIFS('Call Log'!$A$2:$A$5000,'Call Log'!$C$2:$C$5000,B99)=0,"",MAXIFS('Call Log'!$A$2:$A$5000,'Call Log'!$C$2:$C$5000,B99)),""))</f>
        <v/>
      </c>
      <c r="S99" s="5"/>
      <c r="T99" s="21"/>
      <c r="U99" s="21"/>
      <c r="V99" s="5"/>
      <c r="W99" s="20"/>
      <c r="X99" s="5"/>
      <c r="Y99" s="5"/>
      <c r="Z99" s="5" t="s">
        <v>132</v>
      </c>
      <c r="AA99" s="5" t="s">
        <v>765</v>
      </c>
    </row>
    <row r="100" ht="15.0" customHeight="1">
      <c r="A100" s="5" t="s">
        <v>766</v>
      </c>
      <c r="B100" s="5" t="s">
        <v>767</v>
      </c>
      <c r="C100" s="5" t="s">
        <v>768</v>
      </c>
      <c r="D100" s="5" t="s">
        <v>769</v>
      </c>
      <c r="E100" s="5">
        <v>1.0</v>
      </c>
      <c r="F100" s="20"/>
      <c r="G100" s="20"/>
      <c r="H100" s="5" t="s">
        <v>40</v>
      </c>
      <c r="I100" s="5" t="s">
        <v>146</v>
      </c>
      <c r="J100" s="5" t="s">
        <v>114</v>
      </c>
      <c r="K100" s="5" t="s">
        <v>770</v>
      </c>
      <c r="L100" s="5" t="s">
        <v>771</v>
      </c>
      <c r="M100" s="5" t="s">
        <v>8</v>
      </c>
      <c r="N100" s="5" t="s">
        <v>80</v>
      </c>
      <c r="O100" s="5" t="str">
        <f>IF(B100="","",IFERROR(LOOKUP(2,1/('Call Log'!$C$2:$C$5000=B100),'Call Log'!$B$2:$B$5000),""))</f>
        <v/>
      </c>
      <c r="P100" s="5">
        <f>IF(B100="","",COUNTIFS('Call Log'!$C$2:$C$5000,B100,'Call Log'!$A$2:$A$5000,"&gt;="&amp;(TODAY()-WEEKDAY(TODAY(),2)+1)))</f>
        <v>0</v>
      </c>
      <c r="Q100" s="5">
        <f>IF(B100="","",COUNTIF('Call Log'!$C$2:$C$5000,B100))</f>
        <v>0</v>
      </c>
      <c r="R100" s="21" t="str">
        <f>IF(B100="","",IFERROR(IF(MAXIFS('Call Log'!$A$2:$A$5000,'Call Log'!$C$2:$C$5000,B100)=0,"",MAXIFS('Call Log'!$A$2:$A$5000,'Call Log'!$C$2:$C$5000,B100)),""))</f>
        <v/>
      </c>
      <c r="S100" s="5"/>
      <c r="T100" s="21"/>
      <c r="U100" s="21"/>
      <c r="V100" s="5"/>
      <c r="W100" s="20"/>
      <c r="X100" s="5"/>
      <c r="Y100" s="5"/>
      <c r="Z100" s="5" t="s">
        <v>132</v>
      </c>
      <c r="AA100" s="5" t="s">
        <v>772</v>
      </c>
    </row>
    <row r="101" ht="15.0" customHeight="1">
      <c r="A101" s="5" t="s">
        <v>773</v>
      </c>
      <c r="B101" s="5" t="s">
        <v>774</v>
      </c>
      <c r="C101" s="5" t="s">
        <v>775</v>
      </c>
      <c r="D101" s="5" t="s">
        <v>776</v>
      </c>
      <c r="E101" s="5">
        <v>3.0</v>
      </c>
      <c r="F101" s="20"/>
      <c r="G101" s="20"/>
      <c r="H101" s="5" t="s">
        <v>40</v>
      </c>
      <c r="I101" s="5" t="s">
        <v>206</v>
      </c>
      <c r="J101" s="5" t="s">
        <v>114</v>
      </c>
      <c r="K101" s="5" t="s">
        <v>777</v>
      </c>
      <c r="L101" s="5" t="s">
        <v>778</v>
      </c>
      <c r="M101" s="5" t="s">
        <v>8</v>
      </c>
      <c r="N101" s="5" t="s">
        <v>80</v>
      </c>
      <c r="O101" s="5" t="str">
        <f>IF(B101="","",IFERROR(LOOKUP(2,1/('Call Log'!$C$2:$C$5000=B101),'Call Log'!$B$2:$B$5000),""))</f>
        <v/>
      </c>
      <c r="P101" s="5">
        <f>IF(B101="","",COUNTIFS('Call Log'!$C$2:$C$5000,B101,'Call Log'!$A$2:$A$5000,"&gt;="&amp;(TODAY()-WEEKDAY(TODAY(),2)+1)))</f>
        <v>0</v>
      </c>
      <c r="Q101" s="5">
        <f>IF(B101="","",COUNTIF('Call Log'!$C$2:$C$5000,B101))</f>
        <v>0</v>
      </c>
      <c r="R101" s="21" t="str">
        <f>IF(B101="","",IFERROR(IF(MAXIFS('Call Log'!$A$2:$A$5000,'Call Log'!$C$2:$C$5000,B101)=0,"",MAXIFS('Call Log'!$A$2:$A$5000,'Call Log'!$C$2:$C$5000,B101)),""))</f>
        <v/>
      </c>
      <c r="S101" s="5"/>
      <c r="T101" s="21"/>
      <c r="U101" s="21"/>
      <c r="V101" s="5"/>
      <c r="W101" s="20"/>
      <c r="X101" s="5"/>
      <c r="Y101" s="5"/>
      <c r="Z101" s="5" t="s">
        <v>132</v>
      </c>
      <c r="AA101" s="5" t="s">
        <v>779</v>
      </c>
    </row>
    <row r="102" ht="15.0" customHeight="1">
      <c r="A102" s="5" t="s">
        <v>780</v>
      </c>
      <c r="B102" s="5" t="s">
        <v>781</v>
      </c>
      <c r="C102" s="5" t="s">
        <v>782</v>
      </c>
      <c r="D102" s="5" t="s">
        <v>783</v>
      </c>
      <c r="E102" s="5">
        <v>30.0</v>
      </c>
      <c r="F102" s="20"/>
      <c r="G102" s="20"/>
      <c r="H102" s="5" t="s">
        <v>41</v>
      </c>
      <c r="I102" s="5" t="s">
        <v>370</v>
      </c>
      <c r="J102" s="5" t="s">
        <v>114</v>
      </c>
      <c r="K102" s="5" t="s">
        <v>784</v>
      </c>
      <c r="L102" s="5" t="s">
        <v>785</v>
      </c>
      <c r="M102" s="5" t="s">
        <v>8</v>
      </c>
      <c r="N102" s="5" t="s">
        <v>80</v>
      </c>
      <c r="O102" s="5" t="str">
        <f>IF(B102="","",IFERROR(LOOKUP(2,1/('Call Log'!$C$2:$C$5000=B102),'Call Log'!$B$2:$B$5000),""))</f>
        <v/>
      </c>
      <c r="P102" s="5">
        <f>IF(B102="","",COUNTIFS('Call Log'!$C$2:$C$5000,B102,'Call Log'!$A$2:$A$5000,"&gt;="&amp;(TODAY()-WEEKDAY(TODAY(),2)+1)))</f>
        <v>0</v>
      </c>
      <c r="Q102" s="5">
        <f>IF(B102="","",COUNTIF('Call Log'!$C$2:$C$5000,B102))</f>
        <v>0</v>
      </c>
      <c r="R102" s="21" t="str">
        <f>IF(B102="","",IFERROR(IF(MAXIFS('Call Log'!$A$2:$A$5000,'Call Log'!$C$2:$C$5000,B102)=0,"",MAXIFS('Call Log'!$A$2:$A$5000,'Call Log'!$C$2:$C$5000,B102)),""))</f>
        <v/>
      </c>
      <c r="S102" s="5"/>
      <c r="T102" s="21"/>
      <c r="U102" s="21"/>
      <c r="V102" s="5"/>
      <c r="W102" s="20"/>
      <c r="X102" s="5"/>
      <c r="Y102" s="5"/>
      <c r="Z102" s="5" t="s">
        <v>132</v>
      </c>
      <c r="AA102" s="5" t="s">
        <v>786</v>
      </c>
    </row>
    <row r="103" ht="15.0" customHeight="1">
      <c r="A103" s="5" t="s">
        <v>787</v>
      </c>
      <c r="B103" s="5" t="s">
        <v>788</v>
      </c>
      <c r="C103" s="5" t="s">
        <v>789</v>
      </c>
      <c r="D103" s="5" t="s">
        <v>790</v>
      </c>
      <c r="E103" s="5"/>
      <c r="F103" s="20"/>
      <c r="G103" s="20"/>
      <c r="H103" s="5" t="s">
        <v>41</v>
      </c>
      <c r="I103" s="5" t="s">
        <v>422</v>
      </c>
      <c r="J103" s="5" t="s">
        <v>114</v>
      </c>
      <c r="K103" s="5" t="s">
        <v>791</v>
      </c>
      <c r="L103" s="5" t="s">
        <v>792</v>
      </c>
      <c r="M103" s="5" t="s">
        <v>8</v>
      </c>
      <c r="N103" s="5" t="s">
        <v>80</v>
      </c>
      <c r="O103" s="5" t="str">
        <f>IF(B103="","",IFERROR(LOOKUP(2,1/('Call Log'!$C$2:$C$5000=B103),'Call Log'!$B$2:$B$5000),""))</f>
        <v/>
      </c>
      <c r="P103" s="5">
        <f>IF(B103="","",COUNTIFS('Call Log'!$C$2:$C$5000,B103,'Call Log'!$A$2:$A$5000,"&gt;="&amp;(TODAY()-WEEKDAY(TODAY(),2)+1)))</f>
        <v>0</v>
      </c>
      <c r="Q103" s="5">
        <f>IF(B103="","",COUNTIF('Call Log'!$C$2:$C$5000,B103))</f>
        <v>0</v>
      </c>
      <c r="R103" s="21" t="str">
        <f>IF(B103="","",IFERROR(IF(MAXIFS('Call Log'!$A$2:$A$5000,'Call Log'!$C$2:$C$5000,B103)=0,"",MAXIFS('Call Log'!$A$2:$A$5000,'Call Log'!$C$2:$C$5000,B103)),""))</f>
        <v/>
      </c>
      <c r="S103" s="5"/>
      <c r="T103" s="21"/>
      <c r="U103" s="21"/>
      <c r="V103" s="5"/>
      <c r="W103" s="20"/>
      <c r="X103" s="5"/>
      <c r="Y103" s="5"/>
      <c r="Z103" s="5" t="s">
        <v>132</v>
      </c>
      <c r="AA103" s="5" t="s">
        <v>793</v>
      </c>
    </row>
    <row r="104" ht="15.0" customHeight="1">
      <c r="A104" s="5" t="s">
        <v>794</v>
      </c>
      <c r="B104" s="5" t="s">
        <v>795</v>
      </c>
      <c r="C104" s="5" t="s">
        <v>796</v>
      </c>
      <c r="D104" s="5" t="s">
        <v>797</v>
      </c>
      <c r="E104" s="5">
        <v>30.0</v>
      </c>
      <c r="F104" s="20"/>
      <c r="G104" s="20"/>
      <c r="H104" s="5" t="s">
        <v>40</v>
      </c>
      <c r="I104" s="5" t="s">
        <v>175</v>
      </c>
      <c r="J104" s="5" t="s">
        <v>114</v>
      </c>
      <c r="K104" s="5" t="s">
        <v>798</v>
      </c>
      <c r="L104" s="5"/>
      <c r="M104" s="5" t="s">
        <v>8</v>
      </c>
      <c r="N104" s="5" t="s">
        <v>80</v>
      </c>
      <c r="O104" s="5" t="str">
        <f>IF(B104="","",IFERROR(LOOKUP(2,1/('Call Log'!$C$2:$C$5000=B104),'Call Log'!$B$2:$B$5000),""))</f>
        <v/>
      </c>
      <c r="P104" s="5">
        <f>IF(B104="","",COUNTIFS('Call Log'!$C$2:$C$5000,B104,'Call Log'!$A$2:$A$5000,"&gt;="&amp;(TODAY()-WEEKDAY(TODAY(),2)+1)))</f>
        <v>0</v>
      </c>
      <c r="Q104" s="5">
        <f>IF(B104="","",COUNTIF('Call Log'!$C$2:$C$5000,B104))</f>
        <v>0</v>
      </c>
      <c r="R104" s="21" t="str">
        <f>IF(B104="","",IFERROR(IF(MAXIFS('Call Log'!$A$2:$A$5000,'Call Log'!$C$2:$C$5000,B104)=0,"",MAXIFS('Call Log'!$A$2:$A$5000,'Call Log'!$C$2:$C$5000,B104)),""))</f>
        <v/>
      </c>
      <c r="S104" s="5"/>
      <c r="T104" s="21"/>
      <c r="U104" s="21"/>
      <c r="V104" s="5"/>
      <c r="W104" s="20"/>
      <c r="X104" s="5"/>
      <c r="Y104" s="5"/>
      <c r="Z104" s="5" t="s">
        <v>178</v>
      </c>
      <c r="AA104" s="5" t="s">
        <v>799</v>
      </c>
    </row>
    <row r="105" ht="15.0" customHeight="1">
      <c r="A105" s="5" t="s">
        <v>800</v>
      </c>
      <c r="B105" s="5" t="s">
        <v>801</v>
      </c>
      <c r="C105" s="5" t="s">
        <v>802</v>
      </c>
      <c r="D105" s="5" t="s">
        <v>803</v>
      </c>
      <c r="E105" s="5">
        <v>1.0</v>
      </c>
      <c r="F105" s="20"/>
      <c r="G105" s="20"/>
      <c r="H105" s="5" t="s">
        <v>40</v>
      </c>
      <c r="I105" s="5" t="s">
        <v>246</v>
      </c>
      <c r="J105" s="5" t="s">
        <v>114</v>
      </c>
      <c r="K105" s="5" t="s">
        <v>804</v>
      </c>
      <c r="L105" s="5" t="s">
        <v>805</v>
      </c>
      <c r="M105" s="5" t="s">
        <v>8</v>
      </c>
      <c r="N105" s="5" t="s">
        <v>80</v>
      </c>
      <c r="O105" s="5" t="str">
        <f>IF(B105="","",IFERROR(LOOKUP(2,1/('Call Log'!$C$2:$C$5000=B105),'Call Log'!$B$2:$B$5000),""))</f>
        <v/>
      </c>
      <c r="P105" s="5">
        <f>IF(B105="","",COUNTIFS('Call Log'!$C$2:$C$5000,B105,'Call Log'!$A$2:$A$5000,"&gt;="&amp;(TODAY()-WEEKDAY(TODAY(),2)+1)))</f>
        <v>0</v>
      </c>
      <c r="Q105" s="5">
        <f>IF(B105="","",COUNTIF('Call Log'!$C$2:$C$5000,B105))</f>
        <v>0</v>
      </c>
      <c r="R105" s="21" t="str">
        <f>IF(B105="","",IFERROR(IF(MAXIFS('Call Log'!$A$2:$A$5000,'Call Log'!$C$2:$C$5000,B105)=0,"",MAXIFS('Call Log'!$A$2:$A$5000,'Call Log'!$C$2:$C$5000,B105)),""))</f>
        <v/>
      </c>
      <c r="S105" s="5"/>
      <c r="T105" s="21"/>
      <c r="U105" s="21"/>
      <c r="V105" s="5"/>
      <c r="W105" s="20"/>
      <c r="X105" s="5"/>
      <c r="Y105" s="5"/>
      <c r="Z105" s="5" t="s">
        <v>132</v>
      </c>
      <c r="AA105" s="5" t="s">
        <v>806</v>
      </c>
    </row>
    <row r="106" ht="15.0" customHeight="1">
      <c r="A106" s="5" t="s">
        <v>807</v>
      </c>
      <c r="B106" s="5" t="s">
        <v>808</v>
      </c>
      <c r="C106" s="5" t="s">
        <v>809</v>
      </c>
      <c r="D106" s="5" t="s">
        <v>810</v>
      </c>
      <c r="E106" s="5">
        <v>9.0</v>
      </c>
      <c r="F106" s="20"/>
      <c r="G106" s="20"/>
      <c r="H106" s="5" t="s">
        <v>40</v>
      </c>
      <c r="I106" s="5" t="s">
        <v>422</v>
      </c>
      <c r="J106" s="5" t="s">
        <v>114</v>
      </c>
      <c r="K106" s="5" t="s">
        <v>811</v>
      </c>
      <c r="L106" s="5" t="s">
        <v>812</v>
      </c>
      <c r="M106" s="5" t="s">
        <v>8</v>
      </c>
      <c r="N106" s="5" t="s">
        <v>80</v>
      </c>
      <c r="O106" s="5" t="str">
        <f>IF(B106="","",IFERROR(LOOKUP(2,1/('Call Log'!$C$2:$C$5000=B106),'Call Log'!$B$2:$B$5000),""))</f>
        <v/>
      </c>
      <c r="P106" s="5">
        <f>IF(B106="","",COUNTIFS('Call Log'!$C$2:$C$5000,B106,'Call Log'!$A$2:$A$5000,"&gt;="&amp;(TODAY()-WEEKDAY(TODAY(),2)+1)))</f>
        <v>0</v>
      </c>
      <c r="Q106" s="5">
        <f>IF(B106="","",COUNTIF('Call Log'!$C$2:$C$5000,B106))</f>
        <v>0</v>
      </c>
      <c r="R106" s="21" t="str">
        <f>IF(B106="","",IFERROR(IF(MAXIFS('Call Log'!$A$2:$A$5000,'Call Log'!$C$2:$C$5000,B106)=0,"",MAXIFS('Call Log'!$A$2:$A$5000,'Call Log'!$C$2:$C$5000,B106)),""))</f>
        <v/>
      </c>
      <c r="S106" s="5"/>
      <c r="T106" s="21"/>
      <c r="U106" s="21"/>
      <c r="V106" s="5"/>
      <c r="W106" s="20"/>
      <c r="X106" s="5"/>
      <c r="Y106" s="5"/>
      <c r="Z106" s="5" t="s">
        <v>132</v>
      </c>
      <c r="AA106" s="5" t="s">
        <v>813</v>
      </c>
    </row>
    <row r="107" ht="15.0" customHeight="1">
      <c r="A107" s="5" t="s">
        <v>814</v>
      </c>
      <c r="B107" s="5" t="s">
        <v>815</v>
      </c>
      <c r="C107" s="5" t="s">
        <v>816</v>
      </c>
      <c r="D107" s="5" t="s">
        <v>817</v>
      </c>
      <c r="E107" s="5">
        <v>12.0</v>
      </c>
      <c r="F107" s="20"/>
      <c r="G107" s="20"/>
      <c r="H107" s="5" t="s">
        <v>40</v>
      </c>
      <c r="I107" s="5" t="s">
        <v>721</v>
      </c>
      <c r="J107" s="5" t="s">
        <v>114</v>
      </c>
      <c r="K107" s="5" t="s">
        <v>818</v>
      </c>
      <c r="L107" s="5" t="s">
        <v>819</v>
      </c>
      <c r="M107" s="5" t="s">
        <v>8</v>
      </c>
      <c r="N107" s="5" t="s">
        <v>80</v>
      </c>
      <c r="O107" s="5" t="str">
        <f>IF(B107="","",IFERROR(LOOKUP(2,1/('Call Log'!$C$2:$C$5000=B107),'Call Log'!$B$2:$B$5000),""))</f>
        <v/>
      </c>
      <c r="P107" s="5">
        <f>IF(B107="","",COUNTIFS('Call Log'!$C$2:$C$5000,B107,'Call Log'!$A$2:$A$5000,"&gt;="&amp;(TODAY()-WEEKDAY(TODAY(),2)+1)))</f>
        <v>0</v>
      </c>
      <c r="Q107" s="5">
        <f>IF(B107="","",COUNTIF('Call Log'!$C$2:$C$5000,B107))</f>
        <v>0</v>
      </c>
      <c r="R107" s="21" t="str">
        <f>IF(B107="","",IFERROR(IF(MAXIFS('Call Log'!$A$2:$A$5000,'Call Log'!$C$2:$C$5000,B107)=0,"",MAXIFS('Call Log'!$A$2:$A$5000,'Call Log'!$C$2:$C$5000,B107)),""))</f>
        <v/>
      </c>
      <c r="S107" s="5"/>
      <c r="T107" s="21"/>
      <c r="U107" s="21"/>
      <c r="V107" s="5"/>
      <c r="W107" s="20"/>
      <c r="X107" s="5"/>
      <c r="Y107" s="5"/>
      <c r="Z107" s="5" t="s">
        <v>132</v>
      </c>
      <c r="AA107" s="5" t="s">
        <v>820</v>
      </c>
    </row>
    <row r="108" ht="15.0" customHeight="1">
      <c r="A108" s="5" t="s">
        <v>821</v>
      </c>
      <c r="B108" s="5" t="s">
        <v>822</v>
      </c>
      <c r="C108" s="5" t="s">
        <v>823</v>
      </c>
      <c r="D108" s="5" t="s">
        <v>824</v>
      </c>
      <c r="E108" s="5"/>
      <c r="F108" s="20"/>
      <c r="G108" s="20"/>
      <c r="H108" s="5" t="s">
        <v>41</v>
      </c>
      <c r="I108" s="5" t="s">
        <v>184</v>
      </c>
      <c r="J108" s="5" t="s">
        <v>114</v>
      </c>
      <c r="K108" s="5" t="s">
        <v>825</v>
      </c>
      <c r="L108" s="5"/>
      <c r="M108" s="5" t="s">
        <v>8</v>
      </c>
      <c r="N108" s="5" t="s">
        <v>80</v>
      </c>
      <c r="O108" s="5" t="str">
        <f>IF(B108="","",IFERROR(LOOKUP(2,1/('Call Log'!$C$2:$C$5000=B108),'Call Log'!$B$2:$B$5000),""))</f>
        <v/>
      </c>
      <c r="P108" s="5">
        <f>IF(B108="","",COUNTIFS('Call Log'!$C$2:$C$5000,B108,'Call Log'!$A$2:$A$5000,"&gt;="&amp;(TODAY()-WEEKDAY(TODAY(),2)+1)))</f>
        <v>0</v>
      </c>
      <c r="Q108" s="5">
        <f>IF(B108="","",COUNTIF('Call Log'!$C$2:$C$5000,B108))</f>
        <v>0</v>
      </c>
      <c r="R108" s="21" t="str">
        <f>IF(B108="","",IFERROR(IF(MAXIFS('Call Log'!$A$2:$A$5000,'Call Log'!$C$2:$C$5000,B108)=0,"",MAXIFS('Call Log'!$A$2:$A$5000,'Call Log'!$C$2:$C$5000,B108)),""))</f>
        <v/>
      </c>
      <c r="S108" s="5"/>
      <c r="T108" s="21"/>
      <c r="U108" s="21"/>
      <c r="V108" s="5"/>
      <c r="W108" s="20"/>
      <c r="X108" s="5"/>
      <c r="Y108" s="5"/>
      <c r="Z108" s="5" t="s">
        <v>132</v>
      </c>
      <c r="AA108" s="5" t="s">
        <v>826</v>
      </c>
    </row>
    <row r="109" ht="15.0" customHeight="1">
      <c r="A109" s="5" t="s">
        <v>827</v>
      </c>
      <c r="B109" s="5" t="s">
        <v>828</v>
      </c>
      <c r="C109" s="5" t="s">
        <v>829</v>
      </c>
      <c r="D109" s="5" t="s">
        <v>830</v>
      </c>
      <c r="E109" s="5">
        <v>10.0</v>
      </c>
      <c r="F109" s="20"/>
      <c r="G109" s="20"/>
      <c r="H109" s="5" t="s">
        <v>41</v>
      </c>
      <c r="I109" s="5" t="s">
        <v>246</v>
      </c>
      <c r="J109" s="5" t="s">
        <v>114</v>
      </c>
      <c r="K109" s="5" t="s">
        <v>831</v>
      </c>
      <c r="L109" s="5" t="s">
        <v>832</v>
      </c>
      <c r="M109" s="5" t="s">
        <v>8</v>
      </c>
      <c r="N109" s="5" t="s">
        <v>80</v>
      </c>
      <c r="O109" s="5" t="str">
        <f>IF(B109="","",IFERROR(LOOKUP(2,1/('Call Log'!$C$2:$C$5000=B109),'Call Log'!$B$2:$B$5000),""))</f>
        <v/>
      </c>
      <c r="P109" s="5">
        <f>IF(B109="","",COUNTIFS('Call Log'!$C$2:$C$5000,B109,'Call Log'!$A$2:$A$5000,"&gt;="&amp;(TODAY()-WEEKDAY(TODAY(),2)+1)))</f>
        <v>0</v>
      </c>
      <c r="Q109" s="5">
        <f>IF(B109="","",COUNTIF('Call Log'!$C$2:$C$5000,B109))</f>
        <v>0</v>
      </c>
      <c r="R109" s="21" t="str">
        <f>IF(B109="","",IFERROR(IF(MAXIFS('Call Log'!$A$2:$A$5000,'Call Log'!$C$2:$C$5000,B109)=0,"",MAXIFS('Call Log'!$A$2:$A$5000,'Call Log'!$C$2:$C$5000,B109)),""))</f>
        <v/>
      </c>
      <c r="S109" s="5"/>
      <c r="T109" s="21"/>
      <c r="U109" s="21"/>
      <c r="V109" s="5"/>
      <c r="W109" s="20"/>
      <c r="X109" s="5"/>
      <c r="Y109" s="5"/>
      <c r="Z109" s="5" t="s">
        <v>132</v>
      </c>
      <c r="AA109" s="5" t="s">
        <v>833</v>
      </c>
    </row>
    <row r="110" ht="15.0" customHeight="1">
      <c r="A110" s="5" t="s">
        <v>834</v>
      </c>
      <c r="B110" s="5" t="s">
        <v>835</v>
      </c>
      <c r="C110" s="5" t="s">
        <v>836</v>
      </c>
      <c r="D110" s="5" t="s">
        <v>837</v>
      </c>
      <c r="E110" s="5">
        <v>1.0</v>
      </c>
      <c r="F110" s="20"/>
      <c r="G110" s="20"/>
      <c r="H110" s="5" t="s">
        <v>40</v>
      </c>
      <c r="I110" s="5" t="s">
        <v>370</v>
      </c>
      <c r="J110" s="5" t="s">
        <v>114</v>
      </c>
      <c r="K110" s="5" t="s">
        <v>838</v>
      </c>
      <c r="L110" s="5" t="s">
        <v>839</v>
      </c>
      <c r="M110" s="5" t="s">
        <v>8</v>
      </c>
      <c r="N110" s="5" t="s">
        <v>80</v>
      </c>
      <c r="O110" s="5" t="str">
        <f>IF(B110="","",IFERROR(LOOKUP(2,1/('Call Log'!$C$2:$C$5000=B110),'Call Log'!$B$2:$B$5000),""))</f>
        <v/>
      </c>
      <c r="P110" s="5">
        <f>IF(B110="","",COUNTIFS('Call Log'!$C$2:$C$5000,B110,'Call Log'!$A$2:$A$5000,"&gt;="&amp;(TODAY()-WEEKDAY(TODAY(),2)+1)))</f>
        <v>0</v>
      </c>
      <c r="Q110" s="5">
        <f>IF(B110="","",COUNTIF('Call Log'!$C$2:$C$5000,B110))</f>
        <v>0</v>
      </c>
      <c r="R110" s="21" t="str">
        <f>IF(B110="","",IFERROR(IF(MAXIFS('Call Log'!$A$2:$A$5000,'Call Log'!$C$2:$C$5000,B110)=0,"",MAXIFS('Call Log'!$A$2:$A$5000,'Call Log'!$C$2:$C$5000,B110)),""))</f>
        <v/>
      </c>
      <c r="S110" s="5"/>
      <c r="T110" s="21"/>
      <c r="U110" s="21"/>
      <c r="V110" s="5"/>
      <c r="W110" s="20"/>
      <c r="X110" s="5"/>
      <c r="Y110" s="5"/>
      <c r="Z110" s="5"/>
      <c r="AA110" s="5" t="s">
        <v>724</v>
      </c>
    </row>
    <row r="111" ht="15.0" customHeight="1">
      <c r="A111" s="5" t="s">
        <v>840</v>
      </c>
      <c r="B111" s="5" t="s">
        <v>841</v>
      </c>
      <c r="C111" s="5" t="s">
        <v>842</v>
      </c>
      <c r="D111" s="5" t="s">
        <v>843</v>
      </c>
      <c r="E111" s="5">
        <v>6.0</v>
      </c>
      <c r="F111" s="20"/>
      <c r="G111" s="20"/>
      <c r="H111" s="5" t="s">
        <v>40</v>
      </c>
      <c r="I111" s="5" t="s">
        <v>184</v>
      </c>
      <c r="J111" s="5" t="s">
        <v>114</v>
      </c>
      <c r="K111" s="5" t="s">
        <v>844</v>
      </c>
      <c r="L111" s="5" t="s">
        <v>845</v>
      </c>
      <c r="M111" s="5" t="s">
        <v>8</v>
      </c>
      <c r="N111" s="5" t="s">
        <v>80</v>
      </c>
      <c r="O111" s="5" t="str">
        <f>IF(B111="","",IFERROR(LOOKUP(2,1/('Call Log'!$C$2:$C$5000=B111),'Call Log'!$B$2:$B$5000),""))</f>
        <v/>
      </c>
      <c r="P111" s="5">
        <f>IF(B111="","",COUNTIFS('Call Log'!$C$2:$C$5000,B111,'Call Log'!$A$2:$A$5000,"&gt;="&amp;(TODAY()-WEEKDAY(TODAY(),2)+1)))</f>
        <v>0</v>
      </c>
      <c r="Q111" s="5">
        <f>IF(B111="","",COUNTIF('Call Log'!$C$2:$C$5000,B111))</f>
        <v>0</v>
      </c>
      <c r="R111" s="21" t="str">
        <f>IF(B111="","",IFERROR(IF(MAXIFS('Call Log'!$A$2:$A$5000,'Call Log'!$C$2:$C$5000,B111)=0,"",MAXIFS('Call Log'!$A$2:$A$5000,'Call Log'!$C$2:$C$5000,B111)),""))</f>
        <v/>
      </c>
      <c r="S111" s="5"/>
      <c r="T111" s="21"/>
      <c r="U111" s="21"/>
      <c r="V111" s="5"/>
      <c r="W111" s="20"/>
      <c r="X111" s="5"/>
      <c r="Y111" s="5"/>
      <c r="Z111" s="5"/>
      <c r="AA111" s="5" t="s">
        <v>724</v>
      </c>
    </row>
    <row r="112" ht="15.0" customHeight="1">
      <c r="A112" s="5" t="s">
        <v>846</v>
      </c>
      <c r="B112" s="5" t="s">
        <v>847</v>
      </c>
      <c r="C112" s="5" t="s">
        <v>848</v>
      </c>
      <c r="D112" s="5" t="s">
        <v>849</v>
      </c>
      <c r="E112" s="5">
        <v>1.0</v>
      </c>
      <c r="F112" s="20"/>
      <c r="G112" s="20"/>
      <c r="H112" s="5" t="s">
        <v>40</v>
      </c>
      <c r="I112" s="5" t="s">
        <v>154</v>
      </c>
      <c r="J112" s="5" t="s">
        <v>114</v>
      </c>
      <c r="K112" s="5" t="s">
        <v>850</v>
      </c>
      <c r="L112" s="5" t="s">
        <v>851</v>
      </c>
      <c r="M112" s="5" t="s">
        <v>8</v>
      </c>
      <c r="N112" s="5" t="s">
        <v>80</v>
      </c>
      <c r="O112" s="5" t="str">
        <f>IF(B112="","",IFERROR(LOOKUP(2,1/('Call Log'!$C$2:$C$5000=B112),'Call Log'!$B$2:$B$5000),""))</f>
        <v/>
      </c>
      <c r="P112" s="5">
        <f>IF(B112="","",COUNTIFS('Call Log'!$C$2:$C$5000,B112,'Call Log'!$A$2:$A$5000,"&gt;="&amp;(TODAY()-WEEKDAY(TODAY(),2)+1)))</f>
        <v>0</v>
      </c>
      <c r="Q112" s="5">
        <f>IF(B112="","",COUNTIF('Call Log'!$C$2:$C$5000,B112))</f>
        <v>0</v>
      </c>
      <c r="R112" s="21" t="str">
        <f>IF(B112="","",IFERROR(IF(MAXIFS('Call Log'!$A$2:$A$5000,'Call Log'!$C$2:$C$5000,B112)=0,"",MAXIFS('Call Log'!$A$2:$A$5000,'Call Log'!$C$2:$C$5000,B112)),""))</f>
        <v/>
      </c>
      <c r="S112" s="5"/>
      <c r="T112" s="21"/>
      <c r="U112" s="21"/>
      <c r="V112" s="5"/>
      <c r="W112" s="20"/>
      <c r="X112" s="5"/>
      <c r="Y112" s="5"/>
      <c r="Z112" s="5" t="s">
        <v>132</v>
      </c>
      <c r="AA112" s="5" t="s">
        <v>852</v>
      </c>
    </row>
    <row r="113" ht="15.0" customHeight="1">
      <c r="A113" s="5" t="s">
        <v>853</v>
      </c>
      <c r="B113" s="5" t="s">
        <v>854</v>
      </c>
      <c r="C113" s="5" t="s">
        <v>855</v>
      </c>
      <c r="D113" s="5" t="s">
        <v>856</v>
      </c>
      <c r="E113" s="5">
        <v>1.0</v>
      </c>
      <c r="F113" s="20"/>
      <c r="G113" s="20"/>
      <c r="H113" s="5" t="s">
        <v>40</v>
      </c>
      <c r="I113" s="5" t="s">
        <v>857</v>
      </c>
      <c r="J113" s="5" t="s">
        <v>114</v>
      </c>
      <c r="K113" s="5" t="s">
        <v>858</v>
      </c>
      <c r="L113" s="5" t="s">
        <v>859</v>
      </c>
      <c r="M113" s="5" t="s">
        <v>8</v>
      </c>
      <c r="N113" s="5" t="s">
        <v>80</v>
      </c>
      <c r="O113" s="5" t="str">
        <f>IF(B113="","",IFERROR(LOOKUP(2,1/('Call Log'!$C$2:$C$5000=B113),'Call Log'!$B$2:$B$5000),""))</f>
        <v/>
      </c>
      <c r="P113" s="5">
        <f>IF(B113="","",COUNTIFS('Call Log'!$C$2:$C$5000,B113,'Call Log'!$A$2:$A$5000,"&gt;="&amp;(TODAY()-WEEKDAY(TODAY(),2)+1)))</f>
        <v>0</v>
      </c>
      <c r="Q113" s="5">
        <f>IF(B113="","",COUNTIF('Call Log'!$C$2:$C$5000,B113))</f>
        <v>0</v>
      </c>
      <c r="R113" s="21" t="str">
        <f>IF(B113="","",IFERROR(IF(MAXIFS('Call Log'!$A$2:$A$5000,'Call Log'!$C$2:$C$5000,B113)=0,"",MAXIFS('Call Log'!$A$2:$A$5000,'Call Log'!$C$2:$C$5000,B113)),""))</f>
        <v/>
      </c>
      <c r="S113" s="5"/>
      <c r="T113" s="21"/>
      <c r="U113" s="21"/>
      <c r="V113" s="5"/>
      <c r="W113" s="20"/>
      <c r="X113" s="5"/>
      <c r="Y113" s="5"/>
      <c r="Z113" s="5" t="s">
        <v>132</v>
      </c>
      <c r="AA113" s="5" t="s">
        <v>860</v>
      </c>
    </row>
    <row r="114" ht="15.0" customHeight="1">
      <c r="A114" s="5" t="s">
        <v>861</v>
      </c>
      <c r="B114" s="5" t="s">
        <v>862</v>
      </c>
      <c r="C114" s="5" t="s">
        <v>863</v>
      </c>
      <c r="D114" s="5" t="s">
        <v>864</v>
      </c>
      <c r="E114" s="5">
        <v>9.0</v>
      </c>
      <c r="F114" s="20"/>
      <c r="G114" s="20"/>
      <c r="H114" s="5" t="s">
        <v>40</v>
      </c>
      <c r="I114" s="5" t="s">
        <v>865</v>
      </c>
      <c r="J114" s="5" t="s">
        <v>114</v>
      </c>
      <c r="K114" s="5" t="s">
        <v>866</v>
      </c>
      <c r="L114" s="5" t="s">
        <v>867</v>
      </c>
      <c r="M114" s="5" t="s">
        <v>8</v>
      </c>
      <c r="N114" s="5" t="s">
        <v>80</v>
      </c>
      <c r="O114" s="5" t="str">
        <f>IF(B114="","",IFERROR(LOOKUP(2,1/('Call Log'!$C$2:$C$5000=B114),'Call Log'!$B$2:$B$5000),""))</f>
        <v/>
      </c>
      <c r="P114" s="5">
        <f>IF(B114="","",COUNTIFS('Call Log'!$C$2:$C$5000,B114,'Call Log'!$A$2:$A$5000,"&gt;="&amp;(TODAY()-WEEKDAY(TODAY(),2)+1)))</f>
        <v>0</v>
      </c>
      <c r="Q114" s="5">
        <f>IF(B114="","",COUNTIF('Call Log'!$C$2:$C$5000,B114))</f>
        <v>0</v>
      </c>
      <c r="R114" s="21" t="str">
        <f>IF(B114="","",IFERROR(IF(MAXIFS('Call Log'!$A$2:$A$5000,'Call Log'!$C$2:$C$5000,B114)=0,"",MAXIFS('Call Log'!$A$2:$A$5000,'Call Log'!$C$2:$C$5000,B114)),""))</f>
        <v/>
      </c>
      <c r="S114" s="5"/>
      <c r="T114" s="21"/>
      <c r="U114" s="21"/>
      <c r="V114" s="5"/>
      <c r="W114" s="20"/>
      <c r="X114" s="5"/>
      <c r="Y114" s="5"/>
      <c r="Z114" s="5" t="s">
        <v>132</v>
      </c>
      <c r="AA114" s="5" t="s">
        <v>868</v>
      </c>
    </row>
    <row r="115" ht="15.0" customHeight="1">
      <c r="A115" s="5" t="s">
        <v>869</v>
      </c>
      <c r="B115" s="5" t="s">
        <v>870</v>
      </c>
      <c r="C115" s="5" t="s">
        <v>871</v>
      </c>
      <c r="D115" s="5" t="s">
        <v>872</v>
      </c>
      <c r="E115" s="5">
        <v>1.0</v>
      </c>
      <c r="F115" s="20"/>
      <c r="G115" s="20"/>
      <c r="H115" s="5" t="s">
        <v>40</v>
      </c>
      <c r="I115" s="5" t="s">
        <v>184</v>
      </c>
      <c r="J115" s="5" t="s">
        <v>114</v>
      </c>
      <c r="K115" s="5" t="s">
        <v>873</v>
      </c>
      <c r="L115" s="5"/>
      <c r="M115" s="5" t="s">
        <v>8</v>
      </c>
      <c r="N115" s="5" t="s">
        <v>80</v>
      </c>
      <c r="O115" s="5" t="str">
        <f>IF(B115="","",IFERROR(LOOKUP(2,1/('Call Log'!$C$2:$C$5000=B115),'Call Log'!$B$2:$B$5000),""))</f>
        <v/>
      </c>
      <c r="P115" s="5">
        <f>IF(B115="","",COUNTIFS('Call Log'!$C$2:$C$5000,B115,'Call Log'!$A$2:$A$5000,"&gt;="&amp;(TODAY()-WEEKDAY(TODAY(),2)+1)))</f>
        <v>0</v>
      </c>
      <c r="Q115" s="5">
        <f>IF(B115="","",COUNTIF('Call Log'!$C$2:$C$5000,B115))</f>
        <v>0</v>
      </c>
      <c r="R115" s="21" t="str">
        <f>IF(B115="","",IFERROR(IF(MAXIFS('Call Log'!$A$2:$A$5000,'Call Log'!$C$2:$C$5000,B115)=0,"",MAXIFS('Call Log'!$A$2:$A$5000,'Call Log'!$C$2:$C$5000,B115)),""))</f>
        <v/>
      </c>
      <c r="S115" s="5"/>
      <c r="T115" s="21"/>
      <c r="U115" s="21"/>
      <c r="V115" s="5"/>
      <c r="W115" s="20"/>
      <c r="X115" s="5"/>
      <c r="Y115" s="5"/>
      <c r="Z115" s="5"/>
      <c r="AA115" s="5" t="s">
        <v>724</v>
      </c>
    </row>
    <row r="116" ht="15.0" customHeight="1">
      <c r="A116" s="5" t="s">
        <v>874</v>
      </c>
      <c r="B116" s="5" t="s">
        <v>875</v>
      </c>
      <c r="C116" s="5" t="s">
        <v>876</v>
      </c>
      <c r="D116" s="5" t="s">
        <v>877</v>
      </c>
      <c r="E116" s="5">
        <v>9.0</v>
      </c>
      <c r="F116" s="20"/>
      <c r="G116" s="20"/>
      <c r="H116" s="5" t="s">
        <v>41</v>
      </c>
      <c r="I116" s="5" t="s">
        <v>146</v>
      </c>
      <c r="J116" s="5" t="s">
        <v>114</v>
      </c>
      <c r="K116" s="5" t="s">
        <v>878</v>
      </c>
      <c r="L116" s="5"/>
      <c r="M116" s="5" t="s">
        <v>8</v>
      </c>
      <c r="N116" s="5" t="s">
        <v>80</v>
      </c>
      <c r="O116" s="5" t="str">
        <f>IF(B116="","",IFERROR(LOOKUP(2,1/('Call Log'!$C$2:$C$5000=B116),'Call Log'!$B$2:$B$5000),""))</f>
        <v/>
      </c>
      <c r="P116" s="5">
        <f>IF(B116="","",COUNTIFS('Call Log'!$C$2:$C$5000,B116,'Call Log'!$A$2:$A$5000,"&gt;="&amp;(TODAY()-WEEKDAY(TODAY(),2)+1)))</f>
        <v>0</v>
      </c>
      <c r="Q116" s="5">
        <f>IF(B116="","",COUNTIF('Call Log'!$C$2:$C$5000,B116))</f>
        <v>0</v>
      </c>
      <c r="R116" s="21" t="str">
        <f>IF(B116="","",IFERROR(IF(MAXIFS('Call Log'!$A$2:$A$5000,'Call Log'!$C$2:$C$5000,B116)=0,"",MAXIFS('Call Log'!$A$2:$A$5000,'Call Log'!$C$2:$C$5000,B116)),""))</f>
        <v/>
      </c>
      <c r="S116" s="5"/>
      <c r="T116" s="21"/>
      <c r="U116" s="21"/>
      <c r="V116" s="5"/>
      <c r="W116" s="20"/>
      <c r="X116" s="5"/>
      <c r="Y116" s="5"/>
      <c r="Z116" s="5" t="s">
        <v>132</v>
      </c>
      <c r="AA116" s="5" t="s">
        <v>879</v>
      </c>
    </row>
    <row r="117" ht="15.0" customHeight="1">
      <c r="A117" s="5" t="s">
        <v>880</v>
      </c>
      <c r="B117" s="5" t="s">
        <v>881</v>
      </c>
      <c r="C117" s="5" t="s">
        <v>882</v>
      </c>
      <c r="D117" s="5" t="s">
        <v>883</v>
      </c>
      <c r="E117" s="5"/>
      <c r="F117" s="20"/>
      <c r="G117" s="20"/>
      <c r="H117" s="5" t="s">
        <v>40</v>
      </c>
      <c r="I117" s="5" t="s">
        <v>122</v>
      </c>
      <c r="J117" s="5" t="s">
        <v>114</v>
      </c>
      <c r="K117" s="5" t="s">
        <v>884</v>
      </c>
      <c r="L117" s="5"/>
      <c r="M117" s="5" t="s">
        <v>8</v>
      </c>
      <c r="N117" s="5" t="s">
        <v>80</v>
      </c>
      <c r="O117" s="5" t="str">
        <f>IF(B117="","",IFERROR(LOOKUP(2,1/('Call Log'!$C$2:$C$5000=B117),'Call Log'!$B$2:$B$5000),""))</f>
        <v/>
      </c>
      <c r="P117" s="5">
        <f>IF(B117="","",COUNTIFS('Call Log'!$C$2:$C$5000,B117,'Call Log'!$A$2:$A$5000,"&gt;="&amp;(TODAY()-WEEKDAY(TODAY(),2)+1)))</f>
        <v>0</v>
      </c>
      <c r="Q117" s="5">
        <f>IF(B117="","",COUNTIF('Call Log'!$C$2:$C$5000,B117))</f>
        <v>0</v>
      </c>
      <c r="R117" s="21" t="str">
        <f>IF(B117="","",IFERROR(IF(MAXIFS('Call Log'!$A$2:$A$5000,'Call Log'!$C$2:$C$5000,B117)=0,"",MAXIFS('Call Log'!$A$2:$A$5000,'Call Log'!$C$2:$C$5000,B117)),""))</f>
        <v/>
      </c>
      <c r="S117" s="5"/>
      <c r="T117" s="21"/>
      <c r="U117" s="21"/>
      <c r="V117" s="5"/>
      <c r="W117" s="20"/>
      <c r="X117" s="5"/>
      <c r="Y117" s="5"/>
      <c r="Z117" s="5" t="s">
        <v>132</v>
      </c>
      <c r="AA117" s="5" t="s">
        <v>885</v>
      </c>
    </row>
    <row r="118" ht="15.0" customHeight="1">
      <c r="A118" s="5" t="s">
        <v>886</v>
      </c>
      <c r="B118" s="5" t="s">
        <v>887</v>
      </c>
      <c r="C118" s="5" t="s">
        <v>888</v>
      </c>
      <c r="D118" s="5" t="s">
        <v>889</v>
      </c>
      <c r="E118" s="5">
        <v>6.0</v>
      </c>
      <c r="F118" s="20"/>
      <c r="G118" s="20"/>
      <c r="H118" s="5" t="s">
        <v>41</v>
      </c>
      <c r="I118" s="5" t="s">
        <v>161</v>
      </c>
      <c r="J118" s="5" t="s">
        <v>114</v>
      </c>
      <c r="K118" s="5" t="s">
        <v>890</v>
      </c>
      <c r="L118" s="5" t="s">
        <v>891</v>
      </c>
      <c r="M118" s="5" t="s">
        <v>8</v>
      </c>
      <c r="N118" s="5" t="s">
        <v>80</v>
      </c>
      <c r="O118" s="5" t="str">
        <f>IF(B118="","",IFERROR(LOOKUP(2,1/('Call Log'!$C$2:$C$5000=B118),'Call Log'!$B$2:$B$5000),""))</f>
        <v/>
      </c>
      <c r="P118" s="5">
        <f>IF(B118="","",COUNTIFS('Call Log'!$C$2:$C$5000,B118,'Call Log'!$A$2:$A$5000,"&gt;="&amp;(TODAY()-WEEKDAY(TODAY(),2)+1)))</f>
        <v>0</v>
      </c>
      <c r="Q118" s="5">
        <f>IF(B118="","",COUNTIF('Call Log'!$C$2:$C$5000,B118))</f>
        <v>0</v>
      </c>
      <c r="R118" s="21" t="str">
        <f>IF(B118="","",IFERROR(IF(MAXIFS('Call Log'!$A$2:$A$5000,'Call Log'!$C$2:$C$5000,B118)=0,"",MAXIFS('Call Log'!$A$2:$A$5000,'Call Log'!$C$2:$C$5000,B118)),""))</f>
        <v/>
      </c>
      <c r="S118" s="5"/>
      <c r="T118" s="21"/>
      <c r="U118" s="21"/>
      <c r="V118" s="5"/>
      <c r="W118" s="20"/>
      <c r="X118" s="5"/>
      <c r="Y118" s="5"/>
      <c r="Z118" s="5" t="s">
        <v>132</v>
      </c>
      <c r="AA118" s="5" t="s">
        <v>892</v>
      </c>
    </row>
    <row r="119" ht="15.0" customHeight="1">
      <c r="A119" s="5" t="s">
        <v>893</v>
      </c>
      <c r="B119" s="5" t="s">
        <v>894</v>
      </c>
      <c r="C119" s="5" t="s">
        <v>895</v>
      </c>
      <c r="D119" s="5" t="s">
        <v>896</v>
      </c>
      <c r="E119" s="5"/>
      <c r="F119" s="20"/>
      <c r="G119" s="20"/>
      <c r="H119" s="5" t="s">
        <v>41</v>
      </c>
      <c r="I119" s="5" t="s">
        <v>246</v>
      </c>
      <c r="J119" s="5" t="s">
        <v>114</v>
      </c>
      <c r="K119" s="5" t="s">
        <v>897</v>
      </c>
      <c r="L119" s="5" t="s">
        <v>898</v>
      </c>
      <c r="M119" s="5" t="s">
        <v>8</v>
      </c>
      <c r="N119" s="5" t="s">
        <v>80</v>
      </c>
      <c r="O119" s="5" t="str">
        <f>IF(B119="","",IFERROR(LOOKUP(2,1/('Call Log'!$C$2:$C$5000=B119),'Call Log'!$B$2:$B$5000),""))</f>
        <v/>
      </c>
      <c r="P119" s="5">
        <f>IF(B119="","",COUNTIFS('Call Log'!$C$2:$C$5000,B119,'Call Log'!$A$2:$A$5000,"&gt;="&amp;(TODAY()-WEEKDAY(TODAY(),2)+1)))</f>
        <v>0</v>
      </c>
      <c r="Q119" s="5">
        <f>IF(B119="","",COUNTIF('Call Log'!$C$2:$C$5000,B119))</f>
        <v>0</v>
      </c>
      <c r="R119" s="21" t="str">
        <f>IF(B119="","",IFERROR(IF(MAXIFS('Call Log'!$A$2:$A$5000,'Call Log'!$C$2:$C$5000,B119)=0,"",MAXIFS('Call Log'!$A$2:$A$5000,'Call Log'!$C$2:$C$5000,B119)),""))</f>
        <v/>
      </c>
      <c r="S119" s="5"/>
      <c r="T119" s="21"/>
      <c r="U119" s="21"/>
      <c r="V119" s="5"/>
      <c r="W119" s="20"/>
      <c r="X119" s="5"/>
      <c r="Y119" s="5"/>
      <c r="Z119" s="5" t="s">
        <v>132</v>
      </c>
      <c r="AA119" s="5" t="s">
        <v>899</v>
      </c>
    </row>
    <row r="120" ht="15.0" customHeight="1">
      <c r="A120" s="5" t="s">
        <v>900</v>
      </c>
      <c r="B120" s="5" t="s">
        <v>901</v>
      </c>
      <c r="C120" s="5" t="s">
        <v>902</v>
      </c>
      <c r="D120" s="5" t="s">
        <v>903</v>
      </c>
      <c r="E120" s="5"/>
      <c r="F120" s="20"/>
      <c r="G120" s="20"/>
      <c r="H120" s="5" t="s">
        <v>41</v>
      </c>
      <c r="I120" s="5" t="s">
        <v>904</v>
      </c>
      <c r="J120" s="5" t="s">
        <v>114</v>
      </c>
      <c r="K120" s="5" t="s">
        <v>903</v>
      </c>
      <c r="L120" s="5"/>
      <c r="M120" s="5" t="s">
        <v>8</v>
      </c>
      <c r="N120" s="5" t="s">
        <v>80</v>
      </c>
      <c r="O120" s="5" t="str">
        <f>IF(B120="","",IFERROR(LOOKUP(2,1/('Call Log'!$C$2:$C$5000=B120),'Call Log'!$B$2:$B$5000),""))</f>
        <v/>
      </c>
      <c r="P120" s="5">
        <f>IF(B120="","",COUNTIFS('Call Log'!$C$2:$C$5000,B120,'Call Log'!$A$2:$A$5000,"&gt;="&amp;(TODAY()-WEEKDAY(TODAY(),2)+1)))</f>
        <v>0</v>
      </c>
      <c r="Q120" s="5">
        <f>IF(B120="","",COUNTIF('Call Log'!$C$2:$C$5000,B120))</f>
        <v>0</v>
      </c>
      <c r="R120" s="21" t="str">
        <f>IF(B120="","",IFERROR(IF(MAXIFS('Call Log'!$A$2:$A$5000,'Call Log'!$C$2:$C$5000,B120)=0,"",MAXIFS('Call Log'!$A$2:$A$5000,'Call Log'!$C$2:$C$5000,B120)),""))</f>
        <v/>
      </c>
      <c r="S120" s="5"/>
      <c r="T120" s="21"/>
      <c r="U120" s="21"/>
      <c r="V120" s="5"/>
      <c r="W120" s="20"/>
      <c r="X120" s="5"/>
      <c r="Y120" s="5"/>
      <c r="Z120" s="5" t="s">
        <v>132</v>
      </c>
      <c r="AA120" s="5" t="s">
        <v>905</v>
      </c>
    </row>
    <row r="121" ht="15.0" customHeight="1">
      <c r="A121" s="5" t="s">
        <v>906</v>
      </c>
      <c r="B121" s="5" t="s">
        <v>907</v>
      </c>
      <c r="C121" s="5" t="s">
        <v>908</v>
      </c>
      <c r="D121" s="5" t="s">
        <v>909</v>
      </c>
      <c r="E121" s="5"/>
      <c r="F121" s="20"/>
      <c r="G121" s="20"/>
      <c r="H121" s="5" t="s">
        <v>40</v>
      </c>
      <c r="I121" s="5" t="s">
        <v>357</v>
      </c>
      <c r="J121" s="5" t="s">
        <v>114</v>
      </c>
      <c r="K121" s="5" t="s">
        <v>910</v>
      </c>
      <c r="L121" s="5"/>
      <c r="M121" s="5" t="s">
        <v>8</v>
      </c>
      <c r="N121" s="5" t="s">
        <v>80</v>
      </c>
      <c r="O121" s="5" t="str">
        <f>IF(B121="","",IFERROR(LOOKUP(2,1/('Call Log'!$C$2:$C$5000=B121),'Call Log'!$B$2:$B$5000),""))</f>
        <v/>
      </c>
      <c r="P121" s="5">
        <f>IF(B121="","",COUNTIFS('Call Log'!$C$2:$C$5000,B121,'Call Log'!$A$2:$A$5000,"&gt;="&amp;(TODAY()-WEEKDAY(TODAY(),2)+1)))</f>
        <v>0</v>
      </c>
      <c r="Q121" s="5">
        <f>IF(B121="","",COUNTIF('Call Log'!$C$2:$C$5000,B121))</f>
        <v>0</v>
      </c>
      <c r="R121" s="21" t="str">
        <f>IF(B121="","",IFERROR(IF(MAXIFS('Call Log'!$A$2:$A$5000,'Call Log'!$C$2:$C$5000,B121)=0,"",MAXIFS('Call Log'!$A$2:$A$5000,'Call Log'!$C$2:$C$5000,B121)),""))</f>
        <v/>
      </c>
      <c r="S121" s="5"/>
      <c r="T121" s="21"/>
      <c r="U121" s="21"/>
      <c r="V121" s="5"/>
      <c r="W121" s="20"/>
      <c r="X121" s="5"/>
      <c r="Y121" s="5"/>
      <c r="Z121" s="5" t="s">
        <v>132</v>
      </c>
      <c r="AA121" s="5" t="s">
        <v>911</v>
      </c>
    </row>
    <row r="122" ht="15.0" customHeight="1">
      <c r="A122" s="5" t="s">
        <v>912</v>
      </c>
      <c r="B122" s="5" t="s">
        <v>913</v>
      </c>
      <c r="C122" s="5" t="s">
        <v>914</v>
      </c>
      <c r="D122" s="5" t="s">
        <v>915</v>
      </c>
      <c r="E122" s="5">
        <v>2.0</v>
      </c>
      <c r="F122" s="20"/>
      <c r="G122" s="20"/>
      <c r="H122" s="5" t="s">
        <v>41</v>
      </c>
      <c r="I122" s="5" t="s">
        <v>370</v>
      </c>
      <c r="J122" s="5" t="s">
        <v>114</v>
      </c>
      <c r="K122" s="5" t="s">
        <v>916</v>
      </c>
      <c r="L122" s="5" t="s">
        <v>917</v>
      </c>
      <c r="M122" s="5" t="s">
        <v>8</v>
      </c>
      <c r="N122" s="5" t="s">
        <v>80</v>
      </c>
      <c r="O122" s="5" t="str">
        <f>IF(B122="","",IFERROR(LOOKUP(2,1/('Call Log'!$C$2:$C$5000=B122),'Call Log'!$B$2:$B$5000),""))</f>
        <v/>
      </c>
      <c r="P122" s="5">
        <f>IF(B122="","",COUNTIFS('Call Log'!$C$2:$C$5000,B122,'Call Log'!$A$2:$A$5000,"&gt;="&amp;(TODAY()-WEEKDAY(TODAY(),2)+1)))</f>
        <v>0</v>
      </c>
      <c r="Q122" s="5">
        <f>IF(B122="","",COUNTIF('Call Log'!$C$2:$C$5000,B122))</f>
        <v>0</v>
      </c>
      <c r="R122" s="21" t="str">
        <f>IF(B122="","",IFERROR(IF(MAXIFS('Call Log'!$A$2:$A$5000,'Call Log'!$C$2:$C$5000,B122)=0,"",MAXIFS('Call Log'!$A$2:$A$5000,'Call Log'!$C$2:$C$5000,B122)),""))</f>
        <v/>
      </c>
      <c r="S122" s="5"/>
      <c r="T122" s="21"/>
      <c r="U122" s="21"/>
      <c r="V122" s="5"/>
      <c r="W122" s="20"/>
      <c r="X122" s="5"/>
      <c r="Y122" s="5"/>
      <c r="Z122" s="5" t="s">
        <v>178</v>
      </c>
      <c r="AA122" s="5" t="s">
        <v>918</v>
      </c>
    </row>
    <row r="123" ht="15.0" customHeight="1">
      <c r="A123" s="5" t="s">
        <v>919</v>
      </c>
      <c r="B123" s="5" t="s">
        <v>920</v>
      </c>
      <c r="C123" s="5" t="s">
        <v>921</v>
      </c>
      <c r="D123" s="5" t="s">
        <v>922</v>
      </c>
      <c r="E123" s="5">
        <v>1.0</v>
      </c>
      <c r="F123" s="20"/>
      <c r="G123" s="20"/>
      <c r="H123" s="5" t="s">
        <v>41</v>
      </c>
      <c r="I123" s="5" t="s">
        <v>206</v>
      </c>
      <c r="J123" s="5" t="s">
        <v>114</v>
      </c>
      <c r="K123" s="5" t="s">
        <v>923</v>
      </c>
      <c r="L123" s="5"/>
      <c r="M123" s="5" t="s">
        <v>8</v>
      </c>
      <c r="N123" s="5" t="s">
        <v>80</v>
      </c>
      <c r="O123" s="5" t="str">
        <f>IF(B123="","",IFERROR(LOOKUP(2,1/('Call Log'!$C$2:$C$5000=B123),'Call Log'!$B$2:$B$5000),""))</f>
        <v/>
      </c>
      <c r="P123" s="5">
        <f>IF(B123="","",COUNTIFS('Call Log'!$C$2:$C$5000,B123,'Call Log'!$A$2:$A$5000,"&gt;="&amp;(TODAY()-WEEKDAY(TODAY(),2)+1)))</f>
        <v>0</v>
      </c>
      <c r="Q123" s="5">
        <f>IF(B123="","",COUNTIF('Call Log'!$C$2:$C$5000,B123))</f>
        <v>0</v>
      </c>
      <c r="R123" s="21" t="str">
        <f>IF(B123="","",IFERROR(IF(MAXIFS('Call Log'!$A$2:$A$5000,'Call Log'!$C$2:$C$5000,B123)=0,"",MAXIFS('Call Log'!$A$2:$A$5000,'Call Log'!$C$2:$C$5000,B123)),""))</f>
        <v/>
      </c>
      <c r="S123" s="5"/>
      <c r="T123" s="21"/>
      <c r="U123" s="21"/>
      <c r="V123" s="5"/>
      <c r="W123" s="20"/>
      <c r="X123" s="5"/>
      <c r="Y123" s="5"/>
      <c r="Z123" s="5" t="s">
        <v>132</v>
      </c>
      <c r="AA123" s="5" t="s">
        <v>924</v>
      </c>
    </row>
    <row r="124" ht="15.0" customHeight="1">
      <c r="A124" s="5" t="s">
        <v>925</v>
      </c>
      <c r="B124" s="5" t="s">
        <v>926</v>
      </c>
      <c r="C124" s="5" t="s">
        <v>927</v>
      </c>
      <c r="D124" s="5" t="s">
        <v>928</v>
      </c>
      <c r="E124" s="5">
        <v>11.0</v>
      </c>
      <c r="F124" s="20"/>
      <c r="G124" s="20"/>
      <c r="H124" s="5" t="s">
        <v>40</v>
      </c>
      <c r="I124" s="5" t="s">
        <v>184</v>
      </c>
      <c r="J124" s="5" t="s">
        <v>114</v>
      </c>
      <c r="K124" s="5" t="s">
        <v>929</v>
      </c>
      <c r="L124" s="5" t="s">
        <v>930</v>
      </c>
      <c r="M124" s="5" t="s">
        <v>8</v>
      </c>
      <c r="N124" s="5" t="s">
        <v>80</v>
      </c>
      <c r="O124" s="5" t="str">
        <f>IF(B124="","",IFERROR(LOOKUP(2,1/('Call Log'!$C$2:$C$5000=B124),'Call Log'!$B$2:$B$5000),""))</f>
        <v/>
      </c>
      <c r="P124" s="5">
        <f>IF(B124="","",COUNTIFS('Call Log'!$C$2:$C$5000,B124,'Call Log'!$A$2:$A$5000,"&gt;="&amp;(TODAY()-WEEKDAY(TODAY(),2)+1)))</f>
        <v>0</v>
      </c>
      <c r="Q124" s="5">
        <f>IF(B124="","",COUNTIF('Call Log'!$C$2:$C$5000,B124))</f>
        <v>0</v>
      </c>
      <c r="R124" s="21" t="str">
        <f>IF(B124="","",IFERROR(IF(MAXIFS('Call Log'!$A$2:$A$5000,'Call Log'!$C$2:$C$5000,B124)=0,"",MAXIFS('Call Log'!$A$2:$A$5000,'Call Log'!$C$2:$C$5000,B124)),""))</f>
        <v/>
      </c>
      <c r="S124" s="5"/>
      <c r="T124" s="21"/>
      <c r="U124" s="21"/>
      <c r="V124" s="5"/>
      <c r="W124" s="20"/>
      <c r="X124" s="5"/>
      <c r="Y124" s="5"/>
      <c r="Z124" s="5" t="s">
        <v>132</v>
      </c>
      <c r="AA124" s="5" t="s">
        <v>931</v>
      </c>
    </row>
    <row r="125" ht="15.0" customHeight="1">
      <c r="A125" s="5" t="s">
        <v>932</v>
      </c>
      <c r="B125" s="5" t="s">
        <v>933</v>
      </c>
      <c r="C125" s="5" t="s">
        <v>934</v>
      </c>
      <c r="D125" s="5" t="s">
        <v>935</v>
      </c>
      <c r="E125" s="5">
        <v>1.0</v>
      </c>
      <c r="F125" s="20"/>
      <c r="G125" s="20"/>
      <c r="H125" s="5" t="s">
        <v>41</v>
      </c>
      <c r="I125" s="5" t="s">
        <v>161</v>
      </c>
      <c r="J125" s="5" t="s">
        <v>114</v>
      </c>
      <c r="K125" s="5" t="s">
        <v>936</v>
      </c>
      <c r="L125" s="5" t="s">
        <v>937</v>
      </c>
      <c r="M125" s="5" t="s">
        <v>8</v>
      </c>
      <c r="N125" s="5" t="s">
        <v>80</v>
      </c>
      <c r="O125" s="5" t="str">
        <f>IF(B125="","",IFERROR(LOOKUP(2,1/('Call Log'!$C$2:$C$5000=B125),'Call Log'!$B$2:$B$5000),""))</f>
        <v/>
      </c>
      <c r="P125" s="5">
        <f>IF(B125="","",COUNTIFS('Call Log'!$C$2:$C$5000,B125,'Call Log'!$A$2:$A$5000,"&gt;="&amp;(TODAY()-WEEKDAY(TODAY(),2)+1)))</f>
        <v>0</v>
      </c>
      <c r="Q125" s="5">
        <f>IF(B125="","",COUNTIF('Call Log'!$C$2:$C$5000,B125))</f>
        <v>0</v>
      </c>
      <c r="R125" s="21" t="str">
        <f>IF(B125="","",IFERROR(IF(MAXIFS('Call Log'!$A$2:$A$5000,'Call Log'!$C$2:$C$5000,B125)=0,"",MAXIFS('Call Log'!$A$2:$A$5000,'Call Log'!$C$2:$C$5000,B125)),""))</f>
        <v/>
      </c>
      <c r="S125" s="5"/>
      <c r="T125" s="21"/>
      <c r="U125" s="21"/>
      <c r="V125" s="5"/>
      <c r="W125" s="20"/>
      <c r="X125" s="5"/>
      <c r="Y125" s="5"/>
      <c r="Z125" s="5" t="s">
        <v>132</v>
      </c>
      <c r="AA125" s="5" t="s">
        <v>938</v>
      </c>
    </row>
    <row r="126" ht="15.0" customHeight="1">
      <c r="A126" s="5" t="s">
        <v>939</v>
      </c>
      <c r="B126" s="5" t="s">
        <v>940</v>
      </c>
      <c r="C126" s="5" t="s">
        <v>941</v>
      </c>
      <c r="D126" s="5" t="s">
        <v>942</v>
      </c>
      <c r="E126" s="5"/>
      <c r="F126" s="20"/>
      <c r="G126" s="20"/>
      <c r="H126" s="5" t="s">
        <v>41</v>
      </c>
      <c r="I126" s="5" t="s">
        <v>422</v>
      </c>
      <c r="J126" s="5" t="s">
        <v>114</v>
      </c>
      <c r="K126" s="5" t="s">
        <v>942</v>
      </c>
      <c r="L126" s="5" t="s">
        <v>943</v>
      </c>
      <c r="M126" s="5" t="s">
        <v>8</v>
      </c>
      <c r="N126" s="5" t="s">
        <v>80</v>
      </c>
      <c r="O126" s="5" t="str">
        <f>IF(B126="","",IFERROR(LOOKUP(2,1/('Call Log'!$C$2:$C$5000=B126),'Call Log'!$B$2:$B$5000),""))</f>
        <v/>
      </c>
      <c r="P126" s="5">
        <f>IF(B126="","",COUNTIFS('Call Log'!$C$2:$C$5000,B126,'Call Log'!$A$2:$A$5000,"&gt;="&amp;(TODAY()-WEEKDAY(TODAY(),2)+1)))</f>
        <v>0</v>
      </c>
      <c r="Q126" s="5">
        <f>IF(B126="","",COUNTIF('Call Log'!$C$2:$C$5000,B126))</f>
        <v>0</v>
      </c>
      <c r="R126" s="21" t="str">
        <f>IF(B126="","",IFERROR(IF(MAXIFS('Call Log'!$A$2:$A$5000,'Call Log'!$C$2:$C$5000,B126)=0,"",MAXIFS('Call Log'!$A$2:$A$5000,'Call Log'!$C$2:$C$5000,B126)),""))</f>
        <v/>
      </c>
      <c r="S126" s="5"/>
      <c r="T126" s="21"/>
      <c r="U126" s="21"/>
      <c r="V126" s="5"/>
      <c r="W126" s="20"/>
      <c r="X126" s="5"/>
      <c r="Y126" s="5"/>
      <c r="Z126" s="5" t="s">
        <v>132</v>
      </c>
      <c r="AA126" s="5" t="s">
        <v>944</v>
      </c>
    </row>
    <row r="127" ht="15.0" customHeight="1">
      <c r="A127" s="5" t="s">
        <v>945</v>
      </c>
      <c r="B127" s="5" t="s">
        <v>946</v>
      </c>
      <c r="C127" s="5" t="s">
        <v>947</v>
      </c>
      <c r="D127" s="5" t="s">
        <v>948</v>
      </c>
      <c r="E127" s="5"/>
      <c r="F127" s="20"/>
      <c r="G127" s="20"/>
      <c r="H127" s="5" t="s">
        <v>40</v>
      </c>
      <c r="I127" s="5" t="s">
        <v>146</v>
      </c>
      <c r="J127" s="5" t="s">
        <v>114</v>
      </c>
      <c r="K127" s="5" t="s">
        <v>949</v>
      </c>
      <c r="L127" s="5"/>
      <c r="M127" s="5" t="s">
        <v>8</v>
      </c>
      <c r="N127" s="5" t="s">
        <v>80</v>
      </c>
      <c r="O127" s="5" t="str">
        <f>IF(B127="","",IFERROR(LOOKUP(2,1/('Call Log'!$C$2:$C$5000=B127),'Call Log'!$B$2:$B$5000),""))</f>
        <v/>
      </c>
      <c r="P127" s="5">
        <f>IF(B127="","",COUNTIFS('Call Log'!$C$2:$C$5000,B127,'Call Log'!$A$2:$A$5000,"&gt;="&amp;(TODAY()-WEEKDAY(TODAY(),2)+1)))</f>
        <v>0</v>
      </c>
      <c r="Q127" s="5">
        <f>IF(B127="","",COUNTIF('Call Log'!$C$2:$C$5000,B127))</f>
        <v>0</v>
      </c>
      <c r="R127" s="21" t="str">
        <f>IF(B127="","",IFERROR(IF(MAXIFS('Call Log'!$A$2:$A$5000,'Call Log'!$C$2:$C$5000,B127)=0,"",MAXIFS('Call Log'!$A$2:$A$5000,'Call Log'!$C$2:$C$5000,B127)),""))</f>
        <v/>
      </c>
      <c r="S127" s="5"/>
      <c r="T127" s="21"/>
      <c r="U127" s="21"/>
      <c r="V127" s="5"/>
      <c r="W127" s="20"/>
      <c r="X127" s="5"/>
      <c r="Y127" s="5"/>
      <c r="Z127" s="5" t="s">
        <v>132</v>
      </c>
      <c r="AA127" s="5" t="s">
        <v>950</v>
      </c>
    </row>
    <row r="128" ht="15.0" customHeight="1">
      <c r="A128" s="5" t="s">
        <v>951</v>
      </c>
      <c r="B128" s="5" t="s">
        <v>952</v>
      </c>
      <c r="C128" s="5" t="s">
        <v>953</v>
      </c>
      <c r="D128" s="5" t="s">
        <v>954</v>
      </c>
      <c r="E128" s="5"/>
      <c r="F128" s="20"/>
      <c r="G128" s="20"/>
      <c r="H128" s="5" t="s">
        <v>41</v>
      </c>
      <c r="I128" s="5" t="s">
        <v>146</v>
      </c>
      <c r="J128" s="5" t="s">
        <v>114</v>
      </c>
      <c r="K128" s="5" t="s">
        <v>955</v>
      </c>
      <c r="L128" s="5"/>
      <c r="M128" s="5" t="s">
        <v>8</v>
      </c>
      <c r="N128" s="5" t="s">
        <v>80</v>
      </c>
      <c r="O128" s="5" t="str">
        <f>IF(B128="","",IFERROR(LOOKUP(2,1/('Call Log'!$C$2:$C$5000=B128),'Call Log'!$B$2:$B$5000),""))</f>
        <v/>
      </c>
      <c r="P128" s="5">
        <f>IF(B128="","",COUNTIFS('Call Log'!$C$2:$C$5000,B128,'Call Log'!$A$2:$A$5000,"&gt;="&amp;(TODAY()-WEEKDAY(TODAY(),2)+1)))</f>
        <v>0</v>
      </c>
      <c r="Q128" s="5">
        <f>IF(B128="","",COUNTIF('Call Log'!$C$2:$C$5000,B128))</f>
        <v>0</v>
      </c>
      <c r="R128" s="21" t="str">
        <f>IF(B128="","",IFERROR(IF(MAXIFS('Call Log'!$A$2:$A$5000,'Call Log'!$C$2:$C$5000,B128)=0,"",MAXIFS('Call Log'!$A$2:$A$5000,'Call Log'!$C$2:$C$5000,B128)),""))</f>
        <v/>
      </c>
      <c r="S128" s="5"/>
      <c r="T128" s="21"/>
      <c r="U128" s="21"/>
      <c r="V128" s="5"/>
      <c r="W128" s="20"/>
      <c r="X128" s="5"/>
      <c r="Y128" s="5"/>
      <c r="Z128" s="5" t="s">
        <v>132</v>
      </c>
      <c r="AA128" s="5" t="s">
        <v>956</v>
      </c>
    </row>
    <row r="129" ht="15.0" customHeight="1">
      <c r="A129" s="5" t="s">
        <v>957</v>
      </c>
      <c r="B129" s="5" t="s">
        <v>958</v>
      </c>
      <c r="C129" s="5" t="s">
        <v>959</v>
      </c>
      <c r="D129" s="5" t="s">
        <v>960</v>
      </c>
      <c r="E129" s="5">
        <v>10.0</v>
      </c>
      <c r="F129" s="20"/>
      <c r="G129" s="20"/>
      <c r="H129" s="5" t="s">
        <v>40</v>
      </c>
      <c r="I129" s="5" t="s">
        <v>667</v>
      </c>
      <c r="J129" s="5" t="s">
        <v>114</v>
      </c>
      <c r="K129" s="5" t="s">
        <v>961</v>
      </c>
      <c r="L129" s="5" t="s">
        <v>962</v>
      </c>
      <c r="M129" s="5" t="s">
        <v>8</v>
      </c>
      <c r="N129" s="5" t="s">
        <v>80</v>
      </c>
      <c r="O129" s="5" t="str">
        <f>IF(B129="","",IFERROR(LOOKUP(2,1/('Call Log'!$C$2:$C$5000=B129),'Call Log'!$B$2:$B$5000),""))</f>
        <v/>
      </c>
      <c r="P129" s="5">
        <f>IF(B129="","",COUNTIFS('Call Log'!$C$2:$C$5000,B129,'Call Log'!$A$2:$A$5000,"&gt;="&amp;(TODAY()-WEEKDAY(TODAY(),2)+1)))</f>
        <v>0</v>
      </c>
      <c r="Q129" s="5">
        <f>IF(B129="","",COUNTIF('Call Log'!$C$2:$C$5000,B129))</f>
        <v>0</v>
      </c>
      <c r="R129" s="21" t="str">
        <f>IF(B129="","",IFERROR(IF(MAXIFS('Call Log'!$A$2:$A$5000,'Call Log'!$C$2:$C$5000,B129)=0,"",MAXIFS('Call Log'!$A$2:$A$5000,'Call Log'!$C$2:$C$5000,B129)),""))</f>
        <v/>
      </c>
      <c r="S129" s="5"/>
      <c r="T129" s="21"/>
      <c r="U129" s="21"/>
      <c r="V129" s="5"/>
      <c r="W129" s="20"/>
      <c r="X129" s="5"/>
      <c r="Y129" s="5"/>
      <c r="Z129" s="5"/>
      <c r="AA129" s="5" t="s">
        <v>963</v>
      </c>
    </row>
    <row r="130" ht="15.0" customHeight="1">
      <c r="A130" s="5" t="s">
        <v>964</v>
      </c>
      <c r="B130" s="5" t="s">
        <v>965</v>
      </c>
      <c r="C130" s="5" t="s">
        <v>966</v>
      </c>
      <c r="D130" s="5" t="s">
        <v>967</v>
      </c>
      <c r="E130" s="5">
        <v>5.0</v>
      </c>
      <c r="F130" s="20"/>
      <c r="G130" s="20"/>
      <c r="H130" s="5" t="s">
        <v>40</v>
      </c>
      <c r="I130" s="5" t="s">
        <v>184</v>
      </c>
      <c r="J130" s="5" t="s">
        <v>114</v>
      </c>
      <c r="K130" s="5" t="s">
        <v>968</v>
      </c>
      <c r="L130" s="5" t="s">
        <v>969</v>
      </c>
      <c r="M130" s="5" t="s">
        <v>8</v>
      </c>
      <c r="N130" s="5" t="s">
        <v>80</v>
      </c>
      <c r="O130" s="5" t="str">
        <f>IF(B130="","",IFERROR(LOOKUP(2,1/('Call Log'!$C$2:$C$5000=B130),'Call Log'!$B$2:$B$5000),""))</f>
        <v/>
      </c>
      <c r="P130" s="5">
        <f>IF(B130="","",COUNTIFS('Call Log'!$C$2:$C$5000,B130,'Call Log'!$A$2:$A$5000,"&gt;="&amp;(TODAY()-WEEKDAY(TODAY(),2)+1)))</f>
        <v>0</v>
      </c>
      <c r="Q130" s="5">
        <f>IF(B130="","",COUNTIF('Call Log'!$C$2:$C$5000,B130))</f>
        <v>0</v>
      </c>
      <c r="R130" s="21" t="str">
        <f>IF(B130="","",IFERROR(IF(MAXIFS('Call Log'!$A$2:$A$5000,'Call Log'!$C$2:$C$5000,B130)=0,"",MAXIFS('Call Log'!$A$2:$A$5000,'Call Log'!$C$2:$C$5000,B130)),""))</f>
        <v/>
      </c>
      <c r="S130" s="5"/>
      <c r="T130" s="21"/>
      <c r="U130" s="21"/>
      <c r="V130" s="5"/>
      <c r="W130" s="20"/>
      <c r="X130" s="5"/>
      <c r="Y130" s="5"/>
      <c r="Z130" s="5" t="s">
        <v>132</v>
      </c>
      <c r="AA130" s="5" t="s">
        <v>970</v>
      </c>
    </row>
    <row r="131" ht="15.0" customHeight="1">
      <c r="A131" s="5" t="s">
        <v>971</v>
      </c>
      <c r="B131" s="5" t="s">
        <v>972</v>
      </c>
      <c r="C131" s="5" t="s">
        <v>973</v>
      </c>
      <c r="D131" s="5" t="s">
        <v>974</v>
      </c>
      <c r="E131" s="5"/>
      <c r="F131" s="20"/>
      <c r="G131" s="20"/>
      <c r="H131" s="5" t="s">
        <v>40</v>
      </c>
      <c r="I131" s="5" t="s">
        <v>122</v>
      </c>
      <c r="J131" s="5" t="s">
        <v>114</v>
      </c>
      <c r="K131" s="5" t="s">
        <v>975</v>
      </c>
      <c r="L131" s="5"/>
      <c r="M131" s="5" t="s">
        <v>8</v>
      </c>
      <c r="N131" s="5" t="s">
        <v>80</v>
      </c>
      <c r="O131" s="5" t="str">
        <f>IF(B131="","",IFERROR(LOOKUP(2,1/('Call Log'!$C$2:$C$5000=B131),'Call Log'!$B$2:$B$5000),""))</f>
        <v/>
      </c>
      <c r="P131" s="5">
        <f>IF(B131="","",COUNTIFS('Call Log'!$C$2:$C$5000,B131,'Call Log'!$A$2:$A$5000,"&gt;="&amp;(TODAY()-WEEKDAY(TODAY(),2)+1)))</f>
        <v>0</v>
      </c>
      <c r="Q131" s="5">
        <f>IF(B131="","",COUNTIF('Call Log'!$C$2:$C$5000,B131))</f>
        <v>0</v>
      </c>
      <c r="R131" s="21" t="str">
        <f>IF(B131="","",IFERROR(IF(MAXIFS('Call Log'!$A$2:$A$5000,'Call Log'!$C$2:$C$5000,B131)=0,"",MAXIFS('Call Log'!$A$2:$A$5000,'Call Log'!$C$2:$C$5000,B131)),""))</f>
        <v/>
      </c>
      <c r="S131" s="5"/>
      <c r="T131" s="21"/>
      <c r="U131" s="21"/>
      <c r="V131" s="5"/>
      <c r="W131" s="20"/>
      <c r="X131" s="5"/>
      <c r="Y131" s="5"/>
      <c r="Z131" s="5" t="s">
        <v>178</v>
      </c>
      <c r="AA131" s="5" t="s">
        <v>976</v>
      </c>
    </row>
    <row r="132" ht="15.0" customHeight="1">
      <c r="A132" s="5" t="s">
        <v>977</v>
      </c>
      <c r="B132" s="5" t="s">
        <v>978</v>
      </c>
      <c r="C132" s="5" t="s">
        <v>979</v>
      </c>
      <c r="D132" s="5" t="s">
        <v>980</v>
      </c>
      <c r="E132" s="5">
        <v>2.0</v>
      </c>
      <c r="F132" s="20"/>
      <c r="G132" s="20"/>
      <c r="H132" s="5" t="s">
        <v>40</v>
      </c>
      <c r="I132" s="5" t="s">
        <v>981</v>
      </c>
      <c r="J132" s="5" t="s">
        <v>114</v>
      </c>
      <c r="K132" s="5" t="s">
        <v>982</v>
      </c>
      <c r="L132" s="5"/>
      <c r="M132" s="5" t="s">
        <v>8</v>
      </c>
      <c r="N132" s="5" t="s">
        <v>80</v>
      </c>
      <c r="O132" s="5" t="str">
        <f>IF(B132="","",IFERROR(LOOKUP(2,1/('Call Log'!$C$2:$C$5000=B132),'Call Log'!$B$2:$B$5000),""))</f>
        <v/>
      </c>
      <c r="P132" s="5">
        <f>IF(B132="","",COUNTIFS('Call Log'!$C$2:$C$5000,B132,'Call Log'!$A$2:$A$5000,"&gt;="&amp;(TODAY()-WEEKDAY(TODAY(),2)+1)))</f>
        <v>0</v>
      </c>
      <c r="Q132" s="5">
        <f>IF(B132="","",COUNTIF('Call Log'!$C$2:$C$5000,B132))</f>
        <v>0</v>
      </c>
      <c r="R132" s="21" t="str">
        <f>IF(B132="","",IFERROR(IF(MAXIFS('Call Log'!$A$2:$A$5000,'Call Log'!$C$2:$C$5000,B132)=0,"",MAXIFS('Call Log'!$A$2:$A$5000,'Call Log'!$C$2:$C$5000,B132)),""))</f>
        <v/>
      </c>
      <c r="S132" s="5"/>
      <c r="T132" s="21"/>
      <c r="U132" s="21"/>
      <c r="V132" s="5"/>
      <c r="W132" s="20"/>
      <c r="X132" s="5"/>
      <c r="Y132" s="5"/>
      <c r="Z132" s="5" t="s">
        <v>132</v>
      </c>
      <c r="AA132" s="5" t="s">
        <v>983</v>
      </c>
    </row>
    <row r="133" ht="15.0" customHeight="1">
      <c r="A133" s="5" t="s">
        <v>984</v>
      </c>
      <c r="B133" s="5" t="s">
        <v>985</v>
      </c>
      <c r="C133" s="5" t="s">
        <v>986</v>
      </c>
      <c r="D133" s="5" t="s">
        <v>987</v>
      </c>
      <c r="E133" s="5">
        <v>4.0</v>
      </c>
      <c r="F133" s="20"/>
      <c r="G133" s="20"/>
      <c r="H133" s="5" t="s">
        <v>41</v>
      </c>
      <c r="I133" s="5" t="s">
        <v>175</v>
      </c>
      <c r="J133" s="5" t="s">
        <v>114</v>
      </c>
      <c r="K133" s="5" t="s">
        <v>988</v>
      </c>
      <c r="L133" s="5"/>
      <c r="M133" s="5" t="s">
        <v>8</v>
      </c>
      <c r="N133" s="5" t="s">
        <v>80</v>
      </c>
      <c r="O133" s="5" t="str">
        <f>IF(B133="","",IFERROR(LOOKUP(2,1/('Call Log'!$C$2:$C$5000=B133),'Call Log'!$B$2:$B$5000),""))</f>
        <v/>
      </c>
      <c r="P133" s="5">
        <f>IF(B133="","",COUNTIFS('Call Log'!$C$2:$C$5000,B133,'Call Log'!$A$2:$A$5000,"&gt;="&amp;(TODAY()-WEEKDAY(TODAY(),2)+1)))</f>
        <v>0</v>
      </c>
      <c r="Q133" s="5">
        <f>IF(B133="","",COUNTIF('Call Log'!$C$2:$C$5000,B133))</f>
        <v>0</v>
      </c>
      <c r="R133" s="21" t="str">
        <f>IF(B133="","",IFERROR(IF(MAXIFS('Call Log'!$A$2:$A$5000,'Call Log'!$C$2:$C$5000,B133)=0,"",MAXIFS('Call Log'!$A$2:$A$5000,'Call Log'!$C$2:$C$5000,B133)),""))</f>
        <v/>
      </c>
      <c r="S133" s="5"/>
      <c r="T133" s="21"/>
      <c r="U133" s="21"/>
      <c r="V133" s="5"/>
      <c r="W133" s="20"/>
      <c r="X133" s="5"/>
      <c r="Y133" s="5"/>
      <c r="Z133" s="5" t="s">
        <v>132</v>
      </c>
      <c r="AA133" s="5" t="s">
        <v>989</v>
      </c>
    </row>
    <row r="134" ht="15.0" customHeight="1">
      <c r="A134" s="5" t="s">
        <v>990</v>
      </c>
      <c r="B134" s="5" t="s">
        <v>991</v>
      </c>
      <c r="C134" s="5" t="s">
        <v>713</v>
      </c>
      <c r="D134" s="5" t="s">
        <v>714</v>
      </c>
      <c r="E134" s="5">
        <v>4.0</v>
      </c>
      <c r="F134" s="20"/>
      <c r="G134" s="20"/>
      <c r="H134" s="5" t="s">
        <v>41</v>
      </c>
      <c r="I134" s="5" t="s">
        <v>175</v>
      </c>
      <c r="J134" s="5" t="s">
        <v>114</v>
      </c>
      <c r="K134" s="5" t="s">
        <v>715</v>
      </c>
      <c r="L134" s="5"/>
      <c r="M134" s="5" t="s">
        <v>8</v>
      </c>
      <c r="N134" s="5" t="s">
        <v>80</v>
      </c>
      <c r="O134" s="5" t="str">
        <f>IF(B134="","",IFERROR(LOOKUP(2,1/('Call Log'!$C$2:$C$5000=B134),'Call Log'!$B$2:$B$5000),""))</f>
        <v/>
      </c>
      <c r="P134" s="5">
        <f>IF(B134="","",COUNTIFS('Call Log'!$C$2:$C$5000,B134,'Call Log'!$A$2:$A$5000,"&gt;="&amp;(TODAY()-WEEKDAY(TODAY(),2)+1)))</f>
        <v>0</v>
      </c>
      <c r="Q134" s="5">
        <f>IF(B134="","",COUNTIF('Call Log'!$C$2:$C$5000,B134))</f>
        <v>0</v>
      </c>
      <c r="R134" s="21" t="str">
        <f>IF(B134="","",IFERROR(IF(MAXIFS('Call Log'!$A$2:$A$5000,'Call Log'!$C$2:$C$5000,B134)=0,"",MAXIFS('Call Log'!$A$2:$A$5000,'Call Log'!$C$2:$C$5000,B134)),""))</f>
        <v/>
      </c>
      <c r="S134" s="5"/>
      <c r="T134" s="21"/>
      <c r="U134" s="21"/>
      <c r="V134" s="5"/>
      <c r="W134" s="20"/>
      <c r="X134" s="5"/>
      <c r="Y134" s="5"/>
      <c r="Z134" s="5" t="s">
        <v>178</v>
      </c>
      <c r="AA134" s="5" t="s">
        <v>716</v>
      </c>
    </row>
    <row r="135" ht="15.0" customHeight="1">
      <c r="A135" s="5" t="s">
        <v>992</v>
      </c>
      <c r="B135" s="5" t="s">
        <v>993</v>
      </c>
      <c r="C135" s="5" t="s">
        <v>994</v>
      </c>
      <c r="D135" s="5" t="s">
        <v>995</v>
      </c>
      <c r="E135" s="5">
        <v>5.0</v>
      </c>
      <c r="F135" s="20"/>
      <c r="G135" s="20"/>
      <c r="H135" s="5" t="s">
        <v>40</v>
      </c>
      <c r="I135" s="5" t="s">
        <v>622</v>
      </c>
      <c r="J135" s="5" t="s">
        <v>114</v>
      </c>
      <c r="K135" s="5" t="s">
        <v>996</v>
      </c>
      <c r="L135" s="5" t="s">
        <v>997</v>
      </c>
      <c r="M135" s="5" t="s">
        <v>8</v>
      </c>
      <c r="N135" s="5" t="s">
        <v>80</v>
      </c>
      <c r="O135" s="5" t="str">
        <f>IF(B135="","",IFERROR(LOOKUP(2,1/('Call Log'!$C$2:$C$5000=B135),'Call Log'!$B$2:$B$5000),""))</f>
        <v/>
      </c>
      <c r="P135" s="5">
        <f>IF(B135="","",COUNTIFS('Call Log'!$C$2:$C$5000,B135,'Call Log'!$A$2:$A$5000,"&gt;="&amp;(TODAY()-WEEKDAY(TODAY(),2)+1)))</f>
        <v>0</v>
      </c>
      <c r="Q135" s="5">
        <f>IF(B135="","",COUNTIF('Call Log'!$C$2:$C$5000,B135))</f>
        <v>0</v>
      </c>
      <c r="R135" s="21" t="str">
        <f>IF(B135="","",IFERROR(IF(MAXIFS('Call Log'!$A$2:$A$5000,'Call Log'!$C$2:$C$5000,B135)=0,"",MAXIFS('Call Log'!$A$2:$A$5000,'Call Log'!$C$2:$C$5000,B135)),""))</f>
        <v/>
      </c>
      <c r="S135" s="5"/>
      <c r="T135" s="21"/>
      <c r="U135" s="21"/>
      <c r="V135" s="5"/>
      <c r="W135" s="20"/>
      <c r="X135" s="5"/>
      <c r="Y135" s="5"/>
      <c r="Z135" s="5" t="s">
        <v>132</v>
      </c>
      <c r="AA135" s="5" t="s">
        <v>998</v>
      </c>
    </row>
    <row r="136" ht="15.0" customHeight="1">
      <c r="A136" s="5" t="s">
        <v>999</v>
      </c>
      <c r="B136" s="5" t="s">
        <v>1000</v>
      </c>
      <c r="C136" s="5" t="s">
        <v>1001</v>
      </c>
      <c r="D136" s="5" t="s">
        <v>1002</v>
      </c>
      <c r="E136" s="5"/>
      <c r="F136" s="20"/>
      <c r="G136" s="20"/>
      <c r="H136" s="5" t="s">
        <v>40</v>
      </c>
      <c r="I136" s="5" t="s">
        <v>756</v>
      </c>
      <c r="J136" s="5" t="s">
        <v>114</v>
      </c>
      <c r="K136" s="5" t="s">
        <v>1003</v>
      </c>
      <c r="L136" s="5" t="s">
        <v>1004</v>
      </c>
      <c r="M136" s="5" t="s">
        <v>8</v>
      </c>
      <c r="N136" s="5" t="s">
        <v>80</v>
      </c>
      <c r="O136" s="5" t="str">
        <f>IF(B136="","",IFERROR(LOOKUP(2,1/('Call Log'!$C$2:$C$5000=B136),'Call Log'!$B$2:$B$5000),""))</f>
        <v/>
      </c>
      <c r="P136" s="5">
        <f>IF(B136="","",COUNTIFS('Call Log'!$C$2:$C$5000,B136,'Call Log'!$A$2:$A$5000,"&gt;="&amp;(TODAY()-WEEKDAY(TODAY(),2)+1)))</f>
        <v>0</v>
      </c>
      <c r="Q136" s="5">
        <f>IF(B136="","",COUNTIF('Call Log'!$C$2:$C$5000,B136))</f>
        <v>0</v>
      </c>
      <c r="R136" s="21" t="str">
        <f>IF(B136="","",IFERROR(IF(MAXIFS('Call Log'!$A$2:$A$5000,'Call Log'!$C$2:$C$5000,B136)=0,"",MAXIFS('Call Log'!$A$2:$A$5000,'Call Log'!$C$2:$C$5000,B136)),""))</f>
        <v/>
      </c>
      <c r="S136" s="5"/>
      <c r="T136" s="21"/>
      <c r="U136" s="21"/>
      <c r="V136" s="5"/>
      <c r="W136" s="20"/>
      <c r="X136" s="5"/>
      <c r="Y136" s="5"/>
      <c r="Z136" s="5" t="s">
        <v>132</v>
      </c>
      <c r="AA136" s="5" t="s">
        <v>1005</v>
      </c>
    </row>
    <row r="137" ht="15.0" customHeight="1">
      <c r="A137" s="5" t="s">
        <v>1006</v>
      </c>
      <c r="B137" s="5" t="s">
        <v>1007</v>
      </c>
      <c r="C137" s="5" t="s">
        <v>1008</v>
      </c>
      <c r="D137" s="5" t="s">
        <v>1009</v>
      </c>
      <c r="E137" s="5">
        <v>4.0</v>
      </c>
      <c r="F137" s="20"/>
      <c r="G137" s="20"/>
      <c r="H137" s="5" t="s">
        <v>41</v>
      </c>
      <c r="I137" s="5" t="s">
        <v>246</v>
      </c>
      <c r="J137" s="5" t="s">
        <v>114</v>
      </c>
      <c r="K137" s="5" t="s">
        <v>1010</v>
      </c>
      <c r="L137" s="5" t="s">
        <v>1011</v>
      </c>
      <c r="M137" s="5" t="s">
        <v>8</v>
      </c>
      <c r="N137" s="5" t="s">
        <v>80</v>
      </c>
      <c r="O137" s="5" t="str">
        <f>IF(B137="","",IFERROR(LOOKUP(2,1/('Call Log'!$C$2:$C$5000=B137),'Call Log'!$B$2:$B$5000),""))</f>
        <v/>
      </c>
      <c r="P137" s="5">
        <f>IF(B137="","",COUNTIFS('Call Log'!$C$2:$C$5000,B137,'Call Log'!$A$2:$A$5000,"&gt;="&amp;(TODAY()-WEEKDAY(TODAY(),2)+1)))</f>
        <v>0</v>
      </c>
      <c r="Q137" s="5">
        <f>IF(B137="","",COUNTIF('Call Log'!$C$2:$C$5000,B137))</f>
        <v>0</v>
      </c>
      <c r="R137" s="21" t="str">
        <f>IF(B137="","",IFERROR(IF(MAXIFS('Call Log'!$A$2:$A$5000,'Call Log'!$C$2:$C$5000,B137)=0,"",MAXIFS('Call Log'!$A$2:$A$5000,'Call Log'!$C$2:$C$5000,B137)),""))</f>
        <v/>
      </c>
      <c r="S137" s="5"/>
      <c r="T137" s="21"/>
      <c r="U137" s="21"/>
      <c r="V137" s="5"/>
      <c r="W137" s="20"/>
      <c r="X137" s="5"/>
      <c r="Y137" s="5"/>
      <c r="Z137" s="5" t="s">
        <v>132</v>
      </c>
      <c r="AA137" s="5" t="s">
        <v>1012</v>
      </c>
    </row>
    <row r="138" ht="15.0" customHeight="1">
      <c r="A138" s="5" t="s">
        <v>1013</v>
      </c>
      <c r="B138" s="5" t="s">
        <v>1014</v>
      </c>
      <c r="C138" s="5" t="s">
        <v>1015</v>
      </c>
      <c r="D138" s="5" t="s">
        <v>1016</v>
      </c>
      <c r="E138" s="5">
        <v>1.0</v>
      </c>
      <c r="F138" s="20"/>
      <c r="G138" s="20"/>
      <c r="H138" s="5" t="s">
        <v>41</v>
      </c>
      <c r="I138" s="5" t="s">
        <v>231</v>
      </c>
      <c r="J138" s="5" t="s">
        <v>114</v>
      </c>
      <c r="K138" s="5" t="s">
        <v>1017</v>
      </c>
      <c r="L138" s="5" t="s">
        <v>1018</v>
      </c>
      <c r="M138" s="5" t="s">
        <v>8</v>
      </c>
      <c r="N138" s="5" t="s">
        <v>80</v>
      </c>
      <c r="O138" s="5" t="str">
        <f>IF(B138="","",IFERROR(LOOKUP(2,1/('Call Log'!$C$2:$C$5000=B138),'Call Log'!$B$2:$B$5000),""))</f>
        <v/>
      </c>
      <c r="P138" s="5">
        <f>IF(B138="","",COUNTIFS('Call Log'!$C$2:$C$5000,B138,'Call Log'!$A$2:$A$5000,"&gt;="&amp;(TODAY()-WEEKDAY(TODAY(),2)+1)))</f>
        <v>0</v>
      </c>
      <c r="Q138" s="5">
        <f>IF(B138="","",COUNTIF('Call Log'!$C$2:$C$5000,B138))</f>
        <v>0</v>
      </c>
      <c r="R138" s="21" t="str">
        <f>IF(B138="","",IFERROR(IF(MAXIFS('Call Log'!$A$2:$A$5000,'Call Log'!$C$2:$C$5000,B138)=0,"",MAXIFS('Call Log'!$A$2:$A$5000,'Call Log'!$C$2:$C$5000,B138)),""))</f>
        <v/>
      </c>
      <c r="S138" s="5"/>
      <c r="T138" s="21"/>
      <c r="U138" s="21"/>
      <c r="V138" s="5"/>
      <c r="W138" s="20"/>
      <c r="X138" s="5"/>
      <c r="Y138" s="5"/>
      <c r="Z138" s="5" t="s">
        <v>132</v>
      </c>
      <c r="AA138" s="5" t="s">
        <v>1019</v>
      </c>
    </row>
    <row r="139" ht="15.0" customHeight="1">
      <c r="A139" s="5" t="s">
        <v>1020</v>
      </c>
      <c r="B139" s="5" t="s">
        <v>1021</v>
      </c>
      <c r="C139" s="5" t="s">
        <v>1022</v>
      </c>
      <c r="D139" s="5" t="s">
        <v>1023</v>
      </c>
      <c r="E139" s="5"/>
      <c r="F139" s="20"/>
      <c r="G139" s="20"/>
      <c r="H139" s="5" t="s">
        <v>41</v>
      </c>
      <c r="I139" s="5" t="s">
        <v>231</v>
      </c>
      <c r="J139" s="5" t="s">
        <v>114</v>
      </c>
      <c r="K139" s="5" t="s">
        <v>1024</v>
      </c>
      <c r="L139" s="5"/>
      <c r="M139" s="5" t="s">
        <v>8</v>
      </c>
      <c r="N139" s="5" t="s">
        <v>80</v>
      </c>
      <c r="O139" s="5" t="str">
        <f>IF(B139="","",IFERROR(LOOKUP(2,1/('Call Log'!$C$2:$C$5000=B139),'Call Log'!$B$2:$B$5000),""))</f>
        <v/>
      </c>
      <c r="P139" s="5">
        <f>IF(B139="","",COUNTIFS('Call Log'!$C$2:$C$5000,B139,'Call Log'!$A$2:$A$5000,"&gt;="&amp;(TODAY()-WEEKDAY(TODAY(),2)+1)))</f>
        <v>0</v>
      </c>
      <c r="Q139" s="5">
        <f>IF(B139="","",COUNTIF('Call Log'!$C$2:$C$5000,B139))</f>
        <v>0</v>
      </c>
      <c r="R139" s="21" t="str">
        <f>IF(B139="","",IFERROR(IF(MAXIFS('Call Log'!$A$2:$A$5000,'Call Log'!$C$2:$C$5000,B139)=0,"",MAXIFS('Call Log'!$A$2:$A$5000,'Call Log'!$C$2:$C$5000,B139)),""))</f>
        <v/>
      </c>
      <c r="S139" s="5"/>
      <c r="T139" s="21"/>
      <c r="U139" s="21"/>
      <c r="V139" s="5"/>
      <c r="W139" s="20"/>
      <c r="X139" s="5"/>
      <c r="Y139" s="5"/>
      <c r="Z139" s="5" t="s">
        <v>132</v>
      </c>
      <c r="AA139" s="5" t="s">
        <v>1025</v>
      </c>
    </row>
    <row r="140" ht="15.0" customHeight="1">
      <c r="A140" s="5" t="s">
        <v>1026</v>
      </c>
      <c r="B140" s="5" t="s">
        <v>1027</v>
      </c>
      <c r="C140" s="5" t="s">
        <v>1028</v>
      </c>
      <c r="D140" s="5" t="s">
        <v>1029</v>
      </c>
      <c r="E140" s="5"/>
      <c r="F140" s="20"/>
      <c r="G140" s="20"/>
      <c r="H140" s="5" t="s">
        <v>43</v>
      </c>
      <c r="I140" s="5" t="s">
        <v>218</v>
      </c>
      <c r="J140" s="5" t="s">
        <v>114</v>
      </c>
      <c r="K140" s="5" t="s">
        <v>1030</v>
      </c>
      <c r="L140" s="5"/>
      <c r="M140" s="5" t="s">
        <v>8</v>
      </c>
      <c r="N140" s="5" t="s">
        <v>80</v>
      </c>
      <c r="O140" s="5" t="str">
        <f>IF(B140="","",IFERROR(LOOKUP(2,1/('Call Log'!$C$2:$C$5000=B140),'Call Log'!$B$2:$B$5000),""))</f>
        <v/>
      </c>
      <c r="P140" s="5">
        <f>IF(B140="","",COUNTIFS('Call Log'!$C$2:$C$5000,B140,'Call Log'!$A$2:$A$5000,"&gt;="&amp;(TODAY()-WEEKDAY(TODAY(),2)+1)))</f>
        <v>0</v>
      </c>
      <c r="Q140" s="5">
        <f>IF(B140="","",COUNTIF('Call Log'!$C$2:$C$5000,B140))</f>
        <v>0</v>
      </c>
      <c r="R140" s="21" t="str">
        <f>IF(B140="","",IFERROR(IF(MAXIFS('Call Log'!$A$2:$A$5000,'Call Log'!$C$2:$C$5000,B140)=0,"",MAXIFS('Call Log'!$A$2:$A$5000,'Call Log'!$C$2:$C$5000,B140)),""))</f>
        <v/>
      </c>
      <c r="S140" s="5"/>
      <c r="T140" s="21"/>
      <c r="U140" s="21"/>
      <c r="V140" s="5"/>
      <c r="W140" s="20"/>
      <c r="X140" s="5"/>
      <c r="Y140" s="5"/>
      <c r="Z140" s="5" t="s">
        <v>132</v>
      </c>
      <c r="AA140" s="5" t="s">
        <v>1031</v>
      </c>
    </row>
    <row r="141" ht="15.0" customHeight="1">
      <c r="A141" s="5" t="s">
        <v>1032</v>
      </c>
      <c r="B141" s="5" t="s">
        <v>1033</v>
      </c>
      <c r="C141" s="5" t="s">
        <v>1034</v>
      </c>
      <c r="D141" s="5" t="s">
        <v>1035</v>
      </c>
      <c r="E141" s="5"/>
      <c r="F141" s="20"/>
      <c r="G141" s="20"/>
      <c r="H141" s="5" t="s">
        <v>41</v>
      </c>
      <c r="I141" s="5" t="s">
        <v>161</v>
      </c>
      <c r="J141" s="5" t="s">
        <v>114</v>
      </c>
      <c r="K141" s="5" t="s">
        <v>1036</v>
      </c>
      <c r="L141" s="5"/>
      <c r="M141" s="5" t="s">
        <v>8</v>
      </c>
      <c r="N141" s="5" t="s">
        <v>80</v>
      </c>
      <c r="O141" s="5" t="str">
        <f>IF(B141="","",IFERROR(LOOKUP(2,1/('Call Log'!$C$2:$C$5000=B141),'Call Log'!$B$2:$B$5000),""))</f>
        <v/>
      </c>
      <c r="P141" s="5">
        <f>IF(B141="","",COUNTIFS('Call Log'!$C$2:$C$5000,B141,'Call Log'!$A$2:$A$5000,"&gt;="&amp;(TODAY()-WEEKDAY(TODAY(),2)+1)))</f>
        <v>0</v>
      </c>
      <c r="Q141" s="5">
        <f>IF(B141="","",COUNTIF('Call Log'!$C$2:$C$5000,B141))</f>
        <v>0</v>
      </c>
      <c r="R141" s="21" t="str">
        <f>IF(B141="","",IFERROR(IF(MAXIFS('Call Log'!$A$2:$A$5000,'Call Log'!$C$2:$C$5000,B141)=0,"",MAXIFS('Call Log'!$A$2:$A$5000,'Call Log'!$C$2:$C$5000,B141)),""))</f>
        <v/>
      </c>
      <c r="S141" s="5"/>
      <c r="T141" s="21"/>
      <c r="U141" s="21"/>
      <c r="V141" s="5"/>
      <c r="W141" s="20"/>
      <c r="X141" s="5"/>
      <c r="Y141" s="5"/>
      <c r="Z141" s="5" t="s">
        <v>132</v>
      </c>
      <c r="AA141" s="5" t="s">
        <v>1037</v>
      </c>
    </row>
    <row r="142" ht="15.0" customHeight="1">
      <c r="A142" s="5" t="s">
        <v>1038</v>
      </c>
      <c r="B142" s="5" t="s">
        <v>1039</v>
      </c>
      <c r="C142" s="5" t="s">
        <v>1040</v>
      </c>
      <c r="D142" s="5" t="s">
        <v>1041</v>
      </c>
      <c r="E142" s="5"/>
      <c r="F142" s="20"/>
      <c r="G142" s="20"/>
      <c r="H142" s="5" t="s">
        <v>40</v>
      </c>
      <c r="I142" s="5" t="s">
        <v>422</v>
      </c>
      <c r="J142" s="5" t="s">
        <v>114</v>
      </c>
      <c r="K142" s="5" t="s">
        <v>1041</v>
      </c>
      <c r="L142" s="5" t="s">
        <v>1042</v>
      </c>
      <c r="M142" s="5" t="s">
        <v>8</v>
      </c>
      <c r="N142" s="5" t="s">
        <v>80</v>
      </c>
      <c r="O142" s="5" t="str">
        <f>IF(B142="","",IFERROR(LOOKUP(2,1/('Call Log'!$C$2:$C$5000=B142),'Call Log'!$B$2:$B$5000),""))</f>
        <v/>
      </c>
      <c r="P142" s="5">
        <f>IF(B142="","",COUNTIFS('Call Log'!$C$2:$C$5000,B142,'Call Log'!$A$2:$A$5000,"&gt;="&amp;(TODAY()-WEEKDAY(TODAY(),2)+1)))</f>
        <v>0</v>
      </c>
      <c r="Q142" s="5">
        <f>IF(B142="","",COUNTIF('Call Log'!$C$2:$C$5000,B142))</f>
        <v>0</v>
      </c>
      <c r="R142" s="21" t="str">
        <f>IF(B142="","",IFERROR(IF(MAXIFS('Call Log'!$A$2:$A$5000,'Call Log'!$C$2:$C$5000,B142)=0,"",MAXIFS('Call Log'!$A$2:$A$5000,'Call Log'!$C$2:$C$5000,B142)),""))</f>
        <v/>
      </c>
      <c r="S142" s="5"/>
      <c r="T142" s="21"/>
      <c r="U142" s="21"/>
      <c r="V142" s="5"/>
      <c r="W142" s="20"/>
      <c r="X142" s="5"/>
      <c r="Y142" s="5"/>
      <c r="Z142" s="5" t="s">
        <v>132</v>
      </c>
      <c r="AA142" s="5" t="s">
        <v>1043</v>
      </c>
    </row>
    <row r="143" ht="15.0" customHeight="1">
      <c r="A143" s="5" t="s">
        <v>1044</v>
      </c>
      <c r="B143" s="5" t="s">
        <v>1045</v>
      </c>
      <c r="C143" s="5" t="s">
        <v>1046</v>
      </c>
      <c r="D143" s="5" t="s">
        <v>1047</v>
      </c>
      <c r="E143" s="5">
        <v>2.0</v>
      </c>
      <c r="F143" s="20"/>
      <c r="G143" s="20"/>
      <c r="H143" s="5" t="s">
        <v>40</v>
      </c>
      <c r="I143" s="5" t="s">
        <v>1048</v>
      </c>
      <c r="J143" s="5" t="s">
        <v>114</v>
      </c>
      <c r="K143" s="5" t="s">
        <v>1049</v>
      </c>
      <c r="L143" s="5"/>
      <c r="M143" s="5" t="s">
        <v>8</v>
      </c>
      <c r="N143" s="5" t="s">
        <v>80</v>
      </c>
      <c r="O143" s="5" t="str">
        <f>IF(B143="","",IFERROR(LOOKUP(2,1/('Call Log'!$C$2:$C$5000=B143),'Call Log'!$B$2:$B$5000),""))</f>
        <v/>
      </c>
      <c r="P143" s="5">
        <f>IF(B143="","",COUNTIFS('Call Log'!$C$2:$C$5000,B143,'Call Log'!$A$2:$A$5000,"&gt;="&amp;(TODAY()-WEEKDAY(TODAY(),2)+1)))</f>
        <v>0</v>
      </c>
      <c r="Q143" s="5">
        <f>IF(B143="","",COUNTIF('Call Log'!$C$2:$C$5000,B143))</f>
        <v>0</v>
      </c>
      <c r="R143" s="21" t="str">
        <f>IF(B143="","",IFERROR(IF(MAXIFS('Call Log'!$A$2:$A$5000,'Call Log'!$C$2:$C$5000,B143)=0,"",MAXIFS('Call Log'!$A$2:$A$5000,'Call Log'!$C$2:$C$5000,B143)),""))</f>
        <v/>
      </c>
      <c r="S143" s="5"/>
      <c r="T143" s="21"/>
      <c r="U143" s="21"/>
      <c r="V143" s="5"/>
      <c r="W143" s="20"/>
      <c r="X143" s="5"/>
      <c r="Y143" s="5"/>
      <c r="Z143" s="5" t="s">
        <v>132</v>
      </c>
      <c r="AA143" s="5" t="s">
        <v>1050</v>
      </c>
    </row>
    <row r="144" ht="15.0" customHeight="1">
      <c r="A144" s="5" t="s">
        <v>1051</v>
      </c>
      <c r="B144" s="5" t="s">
        <v>1052</v>
      </c>
      <c r="C144" s="5" t="s">
        <v>1053</v>
      </c>
      <c r="D144" s="5" t="s">
        <v>1054</v>
      </c>
      <c r="E144" s="5">
        <v>3.0</v>
      </c>
      <c r="F144" s="20"/>
      <c r="G144" s="20"/>
      <c r="H144" s="5" t="s">
        <v>41</v>
      </c>
      <c r="I144" s="5" t="s">
        <v>1055</v>
      </c>
      <c r="J144" s="5" t="s">
        <v>114</v>
      </c>
      <c r="K144" s="5" t="s">
        <v>1056</v>
      </c>
      <c r="L144" s="5"/>
      <c r="M144" s="5" t="s">
        <v>8</v>
      </c>
      <c r="N144" s="5" t="s">
        <v>80</v>
      </c>
      <c r="O144" s="5" t="str">
        <f>IF(B144="","",IFERROR(LOOKUP(2,1/('Call Log'!$C$2:$C$5000=B144),'Call Log'!$B$2:$B$5000),""))</f>
        <v/>
      </c>
      <c r="P144" s="5">
        <f>IF(B144="","",COUNTIFS('Call Log'!$C$2:$C$5000,B144,'Call Log'!$A$2:$A$5000,"&gt;="&amp;(TODAY()-WEEKDAY(TODAY(),2)+1)))</f>
        <v>0</v>
      </c>
      <c r="Q144" s="5">
        <f>IF(B144="","",COUNTIF('Call Log'!$C$2:$C$5000,B144))</f>
        <v>0</v>
      </c>
      <c r="R144" s="21" t="str">
        <f>IF(B144="","",IFERROR(IF(MAXIFS('Call Log'!$A$2:$A$5000,'Call Log'!$C$2:$C$5000,B144)=0,"",MAXIFS('Call Log'!$A$2:$A$5000,'Call Log'!$C$2:$C$5000,B144)),""))</f>
        <v/>
      </c>
      <c r="S144" s="5"/>
      <c r="T144" s="21"/>
      <c r="U144" s="21"/>
      <c r="V144" s="5"/>
      <c r="W144" s="20"/>
      <c r="X144" s="5"/>
      <c r="Y144" s="5"/>
      <c r="Z144" s="5" t="s">
        <v>132</v>
      </c>
      <c r="AA144" s="5" t="s">
        <v>1057</v>
      </c>
    </row>
    <row r="145" ht="15.0" customHeight="1">
      <c r="A145" s="5" t="s">
        <v>1058</v>
      </c>
      <c r="B145" s="5" t="s">
        <v>1059</v>
      </c>
      <c r="C145" s="5" t="s">
        <v>1060</v>
      </c>
      <c r="D145" s="5" t="s">
        <v>1061</v>
      </c>
      <c r="E145" s="5"/>
      <c r="F145" s="20"/>
      <c r="G145" s="20"/>
      <c r="H145" s="5" t="s">
        <v>40</v>
      </c>
      <c r="I145" s="5" t="s">
        <v>622</v>
      </c>
      <c r="J145" s="5" t="s">
        <v>114</v>
      </c>
      <c r="K145" s="5" t="s">
        <v>1062</v>
      </c>
      <c r="L145" s="5"/>
      <c r="M145" s="5" t="s">
        <v>8</v>
      </c>
      <c r="N145" s="5" t="s">
        <v>80</v>
      </c>
      <c r="O145" s="5" t="str">
        <f>IF(B145="","",IFERROR(LOOKUP(2,1/('Call Log'!$C$2:$C$5000=B145),'Call Log'!$B$2:$B$5000),""))</f>
        <v/>
      </c>
      <c r="P145" s="5">
        <f>IF(B145="","",COUNTIFS('Call Log'!$C$2:$C$5000,B145,'Call Log'!$A$2:$A$5000,"&gt;="&amp;(TODAY()-WEEKDAY(TODAY(),2)+1)))</f>
        <v>0</v>
      </c>
      <c r="Q145" s="5">
        <f>IF(B145="","",COUNTIF('Call Log'!$C$2:$C$5000,B145))</f>
        <v>0</v>
      </c>
      <c r="R145" s="21" t="str">
        <f>IF(B145="","",IFERROR(IF(MAXIFS('Call Log'!$A$2:$A$5000,'Call Log'!$C$2:$C$5000,B145)=0,"",MAXIFS('Call Log'!$A$2:$A$5000,'Call Log'!$C$2:$C$5000,B145)),""))</f>
        <v/>
      </c>
      <c r="S145" s="5"/>
      <c r="T145" s="21"/>
      <c r="U145" s="21"/>
      <c r="V145" s="5"/>
      <c r="W145" s="20"/>
      <c r="X145" s="5"/>
      <c r="Y145" s="5"/>
      <c r="Z145" s="5" t="s">
        <v>132</v>
      </c>
      <c r="AA145" s="5" t="s">
        <v>1063</v>
      </c>
    </row>
    <row r="146" ht="15.0" customHeight="1">
      <c r="A146" s="5" t="s">
        <v>1064</v>
      </c>
      <c r="B146" s="5" t="s">
        <v>1065</v>
      </c>
      <c r="C146" s="5" t="s">
        <v>1066</v>
      </c>
      <c r="D146" s="5" t="s">
        <v>1067</v>
      </c>
      <c r="E146" s="5"/>
      <c r="F146" s="20"/>
      <c r="G146" s="20"/>
      <c r="H146" s="5" t="s">
        <v>41</v>
      </c>
      <c r="I146" s="5" t="s">
        <v>667</v>
      </c>
      <c r="J146" s="5" t="s">
        <v>114</v>
      </c>
      <c r="K146" s="5" t="s">
        <v>1068</v>
      </c>
      <c r="L146" s="5"/>
      <c r="M146" s="5" t="s">
        <v>8</v>
      </c>
      <c r="N146" s="5" t="s">
        <v>80</v>
      </c>
      <c r="O146" s="5" t="str">
        <f>IF(B146="","",IFERROR(LOOKUP(2,1/('Call Log'!$C$2:$C$5000=B146),'Call Log'!$B$2:$B$5000),""))</f>
        <v/>
      </c>
      <c r="P146" s="5">
        <f>IF(B146="","",COUNTIFS('Call Log'!$C$2:$C$5000,B146,'Call Log'!$A$2:$A$5000,"&gt;="&amp;(TODAY()-WEEKDAY(TODAY(),2)+1)))</f>
        <v>0</v>
      </c>
      <c r="Q146" s="5">
        <f>IF(B146="","",COUNTIF('Call Log'!$C$2:$C$5000,B146))</f>
        <v>0</v>
      </c>
      <c r="R146" s="21" t="str">
        <f>IF(B146="","",IFERROR(IF(MAXIFS('Call Log'!$A$2:$A$5000,'Call Log'!$C$2:$C$5000,B146)=0,"",MAXIFS('Call Log'!$A$2:$A$5000,'Call Log'!$C$2:$C$5000,B146)),""))</f>
        <v/>
      </c>
      <c r="S146" s="5"/>
      <c r="T146" s="21"/>
      <c r="U146" s="21"/>
      <c r="V146" s="5"/>
      <c r="W146" s="20"/>
      <c r="X146" s="5"/>
      <c r="Y146" s="5"/>
      <c r="Z146" s="5" t="s">
        <v>132</v>
      </c>
      <c r="AA146" s="5" t="s">
        <v>1069</v>
      </c>
    </row>
    <row r="147" ht="15.0" customHeight="1">
      <c r="A147" s="5" t="s">
        <v>1070</v>
      </c>
      <c r="B147" s="5" t="s">
        <v>1071</v>
      </c>
      <c r="C147" s="5" t="s">
        <v>1072</v>
      </c>
      <c r="D147" s="5" t="s">
        <v>1073</v>
      </c>
      <c r="E147" s="5"/>
      <c r="F147" s="20"/>
      <c r="G147" s="20"/>
      <c r="H147" s="5" t="s">
        <v>40</v>
      </c>
      <c r="I147" s="5" t="s">
        <v>161</v>
      </c>
      <c r="J147" s="5" t="s">
        <v>114</v>
      </c>
      <c r="K147" s="5" t="s">
        <v>1074</v>
      </c>
      <c r="L147" s="5"/>
      <c r="M147" s="5" t="s">
        <v>8</v>
      </c>
      <c r="N147" s="5" t="s">
        <v>80</v>
      </c>
      <c r="O147" s="5" t="str">
        <f>IF(B147="","",IFERROR(LOOKUP(2,1/('Call Log'!$C$2:$C$5000=B147),'Call Log'!$B$2:$B$5000),""))</f>
        <v/>
      </c>
      <c r="P147" s="5">
        <f>IF(B147="","",COUNTIFS('Call Log'!$C$2:$C$5000,B147,'Call Log'!$A$2:$A$5000,"&gt;="&amp;(TODAY()-WEEKDAY(TODAY(),2)+1)))</f>
        <v>0</v>
      </c>
      <c r="Q147" s="5">
        <f>IF(B147="","",COUNTIF('Call Log'!$C$2:$C$5000,B147))</f>
        <v>0</v>
      </c>
      <c r="R147" s="21" t="str">
        <f>IF(B147="","",IFERROR(IF(MAXIFS('Call Log'!$A$2:$A$5000,'Call Log'!$C$2:$C$5000,B147)=0,"",MAXIFS('Call Log'!$A$2:$A$5000,'Call Log'!$C$2:$C$5000,B147)),""))</f>
        <v/>
      </c>
      <c r="S147" s="5"/>
      <c r="T147" s="21"/>
      <c r="U147" s="21"/>
      <c r="V147" s="5"/>
      <c r="W147" s="20"/>
      <c r="X147" s="5"/>
      <c r="Y147" s="5"/>
      <c r="Z147" s="5" t="s">
        <v>132</v>
      </c>
      <c r="AA147" s="5" t="s">
        <v>1075</v>
      </c>
    </row>
    <row r="148" ht="15.0" customHeight="1">
      <c r="A148" s="5" t="s">
        <v>1076</v>
      </c>
      <c r="B148" s="5" t="s">
        <v>1077</v>
      </c>
      <c r="C148" s="5" t="s">
        <v>1078</v>
      </c>
      <c r="D148" s="5" t="s">
        <v>1079</v>
      </c>
      <c r="E148" s="5">
        <v>11.0</v>
      </c>
      <c r="F148" s="20"/>
      <c r="G148" s="20"/>
      <c r="H148" s="5" t="s">
        <v>40</v>
      </c>
      <c r="I148" s="5" t="s">
        <v>231</v>
      </c>
      <c r="J148" s="5" t="s">
        <v>114</v>
      </c>
      <c r="K148" s="5" t="s">
        <v>1080</v>
      </c>
      <c r="L148" s="5" t="s">
        <v>1081</v>
      </c>
      <c r="M148" s="5" t="s">
        <v>8</v>
      </c>
      <c r="N148" s="5" t="s">
        <v>80</v>
      </c>
      <c r="O148" s="5" t="str">
        <f>IF(B148="","",IFERROR(LOOKUP(2,1/('Call Log'!$C$2:$C$5000=B148),'Call Log'!$B$2:$B$5000),""))</f>
        <v/>
      </c>
      <c r="P148" s="5">
        <f>IF(B148="","",COUNTIFS('Call Log'!$C$2:$C$5000,B148,'Call Log'!$A$2:$A$5000,"&gt;="&amp;(TODAY()-WEEKDAY(TODAY(),2)+1)))</f>
        <v>0</v>
      </c>
      <c r="Q148" s="5">
        <f>IF(B148="","",COUNTIF('Call Log'!$C$2:$C$5000,B148))</f>
        <v>0</v>
      </c>
      <c r="R148" s="21" t="str">
        <f>IF(B148="","",IFERROR(IF(MAXIFS('Call Log'!$A$2:$A$5000,'Call Log'!$C$2:$C$5000,B148)=0,"",MAXIFS('Call Log'!$A$2:$A$5000,'Call Log'!$C$2:$C$5000,B148)),""))</f>
        <v/>
      </c>
      <c r="S148" s="5"/>
      <c r="T148" s="21"/>
      <c r="U148" s="21"/>
      <c r="V148" s="5"/>
      <c r="W148" s="20"/>
      <c r="X148" s="5"/>
      <c r="Y148" s="5"/>
      <c r="Z148" s="5" t="s">
        <v>132</v>
      </c>
      <c r="AA148" s="5" t="s">
        <v>1082</v>
      </c>
    </row>
    <row r="149" ht="15.0" customHeight="1">
      <c r="A149" s="5" t="s">
        <v>1083</v>
      </c>
      <c r="B149" s="5" t="s">
        <v>1084</v>
      </c>
      <c r="C149" s="5" t="s">
        <v>1085</v>
      </c>
      <c r="D149" s="5" t="s">
        <v>1086</v>
      </c>
      <c r="E149" s="5">
        <v>13.0</v>
      </c>
      <c r="F149" s="20"/>
      <c r="G149" s="20"/>
      <c r="H149" s="5" t="s">
        <v>40</v>
      </c>
      <c r="I149" s="5" t="s">
        <v>904</v>
      </c>
      <c r="J149" s="5" t="s">
        <v>114</v>
      </c>
      <c r="K149" s="5" t="s">
        <v>1087</v>
      </c>
      <c r="L149" s="5"/>
      <c r="M149" s="5" t="s">
        <v>8</v>
      </c>
      <c r="N149" s="5" t="s">
        <v>80</v>
      </c>
      <c r="O149" s="5" t="str">
        <f>IF(B149="","",IFERROR(LOOKUP(2,1/('Call Log'!$C$2:$C$5000=B149),'Call Log'!$B$2:$B$5000),""))</f>
        <v/>
      </c>
      <c r="P149" s="5">
        <f>IF(B149="","",COUNTIFS('Call Log'!$C$2:$C$5000,B149,'Call Log'!$A$2:$A$5000,"&gt;="&amp;(TODAY()-WEEKDAY(TODAY(),2)+1)))</f>
        <v>0</v>
      </c>
      <c r="Q149" s="5">
        <f>IF(B149="","",COUNTIF('Call Log'!$C$2:$C$5000,B149))</f>
        <v>0</v>
      </c>
      <c r="R149" s="21" t="str">
        <f>IF(B149="","",IFERROR(IF(MAXIFS('Call Log'!$A$2:$A$5000,'Call Log'!$C$2:$C$5000,B149)=0,"",MAXIFS('Call Log'!$A$2:$A$5000,'Call Log'!$C$2:$C$5000,B149)),""))</f>
        <v/>
      </c>
      <c r="S149" s="5"/>
      <c r="T149" s="21"/>
      <c r="U149" s="21"/>
      <c r="V149" s="5"/>
      <c r="W149" s="20"/>
      <c r="X149" s="5"/>
      <c r="Y149" s="5"/>
      <c r="Z149" s="5" t="s">
        <v>132</v>
      </c>
      <c r="AA149" s="5" t="s">
        <v>1088</v>
      </c>
    </row>
    <row r="150" ht="15.0" customHeight="1">
      <c r="A150" s="5" t="s">
        <v>1089</v>
      </c>
      <c r="B150" s="5" t="s">
        <v>1090</v>
      </c>
      <c r="C150" s="5" t="s">
        <v>1091</v>
      </c>
      <c r="D150" s="5" t="s">
        <v>1092</v>
      </c>
      <c r="E150" s="5"/>
      <c r="F150" s="20"/>
      <c r="G150" s="20"/>
      <c r="H150" s="5" t="s">
        <v>40</v>
      </c>
      <c r="I150" s="5" t="s">
        <v>1093</v>
      </c>
      <c r="J150" s="5" t="s">
        <v>114</v>
      </c>
      <c r="K150" s="5" t="s">
        <v>1094</v>
      </c>
      <c r="L150" s="5"/>
      <c r="M150" s="5" t="s">
        <v>8</v>
      </c>
      <c r="N150" s="5" t="s">
        <v>80</v>
      </c>
      <c r="O150" s="5" t="str">
        <f>IF(B150="","",IFERROR(LOOKUP(2,1/('Call Log'!$C$2:$C$5000=B150),'Call Log'!$B$2:$B$5000),""))</f>
        <v/>
      </c>
      <c r="P150" s="5">
        <f>IF(B150="","",COUNTIFS('Call Log'!$C$2:$C$5000,B150,'Call Log'!$A$2:$A$5000,"&gt;="&amp;(TODAY()-WEEKDAY(TODAY(),2)+1)))</f>
        <v>0</v>
      </c>
      <c r="Q150" s="5">
        <f>IF(B150="","",COUNTIF('Call Log'!$C$2:$C$5000,B150))</f>
        <v>0</v>
      </c>
      <c r="R150" s="21" t="str">
        <f>IF(B150="","",IFERROR(IF(MAXIFS('Call Log'!$A$2:$A$5000,'Call Log'!$C$2:$C$5000,B150)=0,"",MAXIFS('Call Log'!$A$2:$A$5000,'Call Log'!$C$2:$C$5000,B150)),""))</f>
        <v/>
      </c>
      <c r="S150" s="5"/>
      <c r="T150" s="21"/>
      <c r="U150" s="21"/>
      <c r="V150" s="5"/>
      <c r="W150" s="20"/>
      <c r="X150" s="5"/>
      <c r="Y150" s="5"/>
      <c r="Z150" s="5" t="s">
        <v>132</v>
      </c>
      <c r="AA150" s="5" t="s">
        <v>1095</v>
      </c>
    </row>
    <row r="151" ht="15.0" customHeight="1">
      <c r="A151" s="5" t="s">
        <v>1096</v>
      </c>
      <c r="B151" s="5" t="s">
        <v>1097</v>
      </c>
      <c r="C151" s="5" t="s">
        <v>1098</v>
      </c>
      <c r="D151" s="5" t="s">
        <v>1099</v>
      </c>
      <c r="E151" s="5"/>
      <c r="F151" s="20"/>
      <c r="G151" s="20"/>
      <c r="H151" s="5" t="s">
        <v>40</v>
      </c>
      <c r="I151" s="5" t="s">
        <v>1100</v>
      </c>
      <c r="J151" s="5" t="s">
        <v>114</v>
      </c>
      <c r="K151" s="5" t="s">
        <v>1101</v>
      </c>
      <c r="L151" s="5" t="s">
        <v>1102</v>
      </c>
      <c r="M151" s="5" t="s">
        <v>8</v>
      </c>
      <c r="N151" s="5" t="s">
        <v>80</v>
      </c>
      <c r="O151" s="5" t="str">
        <f>IF(B151="","",IFERROR(LOOKUP(2,1/('Call Log'!$C$2:$C$5000=B151),'Call Log'!$B$2:$B$5000),""))</f>
        <v/>
      </c>
      <c r="P151" s="5">
        <f>IF(B151="","",COUNTIFS('Call Log'!$C$2:$C$5000,B151,'Call Log'!$A$2:$A$5000,"&gt;="&amp;(TODAY()-WEEKDAY(TODAY(),2)+1)))</f>
        <v>0</v>
      </c>
      <c r="Q151" s="5">
        <f>IF(B151="","",COUNTIF('Call Log'!$C$2:$C$5000,B151))</f>
        <v>0</v>
      </c>
      <c r="R151" s="21" t="str">
        <f>IF(B151="","",IFERROR(IF(MAXIFS('Call Log'!$A$2:$A$5000,'Call Log'!$C$2:$C$5000,B151)=0,"",MAXIFS('Call Log'!$A$2:$A$5000,'Call Log'!$C$2:$C$5000,B151)),""))</f>
        <v/>
      </c>
      <c r="S151" s="5"/>
      <c r="T151" s="21"/>
      <c r="U151" s="21"/>
      <c r="V151" s="5"/>
      <c r="W151" s="20"/>
      <c r="X151" s="5"/>
      <c r="Y151" s="5"/>
      <c r="Z151" s="5" t="s">
        <v>132</v>
      </c>
      <c r="AA151" s="5" t="s">
        <v>1103</v>
      </c>
    </row>
    <row r="152" ht="15.0" customHeight="1">
      <c r="A152" s="5" t="s">
        <v>1104</v>
      </c>
      <c r="B152" s="5" t="s">
        <v>1105</v>
      </c>
      <c r="C152" s="5" t="s">
        <v>1106</v>
      </c>
      <c r="D152" s="5" t="s">
        <v>1107</v>
      </c>
      <c r="E152" s="5"/>
      <c r="F152" s="20"/>
      <c r="G152" s="20"/>
      <c r="H152" s="5" t="s">
        <v>40</v>
      </c>
      <c r="I152" s="5" t="s">
        <v>594</v>
      </c>
      <c r="J152" s="5" t="s">
        <v>114</v>
      </c>
      <c r="K152" s="5" t="s">
        <v>1108</v>
      </c>
      <c r="L152" s="5"/>
      <c r="M152" s="5" t="s">
        <v>8</v>
      </c>
      <c r="N152" s="5" t="s">
        <v>80</v>
      </c>
      <c r="O152" s="5" t="str">
        <f>IF(B152="","",IFERROR(LOOKUP(2,1/('Call Log'!$C$2:$C$5000=B152),'Call Log'!$B$2:$B$5000),""))</f>
        <v/>
      </c>
      <c r="P152" s="5">
        <f>IF(B152="","",COUNTIFS('Call Log'!$C$2:$C$5000,B152,'Call Log'!$A$2:$A$5000,"&gt;="&amp;(TODAY()-WEEKDAY(TODAY(),2)+1)))</f>
        <v>0</v>
      </c>
      <c r="Q152" s="5">
        <f>IF(B152="","",COUNTIF('Call Log'!$C$2:$C$5000,B152))</f>
        <v>0</v>
      </c>
      <c r="R152" s="21" t="str">
        <f>IF(B152="","",IFERROR(IF(MAXIFS('Call Log'!$A$2:$A$5000,'Call Log'!$C$2:$C$5000,B152)=0,"",MAXIFS('Call Log'!$A$2:$A$5000,'Call Log'!$C$2:$C$5000,B152)),""))</f>
        <v/>
      </c>
      <c r="S152" s="5"/>
      <c r="T152" s="21"/>
      <c r="U152" s="21"/>
      <c r="V152" s="5"/>
      <c r="W152" s="20"/>
      <c r="X152" s="5"/>
      <c r="Y152" s="5"/>
      <c r="Z152" s="5" t="s">
        <v>132</v>
      </c>
      <c r="AA152" s="5" t="s">
        <v>1109</v>
      </c>
    </row>
    <row r="153" ht="15.0" customHeight="1">
      <c r="A153" s="5" t="s">
        <v>1110</v>
      </c>
      <c r="B153" s="5" t="s">
        <v>1111</v>
      </c>
      <c r="C153" s="5" t="s">
        <v>1112</v>
      </c>
      <c r="D153" s="5" t="s">
        <v>1113</v>
      </c>
      <c r="E153" s="5"/>
      <c r="F153" s="20"/>
      <c r="G153" s="20"/>
      <c r="H153" s="5" t="s">
        <v>40</v>
      </c>
      <c r="I153" s="5" t="s">
        <v>161</v>
      </c>
      <c r="J153" s="5" t="s">
        <v>114</v>
      </c>
      <c r="K153" s="5" t="s">
        <v>1114</v>
      </c>
      <c r="L153" s="5"/>
      <c r="M153" s="5" t="s">
        <v>8</v>
      </c>
      <c r="N153" s="5" t="s">
        <v>80</v>
      </c>
      <c r="O153" s="5" t="str">
        <f>IF(B153="","",IFERROR(LOOKUP(2,1/('Call Log'!$C$2:$C$5000=B153),'Call Log'!$B$2:$B$5000),""))</f>
        <v/>
      </c>
      <c r="P153" s="5">
        <f>IF(B153="","",COUNTIFS('Call Log'!$C$2:$C$5000,B153,'Call Log'!$A$2:$A$5000,"&gt;="&amp;(TODAY()-WEEKDAY(TODAY(),2)+1)))</f>
        <v>0</v>
      </c>
      <c r="Q153" s="5">
        <f>IF(B153="","",COUNTIF('Call Log'!$C$2:$C$5000,B153))</f>
        <v>0</v>
      </c>
      <c r="R153" s="21" t="str">
        <f>IF(B153="","",IFERROR(IF(MAXIFS('Call Log'!$A$2:$A$5000,'Call Log'!$C$2:$C$5000,B153)=0,"",MAXIFS('Call Log'!$A$2:$A$5000,'Call Log'!$C$2:$C$5000,B153)),""))</f>
        <v/>
      </c>
      <c r="S153" s="5"/>
      <c r="T153" s="21"/>
      <c r="U153" s="21"/>
      <c r="V153" s="5"/>
      <c r="W153" s="20"/>
      <c r="X153" s="5"/>
      <c r="Y153" s="5"/>
      <c r="Z153" s="5" t="s">
        <v>132</v>
      </c>
      <c r="AA153" s="5" t="s">
        <v>1115</v>
      </c>
    </row>
    <row r="154" ht="15.0" customHeight="1">
      <c r="A154" s="5" t="s">
        <v>1116</v>
      </c>
      <c r="B154" s="5" t="s">
        <v>1117</v>
      </c>
      <c r="C154" s="5" t="s">
        <v>1118</v>
      </c>
      <c r="D154" s="5" t="s">
        <v>1119</v>
      </c>
      <c r="E154" s="5"/>
      <c r="F154" s="20"/>
      <c r="G154" s="20"/>
      <c r="H154" s="5" t="s">
        <v>41</v>
      </c>
      <c r="I154" s="5" t="s">
        <v>594</v>
      </c>
      <c r="J154" s="5" t="s">
        <v>114</v>
      </c>
      <c r="K154" s="5" t="s">
        <v>1119</v>
      </c>
      <c r="L154" s="5"/>
      <c r="M154" s="5" t="s">
        <v>8</v>
      </c>
      <c r="N154" s="5" t="s">
        <v>80</v>
      </c>
      <c r="O154" s="5" t="str">
        <f>IF(B154="","",IFERROR(LOOKUP(2,1/('Call Log'!$C$2:$C$5000=B154),'Call Log'!$B$2:$B$5000),""))</f>
        <v/>
      </c>
      <c r="P154" s="5">
        <f>IF(B154="","",COUNTIFS('Call Log'!$C$2:$C$5000,B154,'Call Log'!$A$2:$A$5000,"&gt;="&amp;(TODAY()-WEEKDAY(TODAY(),2)+1)))</f>
        <v>0</v>
      </c>
      <c r="Q154" s="5">
        <f>IF(B154="","",COUNTIF('Call Log'!$C$2:$C$5000,B154))</f>
        <v>0</v>
      </c>
      <c r="R154" s="21" t="str">
        <f>IF(B154="","",IFERROR(IF(MAXIFS('Call Log'!$A$2:$A$5000,'Call Log'!$C$2:$C$5000,B154)=0,"",MAXIFS('Call Log'!$A$2:$A$5000,'Call Log'!$C$2:$C$5000,B154)),""))</f>
        <v/>
      </c>
      <c r="S154" s="5"/>
      <c r="T154" s="21"/>
      <c r="U154" s="21"/>
      <c r="V154" s="5"/>
      <c r="W154" s="20"/>
      <c r="X154" s="5"/>
      <c r="Y154" s="5"/>
      <c r="Z154" s="5" t="s">
        <v>132</v>
      </c>
      <c r="AA154" s="5" t="s">
        <v>1120</v>
      </c>
    </row>
    <row r="155" ht="15.0" customHeight="1">
      <c r="A155" s="5" t="s">
        <v>1121</v>
      </c>
      <c r="B155" s="5" t="s">
        <v>1122</v>
      </c>
      <c r="C155" s="5" t="s">
        <v>1123</v>
      </c>
      <c r="D155" s="5" t="s">
        <v>1124</v>
      </c>
      <c r="E155" s="5">
        <v>2.0</v>
      </c>
      <c r="F155" s="20"/>
      <c r="G155" s="20"/>
      <c r="H155" s="5" t="s">
        <v>40</v>
      </c>
      <c r="I155" s="5" t="s">
        <v>857</v>
      </c>
      <c r="J155" s="5" t="s">
        <v>114</v>
      </c>
      <c r="K155" s="5" t="s">
        <v>1125</v>
      </c>
      <c r="L155" s="5"/>
      <c r="M155" s="5" t="s">
        <v>8</v>
      </c>
      <c r="N155" s="5" t="s">
        <v>80</v>
      </c>
      <c r="O155" s="5" t="str">
        <f>IF(B155="","",IFERROR(LOOKUP(2,1/('Call Log'!$C$2:$C$5000=B155),'Call Log'!$B$2:$B$5000),""))</f>
        <v/>
      </c>
      <c r="P155" s="5">
        <f>IF(B155="","",COUNTIFS('Call Log'!$C$2:$C$5000,B155,'Call Log'!$A$2:$A$5000,"&gt;="&amp;(TODAY()-WEEKDAY(TODAY(),2)+1)))</f>
        <v>0</v>
      </c>
      <c r="Q155" s="5">
        <f>IF(B155="","",COUNTIF('Call Log'!$C$2:$C$5000,B155))</f>
        <v>0</v>
      </c>
      <c r="R155" s="21" t="str">
        <f>IF(B155="","",IFERROR(IF(MAXIFS('Call Log'!$A$2:$A$5000,'Call Log'!$C$2:$C$5000,B155)=0,"",MAXIFS('Call Log'!$A$2:$A$5000,'Call Log'!$C$2:$C$5000,B155)),""))</f>
        <v/>
      </c>
      <c r="S155" s="5"/>
      <c r="T155" s="21"/>
      <c r="U155" s="21"/>
      <c r="V155" s="5"/>
      <c r="W155" s="20"/>
      <c r="X155" s="5"/>
      <c r="Y155" s="5"/>
      <c r="Z155" s="5" t="s">
        <v>132</v>
      </c>
      <c r="AA155" s="5" t="s">
        <v>1126</v>
      </c>
    </row>
    <row r="156" ht="15.0" customHeight="1">
      <c r="A156" s="5" t="s">
        <v>1127</v>
      </c>
      <c r="B156" s="5" t="s">
        <v>1128</v>
      </c>
      <c r="C156" s="5" t="s">
        <v>1129</v>
      </c>
      <c r="D156" s="5" t="s">
        <v>1130</v>
      </c>
      <c r="E156" s="5"/>
      <c r="F156" s="20"/>
      <c r="G156" s="20"/>
      <c r="H156" s="5" t="s">
        <v>40</v>
      </c>
      <c r="I156" s="5" t="s">
        <v>622</v>
      </c>
      <c r="J156" s="5" t="s">
        <v>114</v>
      </c>
      <c r="K156" s="5" t="s">
        <v>1131</v>
      </c>
      <c r="L156" s="5"/>
      <c r="M156" s="5" t="s">
        <v>8</v>
      </c>
      <c r="N156" s="5" t="s">
        <v>80</v>
      </c>
      <c r="O156" s="5" t="str">
        <f>IF(B156="","",IFERROR(LOOKUP(2,1/('Call Log'!$C$2:$C$5000=B156),'Call Log'!$B$2:$B$5000),""))</f>
        <v/>
      </c>
      <c r="P156" s="5">
        <f>IF(B156="","",COUNTIFS('Call Log'!$C$2:$C$5000,B156,'Call Log'!$A$2:$A$5000,"&gt;="&amp;(TODAY()-WEEKDAY(TODAY(),2)+1)))</f>
        <v>0</v>
      </c>
      <c r="Q156" s="5">
        <f>IF(B156="","",COUNTIF('Call Log'!$C$2:$C$5000,B156))</f>
        <v>0</v>
      </c>
      <c r="R156" s="21" t="str">
        <f>IF(B156="","",IFERROR(IF(MAXIFS('Call Log'!$A$2:$A$5000,'Call Log'!$C$2:$C$5000,B156)=0,"",MAXIFS('Call Log'!$A$2:$A$5000,'Call Log'!$C$2:$C$5000,B156)),""))</f>
        <v/>
      </c>
      <c r="S156" s="5"/>
      <c r="T156" s="21"/>
      <c r="U156" s="21"/>
      <c r="V156" s="5"/>
      <c r="W156" s="20"/>
      <c r="X156" s="5"/>
      <c r="Y156" s="5"/>
      <c r="Z156" s="5" t="s">
        <v>132</v>
      </c>
      <c r="AA156" s="5" t="s">
        <v>1132</v>
      </c>
    </row>
    <row r="157" ht="15.0" customHeight="1">
      <c r="A157" s="5" t="s">
        <v>1133</v>
      </c>
      <c r="B157" s="5" t="s">
        <v>1134</v>
      </c>
      <c r="C157" s="5" t="s">
        <v>1135</v>
      </c>
      <c r="D157" s="5" t="s">
        <v>1136</v>
      </c>
      <c r="E157" s="5"/>
      <c r="F157" s="20"/>
      <c r="G157" s="20"/>
      <c r="H157" s="5" t="s">
        <v>41</v>
      </c>
      <c r="I157" s="5" t="s">
        <v>370</v>
      </c>
      <c r="J157" s="5" t="s">
        <v>114</v>
      </c>
      <c r="K157" s="5" t="s">
        <v>1136</v>
      </c>
      <c r="L157" s="5"/>
      <c r="M157" s="5" t="s">
        <v>8</v>
      </c>
      <c r="N157" s="5" t="s">
        <v>80</v>
      </c>
      <c r="O157" s="5" t="str">
        <f>IF(B157="","",IFERROR(LOOKUP(2,1/('Call Log'!$C$2:$C$5000=B157),'Call Log'!$B$2:$B$5000),""))</f>
        <v/>
      </c>
      <c r="P157" s="5">
        <f>IF(B157="","",COUNTIFS('Call Log'!$C$2:$C$5000,B157,'Call Log'!$A$2:$A$5000,"&gt;="&amp;(TODAY()-WEEKDAY(TODAY(),2)+1)))</f>
        <v>0</v>
      </c>
      <c r="Q157" s="5">
        <f>IF(B157="","",COUNTIF('Call Log'!$C$2:$C$5000,B157))</f>
        <v>0</v>
      </c>
      <c r="R157" s="21" t="str">
        <f>IF(B157="","",IFERROR(IF(MAXIFS('Call Log'!$A$2:$A$5000,'Call Log'!$C$2:$C$5000,B157)=0,"",MAXIFS('Call Log'!$A$2:$A$5000,'Call Log'!$C$2:$C$5000,B157)),""))</f>
        <v/>
      </c>
      <c r="S157" s="5"/>
      <c r="T157" s="21"/>
      <c r="U157" s="21"/>
      <c r="V157" s="5"/>
      <c r="W157" s="20"/>
      <c r="X157" s="5"/>
      <c r="Y157" s="5"/>
      <c r="Z157" s="5" t="s">
        <v>178</v>
      </c>
      <c r="AA157" s="5" t="s">
        <v>1137</v>
      </c>
    </row>
    <row r="158" ht="15.0" customHeight="1">
      <c r="A158" s="5" t="s">
        <v>1138</v>
      </c>
      <c r="B158" s="5" t="s">
        <v>1139</v>
      </c>
      <c r="C158" s="5" t="s">
        <v>1140</v>
      </c>
      <c r="D158" s="5" t="s">
        <v>1141</v>
      </c>
      <c r="E158" s="5">
        <v>3.0</v>
      </c>
      <c r="F158" s="20"/>
      <c r="G158" s="20"/>
      <c r="H158" s="5" t="s">
        <v>40</v>
      </c>
      <c r="I158" s="5" t="s">
        <v>370</v>
      </c>
      <c r="J158" s="5" t="s">
        <v>114</v>
      </c>
      <c r="K158" s="5" t="s">
        <v>1142</v>
      </c>
      <c r="L158" s="5"/>
      <c r="M158" s="5" t="s">
        <v>8</v>
      </c>
      <c r="N158" s="5" t="s">
        <v>80</v>
      </c>
      <c r="O158" s="5" t="str">
        <f>IF(B158="","",IFERROR(LOOKUP(2,1/('Call Log'!$C$2:$C$5000=B158),'Call Log'!$B$2:$B$5000),""))</f>
        <v/>
      </c>
      <c r="P158" s="5">
        <f>IF(B158="","",COUNTIFS('Call Log'!$C$2:$C$5000,B158,'Call Log'!$A$2:$A$5000,"&gt;="&amp;(TODAY()-WEEKDAY(TODAY(),2)+1)))</f>
        <v>0</v>
      </c>
      <c r="Q158" s="5">
        <f>IF(B158="","",COUNTIF('Call Log'!$C$2:$C$5000,B158))</f>
        <v>0</v>
      </c>
      <c r="R158" s="21" t="str">
        <f>IF(B158="","",IFERROR(IF(MAXIFS('Call Log'!$A$2:$A$5000,'Call Log'!$C$2:$C$5000,B158)=0,"",MAXIFS('Call Log'!$A$2:$A$5000,'Call Log'!$C$2:$C$5000,B158)),""))</f>
        <v/>
      </c>
      <c r="S158" s="5"/>
      <c r="T158" s="21"/>
      <c r="U158" s="21"/>
      <c r="V158" s="5"/>
      <c r="W158" s="20"/>
      <c r="X158" s="5"/>
      <c r="Y158" s="5"/>
      <c r="Z158" s="5" t="s">
        <v>132</v>
      </c>
      <c r="AA158" s="5" t="s">
        <v>1143</v>
      </c>
    </row>
    <row r="159" ht="15.0" customHeight="1">
      <c r="A159" s="5" t="s">
        <v>1144</v>
      </c>
      <c r="B159" s="5" t="s">
        <v>1145</v>
      </c>
      <c r="C159" s="5" t="s">
        <v>1146</v>
      </c>
      <c r="D159" s="5" t="s">
        <v>1147</v>
      </c>
      <c r="E159" s="5"/>
      <c r="F159" s="20"/>
      <c r="G159" s="20"/>
      <c r="H159" s="5" t="s">
        <v>41</v>
      </c>
      <c r="I159" s="5" t="s">
        <v>461</v>
      </c>
      <c r="J159" s="5" t="s">
        <v>114</v>
      </c>
      <c r="K159" s="5" t="s">
        <v>1148</v>
      </c>
      <c r="L159" s="5"/>
      <c r="M159" s="5" t="s">
        <v>8</v>
      </c>
      <c r="N159" s="5" t="s">
        <v>80</v>
      </c>
      <c r="O159" s="5" t="str">
        <f>IF(B159="","",IFERROR(LOOKUP(2,1/('Call Log'!$C$2:$C$5000=B159),'Call Log'!$B$2:$B$5000),""))</f>
        <v/>
      </c>
      <c r="P159" s="5">
        <f>IF(B159="","",COUNTIFS('Call Log'!$C$2:$C$5000,B159,'Call Log'!$A$2:$A$5000,"&gt;="&amp;(TODAY()-WEEKDAY(TODAY(),2)+1)))</f>
        <v>0</v>
      </c>
      <c r="Q159" s="5">
        <f>IF(B159="","",COUNTIF('Call Log'!$C$2:$C$5000,B159))</f>
        <v>0</v>
      </c>
      <c r="R159" s="21" t="str">
        <f>IF(B159="","",IFERROR(IF(MAXIFS('Call Log'!$A$2:$A$5000,'Call Log'!$C$2:$C$5000,B159)=0,"",MAXIFS('Call Log'!$A$2:$A$5000,'Call Log'!$C$2:$C$5000,B159)),""))</f>
        <v/>
      </c>
      <c r="S159" s="5"/>
      <c r="T159" s="21"/>
      <c r="U159" s="21"/>
      <c r="V159" s="5"/>
      <c r="W159" s="20"/>
      <c r="X159" s="5"/>
      <c r="Y159" s="5"/>
      <c r="Z159" s="5" t="s">
        <v>132</v>
      </c>
      <c r="AA159" s="5" t="s">
        <v>1149</v>
      </c>
    </row>
    <row r="160" ht="15.0" customHeight="1">
      <c r="A160" s="5" t="s">
        <v>1150</v>
      </c>
      <c r="B160" s="5" t="s">
        <v>1151</v>
      </c>
      <c r="C160" s="5" t="s">
        <v>1152</v>
      </c>
      <c r="D160" s="5" t="s">
        <v>1153</v>
      </c>
      <c r="E160" s="5">
        <v>1.0</v>
      </c>
      <c r="F160" s="20"/>
      <c r="G160" s="20"/>
      <c r="H160" s="5" t="s">
        <v>41</v>
      </c>
      <c r="I160" s="5" t="s">
        <v>213</v>
      </c>
      <c r="J160" s="5" t="s">
        <v>114</v>
      </c>
      <c r="K160" s="5" t="s">
        <v>1154</v>
      </c>
      <c r="L160" s="5"/>
      <c r="M160" s="5" t="s">
        <v>8</v>
      </c>
      <c r="N160" s="5" t="s">
        <v>80</v>
      </c>
      <c r="O160" s="5" t="str">
        <f>IF(B160="","",IFERROR(LOOKUP(2,1/('Call Log'!$C$2:$C$5000=B160),'Call Log'!$B$2:$B$5000),""))</f>
        <v/>
      </c>
      <c r="P160" s="5">
        <f>IF(B160="","",COUNTIFS('Call Log'!$C$2:$C$5000,B160,'Call Log'!$A$2:$A$5000,"&gt;="&amp;(TODAY()-WEEKDAY(TODAY(),2)+1)))</f>
        <v>0</v>
      </c>
      <c r="Q160" s="5">
        <f>IF(B160="","",COUNTIF('Call Log'!$C$2:$C$5000,B160))</f>
        <v>0</v>
      </c>
      <c r="R160" s="21" t="str">
        <f>IF(B160="","",IFERROR(IF(MAXIFS('Call Log'!$A$2:$A$5000,'Call Log'!$C$2:$C$5000,B160)=0,"",MAXIFS('Call Log'!$A$2:$A$5000,'Call Log'!$C$2:$C$5000,B160)),""))</f>
        <v/>
      </c>
      <c r="S160" s="5"/>
      <c r="T160" s="21"/>
      <c r="U160" s="21"/>
      <c r="V160" s="5"/>
      <c r="W160" s="20"/>
      <c r="X160" s="5"/>
      <c r="Y160" s="5"/>
      <c r="Z160" s="5" t="s">
        <v>132</v>
      </c>
      <c r="AA160" s="5" t="s">
        <v>1155</v>
      </c>
    </row>
    <row r="161" ht="15.0" customHeight="1">
      <c r="A161" s="5" t="s">
        <v>1156</v>
      </c>
      <c r="B161" s="5" t="s">
        <v>1157</v>
      </c>
      <c r="C161" s="5" t="s">
        <v>1158</v>
      </c>
      <c r="D161" s="5" t="s">
        <v>1159</v>
      </c>
      <c r="E161" s="5"/>
      <c r="F161" s="20"/>
      <c r="G161" s="20"/>
      <c r="H161" s="5" t="s">
        <v>40</v>
      </c>
      <c r="I161" s="5" t="s">
        <v>370</v>
      </c>
      <c r="J161" s="5" t="s">
        <v>114</v>
      </c>
      <c r="K161" s="5" t="s">
        <v>1160</v>
      </c>
      <c r="L161" s="5" t="s">
        <v>1161</v>
      </c>
      <c r="M161" s="5" t="s">
        <v>8</v>
      </c>
      <c r="N161" s="5" t="s">
        <v>80</v>
      </c>
      <c r="O161" s="5" t="str">
        <f>IF(B161="","",IFERROR(LOOKUP(2,1/('Call Log'!$C$2:$C$5000=B161),'Call Log'!$B$2:$B$5000),""))</f>
        <v/>
      </c>
      <c r="P161" s="5">
        <f>IF(B161="","",COUNTIFS('Call Log'!$C$2:$C$5000,B161,'Call Log'!$A$2:$A$5000,"&gt;="&amp;(TODAY()-WEEKDAY(TODAY(),2)+1)))</f>
        <v>0</v>
      </c>
      <c r="Q161" s="5">
        <f>IF(B161="","",COUNTIF('Call Log'!$C$2:$C$5000,B161))</f>
        <v>0</v>
      </c>
      <c r="R161" s="21" t="str">
        <f>IF(B161="","",IFERROR(IF(MAXIFS('Call Log'!$A$2:$A$5000,'Call Log'!$C$2:$C$5000,B161)=0,"",MAXIFS('Call Log'!$A$2:$A$5000,'Call Log'!$C$2:$C$5000,B161)),""))</f>
        <v/>
      </c>
      <c r="S161" s="5"/>
      <c r="T161" s="21"/>
      <c r="U161" s="21"/>
      <c r="V161" s="5"/>
      <c r="W161" s="20"/>
      <c r="X161" s="5"/>
      <c r="Y161" s="5"/>
      <c r="Z161" s="5" t="s">
        <v>178</v>
      </c>
      <c r="AA161" s="5" t="s">
        <v>1162</v>
      </c>
    </row>
    <row r="162" ht="15.0" customHeight="1">
      <c r="A162" s="5" t="s">
        <v>1163</v>
      </c>
      <c r="B162" s="5" t="s">
        <v>1164</v>
      </c>
      <c r="C162" s="5" t="s">
        <v>1165</v>
      </c>
      <c r="D162" s="5" t="s">
        <v>1166</v>
      </c>
      <c r="E162" s="5"/>
      <c r="F162" s="20"/>
      <c r="G162" s="20"/>
      <c r="H162" s="5" t="s">
        <v>41</v>
      </c>
      <c r="I162" s="5" t="s">
        <v>206</v>
      </c>
      <c r="J162" s="5" t="s">
        <v>114</v>
      </c>
      <c r="K162" s="5" t="s">
        <v>1167</v>
      </c>
      <c r="L162" s="5"/>
      <c r="M162" s="5" t="s">
        <v>8</v>
      </c>
      <c r="N162" s="5" t="s">
        <v>80</v>
      </c>
      <c r="O162" s="5" t="str">
        <f>IF(B162="","",IFERROR(LOOKUP(2,1/('Call Log'!$C$2:$C$5000=B162),'Call Log'!$B$2:$B$5000),""))</f>
        <v/>
      </c>
      <c r="P162" s="5">
        <f>IF(B162="","",COUNTIFS('Call Log'!$C$2:$C$5000,B162,'Call Log'!$A$2:$A$5000,"&gt;="&amp;(TODAY()-WEEKDAY(TODAY(),2)+1)))</f>
        <v>0</v>
      </c>
      <c r="Q162" s="5">
        <f>IF(B162="","",COUNTIF('Call Log'!$C$2:$C$5000,B162))</f>
        <v>0</v>
      </c>
      <c r="R162" s="21" t="str">
        <f>IF(B162="","",IFERROR(IF(MAXIFS('Call Log'!$A$2:$A$5000,'Call Log'!$C$2:$C$5000,B162)=0,"",MAXIFS('Call Log'!$A$2:$A$5000,'Call Log'!$C$2:$C$5000,B162)),""))</f>
        <v/>
      </c>
      <c r="S162" s="5"/>
      <c r="T162" s="21"/>
      <c r="U162" s="21"/>
      <c r="V162" s="5"/>
      <c r="W162" s="20"/>
      <c r="X162" s="5"/>
      <c r="Y162" s="5"/>
      <c r="Z162" s="5" t="s">
        <v>132</v>
      </c>
      <c r="AA162" s="5" t="s">
        <v>1168</v>
      </c>
    </row>
    <row r="163" ht="15.0" customHeight="1">
      <c r="A163" s="5" t="s">
        <v>1169</v>
      </c>
      <c r="B163" s="5" t="s">
        <v>1170</v>
      </c>
      <c r="C163" s="5" t="s">
        <v>1171</v>
      </c>
      <c r="D163" s="5" t="s">
        <v>1172</v>
      </c>
      <c r="E163" s="5"/>
      <c r="F163" s="20"/>
      <c r="G163" s="20"/>
      <c r="H163" s="5" t="s">
        <v>40</v>
      </c>
      <c r="I163" s="5" t="s">
        <v>357</v>
      </c>
      <c r="J163" s="5" t="s">
        <v>114</v>
      </c>
      <c r="K163" s="5" t="s">
        <v>1173</v>
      </c>
      <c r="L163" s="5" t="s">
        <v>1174</v>
      </c>
      <c r="M163" s="5" t="s">
        <v>8</v>
      </c>
      <c r="N163" s="5" t="s">
        <v>80</v>
      </c>
      <c r="O163" s="5" t="str">
        <f>IF(B163="","",IFERROR(LOOKUP(2,1/('Call Log'!$C$2:$C$5000=B163),'Call Log'!$B$2:$B$5000),""))</f>
        <v/>
      </c>
      <c r="P163" s="5">
        <f>IF(B163="","",COUNTIFS('Call Log'!$C$2:$C$5000,B163,'Call Log'!$A$2:$A$5000,"&gt;="&amp;(TODAY()-WEEKDAY(TODAY(),2)+1)))</f>
        <v>0</v>
      </c>
      <c r="Q163" s="5">
        <f>IF(B163="","",COUNTIF('Call Log'!$C$2:$C$5000,B163))</f>
        <v>0</v>
      </c>
      <c r="R163" s="21" t="str">
        <f>IF(B163="","",IFERROR(IF(MAXIFS('Call Log'!$A$2:$A$5000,'Call Log'!$C$2:$C$5000,B163)=0,"",MAXIFS('Call Log'!$A$2:$A$5000,'Call Log'!$C$2:$C$5000,B163)),""))</f>
        <v/>
      </c>
      <c r="S163" s="5"/>
      <c r="T163" s="21"/>
      <c r="U163" s="21"/>
      <c r="V163" s="5"/>
      <c r="W163" s="20"/>
      <c r="X163" s="5"/>
      <c r="Y163" s="5"/>
      <c r="Z163" s="5" t="s">
        <v>132</v>
      </c>
      <c r="AA163" s="5" t="s">
        <v>1175</v>
      </c>
    </row>
    <row r="164" ht="15.0" customHeight="1">
      <c r="A164" s="5" t="s">
        <v>1176</v>
      </c>
      <c r="B164" s="5" t="s">
        <v>1177</v>
      </c>
      <c r="C164" s="5" t="s">
        <v>1178</v>
      </c>
      <c r="D164" s="5" t="s">
        <v>1179</v>
      </c>
      <c r="E164" s="5"/>
      <c r="F164" s="20"/>
      <c r="G164" s="20"/>
      <c r="H164" s="5" t="s">
        <v>40</v>
      </c>
      <c r="I164" s="5" t="s">
        <v>422</v>
      </c>
      <c r="J164" s="5" t="s">
        <v>114</v>
      </c>
      <c r="K164" s="5" t="s">
        <v>1180</v>
      </c>
      <c r="L164" s="5"/>
      <c r="M164" s="5" t="s">
        <v>8</v>
      </c>
      <c r="N164" s="5" t="s">
        <v>80</v>
      </c>
      <c r="O164" s="5" t="str">
        <f>IF(B164="","",IFERROR(LOOKUP(2,1/('Call Log'!$C$2:$C$5000=B164),'Call Log'!$B$2:$B$5000),""))</f>
        <v/>
      </c>
      <c r="P164" s="5">
        <f>IF(B164="","",COUNTIFS('Call Log'!$C$2:$C$5000,B164,'Call Log'!$A$2:$A$5000,"&gt;="&amp;(TODAY()-WEEKDAY(TODAY(),2)+1)))</f>
        <v>0</v>
      </c>
      <c r="Q164" s="5">
        <f>IF(B164="","",COUNTIF('Call Log'!$C$2:$C$5000,B164))</f>
        <v>0</v>
      </c>
      <c r="R164" s="21" t="str">
        <f>IF(B164="","",IFERROR(IF(MAXIFS('Call Log'!$A$2:$A$5000,'Call Log'!$C$2:$C$5000,B164)=0,"",MAXIFS('Call Log'!$A$2:$A$5000,'Call Log'!$C$2:$C$5000,B164)),""))</f>
        <v/>
      </c>
      <c r="S164" s="5"/>
      <c r="T164" s="21"/>
      <c r="U164" s="21"/>
      <c r="V164" s="5"/>
      <c r="W164" s="20"/>
      <c r="X164" s="5"/>
      <c r="Y164" s="5"/>
      <c r="Z164" s="5" t="s">
        <v>132</v>
      </c>
      <c r="AA164" s="5" t="s">
        <v>1181</v>
      </c>
    </row>
    <row r="165" ht="15.0" customHeight="1">
      <c r="A165" s="5" t="s">
        <v>1182</v>
      </c>
      <c r="B165" s="5" t="s">
        <v>1183</v>
      </c>
      <c r="C165" s="5" t="s">
        <v>1184</v>
      </c>
      <c r="D165" s="5" t="s">
        <v>1185</v>
      </c>
      <c r="E165" s="5"/>
      <c r="F165" s="20"/>
      <c r="G165" s="20"/>
      <c r="H165" s="5" t="s">
        <v>41</v>
      </c>
      <c r="I165" s="5" t="s">
        <v>175</v>
      </c>
      <c r="J165" s="5" t="s">
        <v>114</v>
      </c>
      <c r="K165" s="5" t="s">
        <v>1186</v>
      </c>
      <c r="L165" s="5" t="s">
        <v>1187</v>
      </c>
      <c r="M165" s="5" t="s">
        <v>8</v>
      </c>
      <c r="N165" s="5" t="s">
        <v>80</v>
      </c>
      <c r="O165" s="5" t="str">
        <f>IF(B165="","",IFERROR(LOOKUP(2,1/('Call Log'!$C$2:$C$5000=B165),'Call Log'!$B$2:$B$5000),""))</f>
        <v/>
      </c>
      <c r="P165" s="5">
        <f>IF(B165="","",COUNTIFS('Call Log'!$C$2:$C$5000,B165,'Call Log'!$A$2:$A$5000,"&gt;="&amp;(TODAY()-WEEKDAY(TODAY(),2)+1)))</f>
        <v>0</v>
      </c>
      <c r="Q165" s="5">
        <f>IF(B165="","",COUNTIF('Call Log'!$C$2:$C$5000,B165))</f>
        <v>0</v>
      </c>
      <c r="R165" s="21" t="str">
        <f>IF(B165="","",IFERROR(IF(MAXIFS('Call Log'!$A$2:$A$5000,'Call Log'!$C$2:$C$5000,B165)=0,"",MAXIFS('Call Log'!$A$2:$A$5000,'Call Log'!$C$2:$C$5000,B165)),""))</f>
        <v/>
      </c>
      <c r="S165" s="5"/>
      <c r="T165" s="21"/>
      <c r="U165" s="21"/>
      <c r="V165" s="5"/>
      <c r="W165" s="20"/>
      <c r="X165" s="5"/>
      <c r="Y165" s="5"/>
      <c r="Z165" s="5" t="s">
        <v>132</v>
      </c>
      <c r="AA165" s="5" t="s">
        <v>1188</v>
      </c>
    </row>
    <row r="166" ht="15.0" customHeight="1">
      <c r="A166" s="5" t="s">
        <v>1189</v>
      </c>
      <c r="B166" s="5" t="s">
        <v>1190</v>
      </c>
      <c r="C166" s="5" t="s">
        <v>1191</v>
      </c>
      <c r="D166" s="5" t="s">
        <v>1192</v>
      </c>
      <c r="E166" s="5"/>
      <c r="F166" s="20"/>
      <c r="G166" s="20"/>
      <c r="H166" s="5" t="s">
        <v>40</v>
      </c>
      <c r="I166" s="5" t="s">
        <v>129</v>
      </c>
      <c r="J166" s="5" t="s">
        <v>114</v>
      </c>
      <c r="K166" s="5" t="s">
        <v>1192</v>
      </c>
      <c r="L166" s="5"/>
      <c r="M166" s="5" t="s">
        <v>8</v>
      </c>
      <c r="N166" s="5" t="s">
        <v>80</v>
      </c>
      <c r="O166" s="5" t="str">
        <f>IF(B166="","",IFERROR(LOOKUP(2,1/('Call Log'!$C$2:$C$5000=B166),'Call Log'!$B$2:$B$5000),""))</f>
        <v/>
      </c>
      <c r="P166" s="5">
        <f>IF(B166="","",COUNTIFS('Call Log'!$C$2:$C$5000,B166,'Call Log'!$A$2:$A$5000,"&gt;="&amp;(TODAY()-WEEKDAY(TODAY(),2)+1)))</f>
        <v>0</v>
      </c>
      <c r="Q166" s="5">
        <f>IF(B166="","",COUNTIF('Call Log'!$C$2:$C$5000,B166))</f>
        <v>0</v>
      </c>
      <c r="R166" s="21" t="str">
        <f>IF(B166="","",IFERROR(IF(MAXIFS('Call Log'!$A$2:$A$5000,'Call Log'!$C$2:$C$5000,B166)=0,"",MAXIFS('Call Log'!$A$2:$A$5000,'Call Log'!$C$2:$C$5000,B166)),""))</f>
        <v/>
      </c>
      <c r="S166" s="5"/>
      <c r="T166" s="21"/>
      <c r="U166" s="21"/>
      <c r="V166" s="5"/>
      <c r="W166" s="20"/>
      <c r="X166" s="5"/>
      <c r="Y166" s="5"/>
      <c r="Z166" s="5" t="s">
        <v>132</v>
      </c>
      <c r="AA166" s="5" t="s">
        <v>1193</v>
      </c>
    </row>
    <row r="167" ht="15.0" customHeight="1">
      <c r="A167" s="5" t="s">
        <v>1194</v>
      </c>
      <c r="B167" s="5" t="s">
        <v>1195</v>
      </c>
      <c r="C167" s="5" t="s">
        <v>1196</v>
      </c>
      <c r="D167" s="5" t="s">
        <v>1197</v>
      </c>
      <c r="E167" s="5"/>
      <c r="F167" s="20"/>
      <c r="G167" s="20"/>
      <c r="H167" s="5" t="s">
        <v>40</v>
      </c>
      <c r="I167" s="5" t="s">
        <v>198</v>
      </c>
      <c r="J167" s="5" t="s">
        <v>114</v>
      </c>
      <c r="K167" s="5" t="s">
        <v>1198</v>
      </c>
      <c r="L167" s="5"/>
      <c r="M167" s="5" t="s">
        <v>8</v>
      </c>
      <c r="N167" s="5" t="s">
        <v>80</v>
      </c>
      <c r="O167" s="5" t="str">
        <f>IF(B167="","",IFERROR(LOOKUP(2,1/('Call Log'!$C$2:$C$5000=B167),'Call Log'!$B$2:$B$5000),""))</f>
        <v/>
      </c>
      <c r="P167" s="5">
        <f>IF(B167="","",COUNTIFS('Call Log'!$C$2:$C$5000,B167,'Call Log'!$A$2:$A$5000,"&gt;="&amp;(TODAY()-WEEKDAY(TODAY(),2)+1)))</f>
        <v>0</v>
      </c>
      <c r="Q167" s="5">
        <f>IF(B167="","",COUNTIF('Call Log'!$C$2:$C$5000,B167))</f>
        <v>0</v>
      </c>
      <c r="R167" s="21" t="str">
        <f>IF(B167="","",IFERROR(IF(MAXIFS('Call Log'!$A$2:$A$5000,'Call Log'!$C$2:$C$5000,B167)=0,"",MAXIFS('Call Log'!$A$2:$A$5000,'Call Log'!$C$2:$C$5000,B167)),""))</f>
        <v/>
      </c>
      <c r="S167" s="5"/>
      <c r="T167" s="21"/>
      <c r="U167" s="21"/>
      <c r="V167" s="5"/>
      <c r="W167" s="20"/>
      <c r="X167" s="5"/>
      <c r="Y167" s="5"/>
      <c r="Z167" s="5" t="s">
        <v>132</v>
      </c>
      <c r="AA167" s="5" t="s">
        <v>1199</v>
      </c>
    </row>
    <row r="168" ht="15.0" customHeight="1">
      <c r="A168" s="5" t="s">
        <v>1200</v>
      </c>
      <c r="B168" s="5" t="s">
        <v>1201</v>
      </c>
      <c r="C168" s="5" t="s">
        <v>1202</v>
      </c>
      <c r="D168" s="5" t="s">
        <v>1203</v>
      </c>
      <c r="E168" s="5"/>
      <c r="F168" s="20"/>
      <c r="G168" s="20"/>
      <c r="H168" s="5" t="s">
        <v>41</v>
      </c>
      <c r="I168" s="5" t="s">
        <v>218</v>
      </c>
      <c r="J168" s="5" t="s">
        <v>114</v>
      </c>
      <c r="K168" s="5" t="s">
        <v>1203</v>
      </c>
      <c r="L168" s="5"/>
      <c r="M168" s="5" t="s">
        <v>8</v>
      </c>
      <c r="N168" s="5" t="s">
        <v>80</v>
      </c>
      <c r="O168" s="5" t="str">
        <f>IF(B168="","",IFERROR(LOOKUP(2,1/('Call Log'!$C$2:$C$5000=B168),'Call Log'!$B$2:$B$5000),""))</f>
        <v/>
      </c>
      <c r="P168" s="5">
        <f>IF(B168="","",COUNTIFS('Call Log'!$C$2:$C$5000,B168,'Call Log'!$A$2:$A$5000,"&gt;="&amp;(TODAY()-WEEKDAY(TODAY(),2)+1)))</f>
        <v>0</v>
      </c>
      <c r="Q168" s="5">
        <f>IF(B168="","",COUNTIF('Call Log'!$C$2:$C$5000,B168))</f>
        <v>0</v>
      </c>
      <c r="R168" s="21" t="str">
        <f>IF(B168="","",IFERROR(IF(MAXIFS('Call Log'!$A$2:$A$5000,'Call Log'!$C$2:$C$5000,B168)=0,"",MAXIFS('Call Log'!$A$2:$A$5000,'Call Log'!$C$2:$C$5000,B168)),""))</f>
        <v/>
      </c>
      <c r="S168" s="5"/>
      <c r="T168" s="21"/>
      <c r="U168" s="21"/>
      <c r="V168" s="5"/>
      <c r="W168" s="20"/>
      <c r="X168" s="5"/>
      <c r="Y168" s="5"/>
      <c r="Z168" s="5" t="s">
        <v>132</v>
      </c>
      <c r="AA168" s="5" t="s">
        <v>1204</v>
      </c>
    </row>
    <row r="169" ht="15.0" customHeight="1">
      <c r="A169" s="5" t="s">
        <v>1205</v>
      </c>
      <c r="B169" s="5" t="s">
        <v>1206</v>
      </c>
      <c r="C169" s="5" t="s">
        <v>1207</v>
      </c>
      <c r="D169" s="5" t="s">
        <v>1208</v>
      </c>
      <c r="E169" s="5"/>
      <c r="F169" s="20"/>
      <c r="G169" s="20"/>
      <c r="H169" s="5" t="s">
        <v>40</v>
      </c>
      <c r="I169" s="5" t="s">
        <v>667</v>
      </c>
      <c r="J169" s="5" t="s">
        <v>114</v>
      </c>
      <c r="K169" s="5" t="s">
        <v>1209</v>
      </c>
      <c r="L169" s="5"/>
      <c r="M169" s="5" t="s">
        <v>8</v>
      </c>
      <c r="N169" s="5" t="s">
        <v>80</v>
      </c>
      <c r="O169" s="5" t="str">
        <f>IF(B169="","",IFERROR(LOOKUP(2,1/('Call Log'!$C$2:$C$5000=B169),'Call Log'!$B$2:$B$5000),""))</f>
        <v/>
      </c>
      <c r="P169" s="5">
        <f>IF(B169="","",COUNTIFS('Call Log'!$C$2:$C$5000,B169,'Call Log'!$A$2:$A$5000,"&gt;="&amp;(TODAY()-WEEKDAY(TODAY(),2)+1)))</f>
        <v>0</v>
      </c>
      <c r="Q169" s="5">
        <f>IF(B169="","",COUNTIF('Call Log'!$C$2:$C$5000,B169))</f>
        <v>0</v>
      </c>
      <c r="R169" s="21" t="str">
        <f>IF(B169="","",IFERROR(IF(MAXIFS('Call Log'!$A$2:$A$5000,'Call Log'!$C$2:$C$5000,B169)=0,"",MAXIFS('Call Log'!$A$2:$A$5000,'Call Log'!$C$2:$C$5000,B169)),""))</f>
        <v/>
      </c>
      <c r="S169" s="5"/>
      <c r="T169" s="21"/>
      <c r="U169" s="21"/>
      <c r="V169" s="5"/>
      <c r="W169" s="20"/>
      <c r="X169" s="5"/>
      <c r="Y169" s="5"/>
      <c r="Z169" s="5" t="s">
        <v>132</v>
      </c>
      <c r="AA169" s="5" t="s">
        <v>1210</v>
      </c>
    </row>
    <row r="170" ht="15.0" customHeight="1">
      <c r="A170" s="5" t="s">
        <v>1211</v>
      </c>
      <c r="B170" s="5" t="s">
        <v>1212</v>
      </c>
      <c r="C170" s="5" t="s">
        <v>1213</v>
      </c>
      <c r="D170" s="5" t="s">
        <v>1214</v>
      </c>
      <c r="E170" s="5"/>
      <c r="F170" s="20"/>
      <c r="G170" s="20"/>
      <c r="H170" s="5" t="s">
        <v>40</v>
      </c>
      <c r="I170" s="5" t="s">
        <v>129</v>
      </c>
      <c r="J170" s="5" t="s">
        <v>114</v>
      </c>
      <c r="K170" s="5" t="s">
        <v>1215</v>
      </c>
      <c r="L170" s="5"/>
      <c r="M170" s="5" t="s">
        <v>8</v>
      </c>
      <c r="N170" s="5" t="s">
        <v>80</v>
      </c>
      <c r="O170" s="5" t="str">
        <f>IF(B170="","",IFERROR(LOOKUP(2,1/('Call Log'!$C$2:$C$5000=B170),'Call Log'!$B$2:$B$5000),""))</f>
        <v/>
      </c>
      <c r="P170" s="5">
        <f>IF(B170="","",COUNTIFS('Call Log'!$C$2:$C$5000,B170,'Call Log'!$A$2:$A$5000,"&gt;="&amp;(TODAY()-WEEKDAY(TODAY(),2)+1)))</f>
        <v>0</v>
      </c>
      <c r="Q170" s="5">
        <f>IF(B170="","",COUNTIF('Call Log'!$C$2:$C$5000,B170))</f>
        <v>0</v>
      </c>
      <c r="R170" s="21" t="str">
        <f>IF(B170="","",IFERROR(IF(MAXIFS('Call Log'!$A$2:$A$5000,'Call Log'!$C$2:$C$5000,B170)=0,"",MAXIFS('Call Log'!$A$2:$A$5000,'Call Log'!$C$2:$C$5000,B170)),""))</f>
        <v/>
      </c>
      <c r="S170" s="5"/>
      <c r="T170" s="21"/>
      <c r="U170" s="21"/>
      <c r="V170" s="5"/>
      <c r="W170" s="20"/>
      <c r="X170" s="5"/>
      <c r="Y170" s="5"/>
      <c r="Z170" s="5" t="s">
        <v>132</v>
      </c>
      <c r="AA170" s="5" t="s">
        <v>1216</v>
      </c>
    </row>
    <row r="171" ht="15.0" customHeight="1">
      <c r="A171" s="5" t="s">
        <v>1217</v>
      </c>
      <c r="B171" s="5" t="s">
        <v>1218</v>
      </c>
      <c r="C171" s="5" t="s">
        <v>1219</v>
      </c>
      <c r="D171" s="5" t="s">
        <v>1220</v>
      </c>
      <c r="E171" s="5"/>
      <c r="F171" s="20"/>
      <c r="G171" s="20"/>
      <c r="H171" s="5" t="s">
        <v>40</v>
      </c>
      <c r="I171" s="5" t="s">
        <v>129</v>
      </c>
      <c r="J171" s="5" t="s">
        <v>114</v>
      </c>
      <c r="K171" s="5" t="s">
        <v>1221</v>
      </c>
      <c r="L171" s="5" t="s">
        <v>1222</v>
      </c>
      <c r="M171" s="5" t="s">
        <v>8</v>
      </c>
      <c r="N171" s="5" t="s">
        <v>80</v>
      </c>
      <c r="O171" s="5" t="str">
        <f>IF(B171="","",IFERROR(LOOKUP(2,1/('Call Log'!$C$2:$C$5000=B171),'Call Log'!$B$2:$B$5000),""))</f>
        <v/>
      </c>
      <c r="P171" s="5">
        <f>IF(B171="","",COUNTIFS('Call Log'!$C$2:$C$5000,B171,'Call Log'!$A$2:$A$5000,"&gt;="&amp;(TODAY()-WEEKDAY(TODAY(),2)+1)))</f>
        <v>0</v>
      </c>
      <c r="Q171" s="5">
        <f>IF(B171="","",COUNTIF('Call Log'!$C$2:$C$5000,B171))</f>
        <v>0</v>
      </c>
      <c r="R171" s="21" t="str">
        <f>IF(B171="","",IFERROR(IF(MAXIFS('Call Log'!$A$2:$A$5000,'Call Log'!$C$2:$C$5000,B171)=0,"",MAXIFS('Call Log'!$A$2:$A$5000,'Call Log'!$C$2:$C$5000,B171)),""))</f>
        <v/>
      </c>
      <c r="S171" s="5"/>
      <c r="T171" s="21"/>
      <c r="U171" s="21"/>
      <c r="V171" s="5"/>
      <c r="W171" s="20"/>
      <c r="X171" s="5"/>
      <c r="Y171" s="5"/>
      <c r="Z171" s="5" t="s">
        <v>132</v>
      </c>
      <c r="AA171" s="5" t="s">
        <v>1223</v>
      </c>
    </row>
    <row r="172" ht="15.0" customHeight="1">
      <c r="A172" s="5" t="s">
        <v>1224</v>
      </c>
      <c r="B172" s="5" t="s">
        <v>1225</v>
      </c>
      <c r="C172" s="5" t="s">
        <v>1226</v>
      </c>
      <c r="D172" s="5" t="s">
        <v>1227</v>
      </c>
      <c r="E172" s="5">
        <v>1.0</v>
      </c>
      <c r="F172" s="20"/>
      <c r="G172" s="20"/>
      <c r="H172" s="5" t="s">
        <v>41</v>
      </c>
      <c r="I172" s="5" t="s">
        <v>594</v>
      </c>
      <c r="J172" s="5" t="s">
        <v>114</v>
      </c>
      <c r="K172" s="5" t="s">
        <v>1228</v>
      </c>
      <c r="L172" s="5" t="s">
        <v>1229</v>
      </c>
      <c r="M172" s="5" t="s">
        <v>8</v>
      </c>
      <c r="N172" s="5" t="s">
        <v>80</v>
      </c>
      <c r="O172" s="5" t="str">
        <f>IF(B172="","",IFERROR(LOOKUP(2,1/('Call Log'!$C$2:$C$5000=B172),'Call Log'!$B$2:$B$5000),""))</f>
        <v/>
      </c>
      <c r="P172" s="5">
        <f>IF(B172="","",COUNTIFS('Call Log'!$C$2:$C$5000,B172,'Call Log'!$A$2:$A$5000,"&gt;="&amp;(TODAY()-WEEKDAY(TODAY(),2)+1)))</f>
        <v>0</v>
      </c>
      <c r="Q172" s="5">
        <f>IF(B172="","",COUNTIF('Call Log'!$C$2:$C$5000,B172))</f>
        <v>0</v>
      </c>
      <c r="R172" s="21" t="str">
        <f>IF(B172="","",IFERROR(IF(MAXIFS('Call Log'!$A$2:$A$5000,'Call Log'!$C$2:$C$5000,B172)=0,"",MAXIFS('Call Log'!$A$2:$A$5000,'Call Log'!$C$2:$C$5000,B172)),""))</f>
        <v/>
      </c>
      <c r="S172" s="5"/>
      <c r="T172" s="21"/>
      <c r="U172" s="21"/>
      <c r="V172" s="5"/>
      <c r="W172" s="20"/>
      <c r="X172" s="5"/>
      <c r="Y172" s="5"/>
      <c r="Z172" s="5" t="s">
        <v>132</v>
      </c>
      <c r="AA172" s="5" t="s">
        <v>1230</v>
      </c>
    </row>
    <row r="173" ht="15.0" customHeight="1">
      <c r="A173" s="5" t="s">
        <v>1231</v>
      </c>
      <c r="B173" s="5" t="s">
        <v>1232</v>
      </c>
      <c r="C173" s="5" t="s">
        <v>1233</v>
      </c>
      <c r="D173" s="5" t="s">
        <v>1234</v>
      </c>
      <c r="E173" s="5"/>
      <c r="F173" s="20"/>
      <c r="G173" s="20"/>
      <c r="H173" s="5" t="s">
        <v>43</v>
      </c>
      <c r="I173" s="5" t="s">
        <v>198</v>
      </c>
      <c r="J173" s="5" t="s">
        <v>114</v>
      </c>
      <c r="K173" s="5" t="s">
        <v>1235</v>
      </c>
      <c r="L173" s="5"/>
      <c r="M173" s="5" t="s">
        <v>8</v>
      </c>
      <c r="N173" s="5" t="s">
        <v>80</v>
      </c>
      <c r="O173" s="5" t="str">
        <f>IF(B173="","",IFERROR(LOOKUP(2,1/('Call Log'!$C$2:$C$5000=B173),'Call Log'!$B$2:$B$5000),""))</f>
        <v/>
      </c>
      <c r="P173" s="5">
        <f>IF(B173="","",COUNTIFS('Call Log'!$C$2:$C$5000,B173,'Call Log'!$A$2:$A$5000,"&gt;="&amp;(TODAY()-WEEKDAY(TODAY(),2)+1)))</f>
        <v>0</v>
      </c>
      <c r="Q173" s="5">
        <f>IF(B173="","",COUNTIF('Call Log'!$C$2:$C$5000,B173))</f>
        <v>0</v>
      </c>
      <c r="R173" s="21" t="str">
        <f>IF(B173="","",IFERROR(IF(MAXIFS('Call Log'!$A$2:$A$5000,'Call Log'!$C$2:$C$5000,B173)=0,"",MAXIFS('Call Log'!$A$2:$A$5000,'Call Log'!$C$2:$C$5000,B173)),""))</f>
        <v/>
      </c>
      <c r="S173" s="5"/>
      <c r="T173" s="21"/>
      <c r="U173" s="21"/>
      <c r="V173" s="5"/>
      <c r="W173" s="20"/>
      <c r="X173" s="5"/>
      <c r="Y173" s="5"/>
      <c r="Z173" s="5" t="s">
        <v>132</v>
      </c>
      <c r="AA173" s="5" t="s">
        <v>1236</v>
      </c>
    </row>
    <row r="174" ht="15.0" customHeight="1">
      <c r="A174" s="5" t="s">
        <v>1237</v>
      </c>
      <c r="B174" s="5" t="s">
        <v>1238</v>
      </c>
      <c r="C174" s="5" t="s">
        <v>1239</v>
      </c>
      <c r="D174" s="5" t="s">
        <v>1240</v>
      </c>
      <c r="E174" s="5"/>
      <c r="F174" s="20"/>
      <c r="G174" s="20"/>
      <c r="H174" s="5" t="s">
        <v>40</v>
      </c>
      <c r="I174" s="5" t="s">
        <v>1048</v>
      </c>
      <c r="J174" s="5" t="s">
        <v>114</v>
      </c>
      <c r="K174" s="5" t="s">
        <v>1240</v>
      </c>
      <c r="L174" s="5"/>
      <c r="M174" s="5" t="s">
        <v>8</v>
      </c>
      <c r="N174" s="5" t="s">
        <v>80</v>
      </c>
      <c r="O174" s="5" t="str">
        <f>IF(B174="","",IFERROR(LOOKUP(2,1/('Call Log'!$C$2:$C$5000=B174),'Call Log'!$B$2:$B$5000),""))</f>
        <v/>
      </c>
      <c r="P174" s="5">
        <f>IF(B174="","",COUNTIFS('Call Log'!$C$2:$C$5000,B174,'Call Log'!$A$2:$A$5000,"&gt;="&amp;(TODAY()-WEEKDAY(TODAY(),2)+1)))</f>
        <v>0</v>
      </c>
      <c r="Q174" s="5">
        <f>IF(B174="","",COUNTIF('Call Log'!$C$2:$C$5000,B174))</f>
        <v>0</v>
      </c>
      <c r="R174" s="21" t="str">
        <f>IF(B174="","",IFERROR(IF(MAXIFS('Call Log'!$A$2:$A$5000,'Call Log'!$C$2:$C$5000,B174)=0,"",MAXIFS('Call Log'!$A$2:$A$5000,'Call Log'!$C$2:$C$5000,B174)),""))</f>
        <v/>
      </c>
      <c r="S174" s="5"/>
      <c r="T174" s="21"/>
      <c r="U174" s="21"/>
      <c r="V174" s="5"/>
      <c r="W174" s="20"/>
      <c r="X174" s="5"/>
      <c r="Y174" s="5"/>
      <c r="Z174" s="5" t="s">
        <v>132</v>
      </c>
      <c r="AA174" s="5" t="s">
        <v>1241</v>
      </c>
    </row>
    <row r="175" ht="15.0" customHeight="1">
      <c r="A175" s="5" t="s">
        <v>1242</v>
      </c>
      <c r="B175" s="5" t="s">
        <v>1243</v>
      </c>
      <c r="C175" s="5" t="s">
        <v>1244</v>
      </c>
      <c r="D175" s="5" t="s">
        <v>1245</v>
      </c>
      <c r="E175" s="5"/>
      <c r="F175" s="20"/>
      <c r="G175" s="20"/>
      <c r="H175" s="5" t="s">
        <v>41</v>
      </c>
      <c r="I175" s="5" t="s">
        <v>154</v>
      </c>
      <c r="J175" s="5" t="s">
        <v>114</v>
      </c>
      <c r="K175" s="5" t="s">
        <v>1245</v>
      </c>
      <c r="L175" s="5" t="s">
        <v>1246</v>
      </c>
      <c r="M175" s="5" t="s">
        <v>8</v>
      </c>
      <c r="N175" s="5" t="s">
        <v>80</v>
      </c>
      <c r="O175" s="5" t="str">
        <f>IF(B175="","",IFERROR(LOOKUP(2,1/('Call Log'!$C$2:$C$5000=B175),'Call Log'!$B$2:$B$5000),""))</f>
        <v/>
      </c>
      <c r="P175" s="5">
        <f>IF(B175="","",COUNTIFS('Call Log'!$C$2:$C$5000,B175,'Call Log'!$A$2:$A$5000,"&gt;="&amp;(TODAY()-WEEKDAY(TODAY(),2)+1)))</f>
        <v>0</v>
      </c>
      <c r="Q175" s="5">
        <f>IF(B175="","",COUNTIF('Call Log'!$C$2:$C$5000,B175))</f>
        <v>0</v>
      </c>
      <c r="R175" s="21" t="str">
        <f>IF(B175="","",IFERROR(IF(MAXIFS('Call Log'!$A$2:$A$5000,'Call Log'!$C$2:$C$5000,B175)=0,"",MAXIFS('Call Log'!$A$2:$A$5000,'Call Log'!$C$2:$C$5000,B175)),""))</f>
        <v/>
      </c>
      <c r="S175" s="5"/>
      <c r="T175" s="21"/>
      <c r="U175" s="21"/>
      <c r="V175" s="5"/>
      <c r="W175" s="20"/>
      <c r="X175" s="5"/>
      <c r="Y175" s="5"/>
      <c r="Z175" s="5" t="s">
        <v>132</v>
      </c>
      <c r="AA175" s="5" t="s">
        <v>1247</v>
      </c>
    </row>
    <row r="176" ht="15.0" customHeight="1">
      <c r="A176" s="5" t="s">
        <v>1248</v>
      </c>
      <c r="B176" s="5" t="s">
        <v>1249</v>
      </c>
      <c r="C176" s="5" t="s">
        <v>1250</v>
      </c>
      <c r="D176" s="5" t="s">
        <v>1251</v>
      </c>
      <c r="E176" s="5"/>
      <c r="F176" s="20"/>
      <c r="G176" s="20"/>
      <c r="H176" s="5" t="s">
        <v>40</v>
      </c>
      <c r="I176" s="5" t="s">
        <v>213</v>
      </c>
      <c r="J176" s="5" t="s">
        <v>114</v>
      </c>
      <c r="K176" s="5" t="s">
        <v>1252</v>
      </c>
      <c r="L176" s="5" t="s">
        <v>1253</v>
      </c>
      <c r="M176" s="5" t="s">
        <v>8</v>
      </c>
      <c r="N176" s="5" t="s">
        <v>80</v>
      </c>
      <c r="O176" s="5" t="str">
        <f>IF(B176="","",IFERROR(LOOKUP(2,1/('Call Log'!$C$2:$C$5000=B176),'Call Log'!$B$2:$B$5000),""))</f>
        <v/>
      </c>
      <c r="P176" s="5">
        <f>IF(B176="","",COUNTIFS('Call Log'!$C$2:$C$5000,B176,'Call Log'!$A$2:$A$5000,"&gt;="&amp;(TODAY()-WEEKDAY(TODAY(),2)+1)))</f>
        <v>0</v>
      </c>
      <c r="Q176" s="5">
        <f>IF(B176="","",COUNTIF('Call Log'!$C$2:$C$5000,B176))</f>
        <v>0</v>
      </c>
      <c r="R176" s="21" t="str">
        <f>IF(B176="","",IFERROR(IF(MAXIFS('Call Log'!$A$2:$A$5000,'Call Log'!$C$2:$C$5000,B176)=0,"",MAXIFS('Call Log'!$A$2:$A$5000,'Call Log'!$C$2:$C$5000,B176)),""))</f>
        <v/>
      </c>
      <c r="S176" s="5"/>
      <c r="T176" s="21"/>
      <c r="U176" s="21"/>
      <c r="V176" s="5"/>
      <c r="W176" s="20"/>
      <c r="X176" s="5"/>
      <c r="Y176" s="5"/>
      <c r="Z176" s="5" t="s">
        <v>132</v>
      </c>
      <c r="AA176" s="5" t="s">
        <v>1254</v>
      </c>
    </row>
    <row r="177" ht="15.0" customHeight="1">
      <c r="A177" s="5" t="s">
        <v>1255</v>
      </c>
      <c r="B177" s="5" t="s">
        <v>1256</v>
      </c>
      <c r="C177" s="5" t="s">
        <v>1257</v>
      </c>
      <c r="D177" s="5" t="s">
        <v>1258</v>
      </c>
      <c r="E177" s="5"/>
      <c r="F177" s="20"/>
      <c r="G177" s="20"/>
      <c r="H177" s="5" t="s">
        <v>41</v>
      </c>
      <c r="I177" s="5" t="s">
        <v>422</v>
      </c>
      <c r="J177" s="5" t="s">
        <v>114</v>
      </c>
      <c r="K177" s="5" t="s">
        <v>1258</v>
      </c>
      <c r="L177" s="5"/>
      <c r="M177" s="5" t="s">
        <v>8</v>
      </c>
      <c r="N177" s="5" t="s">
        <v>80</v>
      </c>
      <c r="O177" s="5" t="str">
        <f>IF(B177="","",IFERROR(LOOKUP(2,1/('Call Log'!$C$2:$C$5000=B177),'Call Log'!$B$2:$B$5000),""))</f>
        <v/>
      </c>
      <c r="P177" s="5">
        <f>IF(B177="","",COUNTIFS('Call Log'!$C$2:$C$5000,B177,'Call Log'!$A$2:$A$5000,"&gt;="&amp;(TODAY()-WEEKDAY(TODAY(),2)+1)))</f>
        <v>0</v>
      </c>
      <c r="Q177" s="5">
        <f>IF(B177="","",COUNTIF('Call Log'!$C$2:$C$5000,B177))</f>
        <v>0</v>
      </c>
      <c r="R177" s="21" t="str">
        <f>IF(B177="","",IFERROR(IF(MAXIFS('Call Log'!$A$2:$A$5000,'Call Log'!$C$2:$C$5000,B177)=0,"",MAXIFS('Call Log'!$A$2:$A$5000,'Call Log'!$C$2:$C$5000,B177)),""))</f>
        <v/>
      </c>
      <c r="S177" s="5"/>
      <c r="T177" s="21"/>
      <c r="U177" s="21"/>
      <c r="V177" s="5"/>
      <c r="W177" s="20"/>
      <c r="X177" s="5"/>
      <c r="Y177" s="5"/>
      <c r="Z177" s="5" t="s">
        <v>132</v>
      </c>
      <c r="AA177" s="5" t="s">
        <v>1259</v>
      </c>
    </row>
    <row r="178" ht="15.0" customHeight="1">
      <c r="A178" s="5" t="s">
        <v>1260</v>
      </c>
      <c r="B178" s="5" t="s">
        <v>1261</v>
      </c>
      <c r="C178" s="5" t="s">
        <v>1262</v>
      </c>
      <c r="D178" s="5" t="s">
        <v>1263</v>
      </c>
      <c r="E178" s="5"/>
      <c r="F178" s="20"/>
      <c r="G178" s="20"/>
      <c r="H178" s="5" t="s">
        <v>41</v>
      </c>
      <c r="I178" s="5" t="s">
        <v>904</v>
      </c>
      <c r="J178" s="5" t="s">
        <v>114</v>
      </c>
      <c r="K178" s="5" t="s">
        <v>1264</v>
      </c>
      <c r="L178" s="5"/>
      <c r="M178" s="5" t="s">
        <v>8</v>
      </c>
      <c r="N178" s="5" t="s">
        <v>80</v>
      </c>
      <c r="O178" s="5" t="str">
        <f>IF(B178="","",IFERROR(LOOKUP(2,1/('Call Log'!$C$2:$C$5000=B178),'Call Log'!$B$2:$B$5000),""))</f>
        <v/>
      </c>
      <c r="P178" s="5">
        <f>IF(B178="","",COUNTIFS('Call Log'!$C$2:$C$5000,B178,'Call Log'!$A$2:$A$5000,"&gt;="&amp;(TODAY()-WEEKDAY(TODAY(),2)+1)))</f>
        <v>0</v>
      </c>
      <c r="Q178" s="5">
        <f>IF(B178="","",COUNTIF('Call Log'!$C$2:$C$5000,B178))</f>
        <v>0</v>
      </c>
      <c r="R178" s="21" t="str">
        <f>IF(B178="","",IFERROR(IF(MAXIFS('Call Log'!$A$2:$A$5000,'Call Log'!$C$2:$C$5000,B178)=0,"",MAXIFS('Call Log'!$A$2:$A$5000,'Call Log'!$C$2:$C$5000,B178)),""))</f>
        <v/>
      </c>
      <c r="S178" s="5"/>
      <c r="T178" s="21"/>
      <c r="U178" s="21"/>
      <c r="V178" s="5"/>
      <c r="W178" s="20"/>
      <c r="X178" s="5"/>
      <c r="Y178" s="5"/>
      <c r="Z178" s="5" t="s">
        <v>132</v>
      </c>
      <c r="AA178" s="5" t="s">
        <v>1265</v>
      </c>
    </row>
    <row r="179" ht="15.0" customHeight="1">
      <c r="A179" s="5" t="s">
        <v>1266</v>
      </c>
      <c r="B179" s="5" t="s">
        <v>1267</v>
      </c>
      <c r="C179" s="5" t="s">
        <v>1268</v>
      </c>
      <c r="D179" s="5" t="s">
        <v>1269</v>
      </c>
      <c r="E179" s="5">
        <v>2.0</v>
      </c>
      <c r="F179" s="20"/>
      <c r="G179" s="20"/>
      <c r="H179" s="5" t="s">
        <v>41</v>
      </c>
      <c r="I179" s="5" t="s">
        <v>113</v>
      </c>
      <c r="J179" s="5" t="s">
        <v>114</v>
      </c>
      <c r="K179" s="5" t="s">
        <v>1270</v>
      </c>
      <c r="L179" s="5"/>
      <c r="M179" s="5" t="s">
        <v>8</v>
      </c>
      <c r="N179" s="5" t="s">
        <v>80</v>
      </c>
      <c r="O179" s="5" t="str">
        <f>IF(B179="","",IFERROR(LOOKUP(2,1/('Call Log'!$C$2:$C$5000=B179),'Call Log'!$B$2:$B$5000),""))</f>
        <v/>
      </c>
      <c r="P179" s="5">
        <f>IF(B179="","",COUNTIFS('Call Log'!$C$2:$C$5000,B179,'Call Log'!$A$2:$A$5000,"&gt;="&amp;(TODAY()-WEEKDAY(TODAY(),2)+1)))</f>
        <v>0</v>
      </c>
      <c r="Q179" s="5">
        <f>IF(B179="","",COUNTIF('Call Log'!$C$2:$C$5000,B179))</f>
        <v>0</v>
      </c>
      <c r="R179" s="21" t="str">
        <f>IF(B179="","",IFERROR(IF(MAXIFS('Call Log'!$A$2:$A$5000,'Call Log'!$C$2:$C$5000,B179)=0,"",MAXIFS('Call Log'!$A$2:$A$5000,'Call Log'!$C$2:$C$5000,B179)),""))</f>
        <v/>
      </c>
      <c r="S179" s="5"/>
      <c r="T179" s="21"/>
      <c r="U179" s="21"/>
      <c r="V179" s="5"/>
      <c r="W179" s="20"/>
      <c r="X179" s="5"/>
      <c r="Y179" s="5"/>
      <c r="Z179" s="5" t="s">
        <v>132</v>
      </c>
      <c r="AA179" s="5" t="s">
        <v>1271</v>
      </c>
    </row>
    <row r="180" ht="15.0" customHeight="1">
      <c r="A180" s="5" t="s">
        <v>1272</v>
      </c>
      <c r="B180" s="5" t="s">
        <v>1273</v>
      </c>
      <c r="C180" s="5" t="s">
        <v>1274</v>
      </c>
      <c r="D180" s="5" t="s">
        <v>1275</v>
      </c>
      <c r="E180" s="5"/>
      <c r="F180" s="20"/>
      <c r="G180" s="20"/>
      <c r="H180" s="5" t="s">
        <v>41</v>
      </c>
      <c r="I180" s="5" t="s">
        <v>667</v>
      </c>
      <c r="J180" s="5" t="s">
        <v>114</v>
      </c>
      <c r="K180" s="5" t="s">
        <v>1276</v>
      </c>
      <c r="L180" s="5" t="s">
        <v>1277</v>
      </c>
      <c r="M180" s="5" t="s">
        <v>8</v>
      </c>
      <c r="N180" s="5" t="s">
        <v>80</v>
      </c>
      <c r="O180" s="5" t="str">
        <f>IF(B180="","",IFERROR(LOOKUP(2,1/('Call Log'!$C$2:$C$5000=B180),'Call Log'!$B$2:$B$5000),""))</f>
        <v/>
      </c>
      <c r="P180" s="5">
        <f>IF(B180="","",COUNTIFS('Call Log'!$C$2:$C$5000,B180,'Call Log'!$A$2:$A$5000,"&gt;="&amp;(TODAY()-WEEKDAY(TODAY(),2)+1)))</f>
        <v>0</v>
      </c>
      <c r="Q180" s="5">
        <f>IF(B180="","",COUNTIF('Call Log'!$C$2:$C$5000,B180))</f>
        <v>0</v>
      </c>
      <c r="R180" s="21" t="str">
        <f>IF(B180="","",IFERROR(IF(MAXIFS('Call Log'!$A$2:$A$5000,'Call Log'!$C$2:$C$5000,B180)=0,"",MAXIFS('Call Log'!$A$2:$A$5000,'Call Log'!$C$2:$C$5000,B180)),""))</f>
        <v/>
      </c>
      <c r="S180" s="5"/>
      <c r="T180" s="21"/>
      <c r="U180" s="21"/>
      <c r="V180" s="5"/>
      <c r="W180" s="20"/>
      <c r="X180" s="5"/>
      <c r="Y180" s="5"/>
      <c r="Z180" s="5" t="s">
        <v>132</v>
      </c>
      <c r="AA180" s="5" t="s">
        <v>1278</v>
      </c>
    </row>
    <row r="181" ht="15.0" customHeight="1">
      <c r="A181" s="5" t="s">
        <v>1279</v>
      </c>
      <c r="B181" s="5" t="s">
        <v>1280</v>
      </c>
      <c r="C181" s="5" t="s">
        <v>1281</v>
      </c>
      <c r="D181" s="5" t="s">
        <v>1282</v>
      </c>
      <c r="E181" s="5"/>
      <c r="F181" s="20"/>
      <c r="G181" s="20"/>
      <c r="H181" s="5" t="s">
        <v>40</v>
      </c>
      <c r="I181" s="5" t="s">
        <v>113</v>
      </c>
      <c r="J181" s="5" t="s">
        <v>114</v>
      </c>
      <c r="K181" s="5" t="s">
        <v>1283</v>
      </c>
      <c r="L181" s="5" t="s">
        <v>1284</v>
      </c>
      <c r="M181" s="5" t="s">
        <v>8</v>
      </c>
      <c r="N181" s="5" t="s">
        <v>80</v>
      </c>
      <c r="O181" s="5" t="str">
        <f>IF(B181="","",IFERROR(LOOKUP(2,1/('Call Log'!$C$2:$C$5000=B181),'Call Log'!$B$2:$B$5000),""))</f>
        <v/>
      </c>
      <c r="P181" s="5">
        <f>IF(B181="","",COUNTIFS('Call Log'!$C$2:$C$5000,B181,'Call Log'!$A$2:$A$5000,"&gt;="&amp;(TODAY()-WEEKDAY(TODAY(),2)+1)))</f>
        <v>0</v>
      </c>
      <c r="Q181" s="5">
        <f>IF(B181="","",COUNTIF('Call Log'!$C$2:$C$5000,B181))</f>
        <v>0</v>
      </c>
      <c r="R181" s="21" t="str">
        <f>IF(B181="","",IFERROR(IF(MAXIFS('Call Log'!$A$2:$A$5000,'Call Log'!$C$2:$C$5000,B181)=0,"",MAXIFS('Call Log'!$A$2:$A$5000,'Call Log'!$C$2:$C$5000,B181)),""))</f>
        <v/>
      </c>
      <c r="S181" s="5"/>
      <c r="T181" s="21"/>
      <c r="U181" s="21"/>
      <c r="V181" s="5"/>
      <c r="W181" s="20"/>
      <c r="X181" s="5"/>
      <c r="Y181" s="5"/>
      <c r="Z181" s="5" t="s">
        <v>132</v>
      </c>
      <c r="AA181" s="5" t="s">
        <v>1285</v>
      </c>
    </row>
    <row r="182" ht="15.0" customHeight="1">
      <c r="A182" s="5" t="s">
        <v>1286</v>
      </c>
      <c r="B182" s="5" t="s">
        <v>1287</v>
      </c>
      <c r="C182" s="5" t="s">
        <v>1288</v>
      </c>
      <c r="D182" s="5" t="s">
        <v>1289</v>
      </c>
      <c r="E182" s="5"/>
      <c r="F182" s="20"/>
      <c r="G182" s="20"/>
      <c r="H182" s="5" t="s">
        <v>41</v>
      </c>
      <c r="I182" s="5" t="s">
        <v>231</v>
      </c>
      <c r="J182" s="5" t="s">
        <v>114</v>
      </c>
      <c r="K182" s="5" t="s">
        <v>1290</v>
      </c>
      <c r="L182" s="5"/>
      <c r="M182" s="5" t="s">
        <v>8</v>
      </c>
      <c r="N182" s="5" t="s">
        <v>80</v>
      </c>
      <c r="O182" s="5" t="str">
        <f>IF(B182="","",IFERROR(LOOKUP(2,1/('Call Log'!$C$2:$C$5000=B182),'Call Log'!$B$2:$B$5000),""))</f>
        <v/>
      </c>
      <c r="P182" s="5">
        <f>IF(B182="","",COUNTIFS('Call Log'!$C$2:$C$5000,B182,'Call Log'!$A$2:$A$5000,"&gt;="&amp;(TODAY()-WEEKDAY(TODAY(),2)+1)))</f>
        <v>0</v>
      </c>
      <c r="Q182" s="5">
        <f>IF(B182="","",COUNTIF('Call Log'!$C$2:$C$5000,B182))</f>
        <v>0</v>
      </c>
      <c r="R182" s="21" t="str">
        <f>IF(B182="","",IFERROR(IF(MAXIFS('Call Log'!$A$2:$A$5000,'Call Log'!$C$2:$C$5000,B182)=0,"",MAXIFS('Call Log'!$A$2:$A$5000,'Call Log'!$C$2:$C$5000,B182)),""))</f>
        <v/>
      </c>
      <c r="S182" s="5"/>
      <c r="T182" s="21"/>
      <c r="U182" s="21"/>
      <c r="V182" s="5"/>
      <c r="W182" s="20"/>
      <c r="X182" s="5"/>
      <c r="Y182" s="5"/>
      <c r="Z182" s="5" t="s">
        <v>132</v>
      </c>
      <c r="AA182" s="5" t="s">
        <v>1291</v>
      </c>
    </row>
    <row r="183" ht="15.0" customHeight="1">
      <c r="A183" s="5" t="s">
        <v>1292</v>
      </c>
      <c r="B183" s="5" t="s">
        <v>1293</v>
      </c>
      <c r="C183" s="5" t="s">
        <v>1294</v>
      </c>
      <c r="D183" s="5" t="s">
        <v>1295</v>
      </c>
      <c r="E183" s="5"/>
      <c r="F183" s="20"/>
      <c r="G183" s="20"/>
      <c r="H183" s="5" t="s">
        <v>41</v>
      </c>
      <c r="I183" s="5" t="s">
        <v>1296</v>
      </c>
      <c r="J183" s="5" t="s">
        <v>114</v>
      </c>
      <c r="K183" s="5" t="s">
        <v>1297</v>
      </c>
      <c r="L183" s="5"/>
      <c r="M183" s="5" t="s">
        <v>8</v>
      </c>
      <c r="N183" s="5" t="s">
        <v>80</v>
      </c>
      <c r="O183" s="5" t="str">
        <f>IF(B183="","",IFERROR(LOOKUP(2,1/('Call Log'!$C$2:$C$5000=B183),'Call Log'!$B$2:$B$5000),""))</f>
        <v/>
      </c>
      <c r="P183" s="5">
        <f>IF(B183="","",COUNTIFS('Call Log'!$C$2:$C$5000,B183,'Call Log'!$A$2:$A$5000,"&gt;="&amp;(TODAY()-WEEKDAY(TODAY(),2)+1)))</f>
        <v>0</v>
      </c>
      <c r="Q183" s="5">
        <f>IF(B183="","",COUNTIF('Call Log'!$C$2:$C$5000,B183))</f>
        <v>0</v>
      </c>
      <c r="R183" s="21" t="str">
        <f>IF(B183="","",IFERROR(IF(MAXIFS('Call Log'!$A$2:$A$5000,'Call Log'!$C$2:$C$5000,B183)=0,"",MAXIFS('Call Log'!$A$2:$A$5000,'Call Log'!$C$2:$C$5000,B183)),""))</f>
        <v/>
      </c>
      <c r="S183" s="5"/>
      <c r="T183" s="21"/>
      <c r="U183" s="21"/>
      <c r="V183" s="5"/>
      <c r="W183" s="20"/>
      <c r="X183" s="5"/>
      <c r="Y183" s="5"/>
      <c r="Z183" s="5" t="s">
        <v>132</v>
      </c>
      <c r="AA183" s="5" t="s">
        <v>1298</v>
      </c>
    </row>
    <row r="184" ht="15.0" customHeight="1">
      <c r="A184" s="5" t="s">
        <v>1299</v>
      </c>
      <c r="B184" s="5" t="s">
        <v>1300</v>
      </c>
      <c r="C184" s="5" t="s">
        <v>1301</v>
      </c>
      <c r="D184" s="5" t="s">
        <v>1302</v>
      </c>
      <c r="E184" s="5"/>
      <c r="F184" s="20"/>
      <c r="G184" s="20"/>
      <c r="H184" s="5" t="s">
        <v>41</v>
      </c>
      <c r="I184" s="5" t="s">
        <v>113</v>
      </c>
      <c r="J184" s="5" t="s">
        <v>114</v>
      </c>
      <c r="K184" s="5" t="s">
        <v>1302</v>
      </c>
      <c r="L184" s="5"/>
      <c r="M184" s="5" t="s">
        <v>8</v>
      </c>
      <c r="N184" s="5" t="s">
        <v>80</v>
      </c>
      <c r="O184" s="5" t="str">
        <f>IF(B184="","",IFERROR(LOOKUP(2,1/('Call Log'!$C$2:$C$5000=B184),'Call Log'!$B$2:$B$5000),""))</f>
        <v/>
      </c>
      <c r="P184" s="5">
        <f>IF(B184="","",COUNTIFS('Call Log'!$C$2:$C$5000,B184,'Call Log'!$A$2:$A$5000,"&gt;="&amp;(TODAY()-WEEKDAY(TODAY(),2)+1)))</f>
        <v>0</v>
      </c>
      <c r="Q184" s="5">
        <f>IF(B184="","",COUNTIF('Call Log'!$C$2:$C$5000,B184))</f>
        <v>0</v>
      </c>
      <c r="R184" s="21" t="str">
        <f>IF(B184="","",IFERROR(IF(MAXIFS('Call Log'!$A$2:$A$5000,'Call Log'!$C$2:$C$5000,B184)=0,"",MAXIFS('Call Log'!$A$2:$A$5000,'Call Log'!$C$2:$C$5000,B184)),""))</f>
        <v/>
      </c>
      <c r="S184" s="5"/>
      <c r="T184" s="21"/>
      <c r="U184" s="21"/>
      <c r="V184" s="5"/>
      <c r="W184" s="20"/>
      <c r="X184" s="5"/>
      <c r="Y184" s="5"/>
      <c r="Z184" s="5" t="s">
        <v>132</v>
      </c>
      <c r="AA184" s="5" t="s">
        <v>1303</v>
      </c>
    </row>
    <row r="185" ht="15.0" customHeight="1">
      <c r="A185" s="5" t="s">
        <v>1304</v>
      </c>
      <c r="B185" s="5" t="s">
        <v>1305</v>
      </c>
      <c r="C185" s="5" t="s">
        <v>1306</v>
      </c>
      <c r="D185" s="5" t="s">
        <v>1307</v>
      </c>
      <c r="E185" s="5"/>
      <c r="F185" s="20"/>
      <c r="G185" s="20"/>
      <c r="H185" s="5" t="s">
        <v>41</v>
      </c>
      <c r="I185" s="5" t="s">
        <v>231</v>
      </c>
      <c r="J185" s="5" t="s">
        <v>114</v>
      </c>
      <c r="K185" s="5" t="s">
        <v>1307</v>
      </c>
      <c r="L185" s="5"/>
      <c r="M185" s="5" t="s">
        <v>8</v>
      </c>
      <c r="N185" s="5" t="s">
        <v>80</v>
      </c>
      <c r="O185" s="5" t="str">
        <f>IF(B185="","",IFERROR(LOOKUP(2,1/('Call Log'!$C$2:$C$5000=B185),'Call Log'!$B$2:$B$5000),""))</f>
        <v/>
      </c>
      <c r="P185" s="5">
        <f>IF(B185="","",COUNTIFS('Call Log'!$C$2:$C$5000,B185,'Call Log'!$A$2:$A$5000,"&gt;="&amp;(TODAY()-WEEKDAY(TODAY(),2)+1)))</f>
        <v>0</v>
      </c>
      <c r="Q185" s="5">
        <f>IF(B185="","",COUNTIF('Call Log'!$C$2:$C$5000,B185))</f>
        <v>0</v>
      </c>
      <c r="R185" s="21" t="str">
        <f>IF(B185="","",IFERROR(IF(MAXIFS('Call Log'!$A$2:$A$5000,'Call Log'!$C$2:$C$5000,B185)=0,"",MAXIFS('Call Log'!$A$2:$A$5000,'Call Log'!$C$2:$C$5000,B185)),""))</f>
        <v/>
      </c>
      <c r="S185" s="5"/>
      <c r="T185" s="21"/>
      <c r="U185" s="21"/>
      <c r="V185" s="5"/>
      <c r="W185" s="20"/>
      <c r="X185" s="5"/>
      <c r="Y185" s="5"/>
      <c r="Z185" s="5" t="s">
        <v>132</v>
      </c>
      <c r="AA185" s="5" t="s">
        <v>1308</v>
      </c>
    </row>
    <row r="186" ht="15.0" customHeight="1">
      <c r="A186" s="5" t="s">
        <v>1309</v>
      </c>
      <c r="B186" s="5" t="s">
        <v>1310</v>
      </c>
      <c r="C186" s="5" t="s">
        <v>1311</v>
      </c>
      <c r="D186" s="5" t="s">
        <v>1312</v>
      </c>
      <c r="E186" s="5"/>
      <c r="F186" s="20"/>
      <c r="G186" s="20"/>
      <c r="H186" s="5" t="s">
        <v>40</v>
      </c>
      <c r="I186" s="5" t="s">
        <v>1313</v>
      </c>
      <c r="J186" s="5" t="s">
        <v>114</v>
      </c>
      <c r="K186" s="5" t="s">
        <v>1314</v>
      </c>
      <c r="L186" s="5"/>
      <c r="M186" s="5" t="s">
        <v>8</v>
      </c>
      <c r="N186" s="5" t="s">
        <v>80</v>
      </c>
      <c r="O186" s="5" t="str">
        <f>IF(B186="","",IFERROR(LOOKUP(2,1/('Call Log'!$C$2:$C$5000=B186),'Call Log'!$B$2:$B$5000),""))</f>
        <v/>
      </c>
      <c r="P186" s="5">
        <f>IF(B186="","",COUNTIFS('Call Log'!$C$2:$C$5000,B186,'Call Log'!$A$2:$A$5000,"&gt;="&amp;(TODAY()-WEEKDAY(TODAY(),2)+1)))</f>
        <v>0</v>
      </c>
      <c r="Q186" s="5">
        <f>IF(B186="","",COUNTIF('Call Log'!$C$2:$C$5000,B186))</f>
        <v>0</v>
      </c>
      <c r="R186" s="21" t="str">
        <f>IF(B186="","",IFERROR(IF(MAXIFS('Call Log'!$A$2:$A$5000,'Call Log'!$C$2:$C$5000,B186)=0,"",MAXIFS('Call Log'!$A$2:$A$5000,'Call Log'!$C$2:$C$5000,B186)),""))</f>
        <v/>
      </c>
      <c r="S186" s="5"/>
      <c r="T186" s="21"/>
      <c r="U186" s="21"/>
      <c r="V186" s="5"/>
      <c r="W186" s="20"/>
      <c r="X186" s="5"/>
      <c r="Y186" s="5"/>
      <c r="Z186" s="5" t="s">
        <v>132</v>
      </c>
      <c r="AA186" s="5" t="s">
        <v>1315</v>
      </c>
    </row>
    <row r="187" ht="15.0" customHeight="1">
      <c r="A187" s="5" t="s">
        <v>1316</v>
      </c>
      <c r="B187" s="5" t="s">
        <v>1317</v>
      </c>
      <c r="C187" s="5" t="s">
        <v>1318</v>
      </c>
      <c r="D187" s="5" t="s">
        <v>1319</v>
      </c>
      <c r="E187" s="5">
        <v>7.0</v>
      </c>
      <c r="F187" s="20"/>
      <c r="G187" s="20"/>
      <c r="H187" s="5" t="s">
        <v>40</v>
      </c>
      <c r="I187" s="5" t="s">
        <v>1320</v>
      </c>
      <c r="J187" s="5" t="s">
        <v>114</v>
      </c>
      <c r="K187" s="5" t="s">
        <v>1321</v>
      </c>
      <c r="L187" s="5" t="s">
        <v>1322</v>
      </c>
      <c r="M187" s="5" t="s">
        <v>8</v>
      </c>
      <c r="N187" s="5" t="s">
        <v>80</v>
      </c>
      <c r="O187" s="5" t="str">
        <f>IF(B187="","",IFERROR(LOOKUP(2,1/('Call Log'!$C$2:$C$5000=B187),'Call Log'!$B$2:$B$5000),""))</f>
        <v/>
      </c>
      <c r="P187" s="5">
        <f>IF(B187="","",COUNTIFS('Call Log'!$C$2:$C$5000,B187,'Call Log'!$A$2:$A$5000,"&gt;="&amp;(TODAY()-WEEKDAY(TODAY(),2)+1)))</f>
        <v>0</v>
      </c>
      <c r="Q187" s="5">
        <f>IF(B187="","",COUNTIF('Call Log'!$C$2:$C$5000,B187))</f>
        <v>0</v>
      </c>
      <c r="R187" s="21" t="str">
        <f>IF(B187="","",IFERROR(IF(MAXIFS('Call Log'!$A$2:$A$5000,'Call Log'!$C$2:$C$5000,B187)=0,"",MAXIFS('Call Log'!$A$2:$A$5000,'Call Log'!$C$2:$C$5000,B187)),""))</f>
        <v/>
      </c>
      <c r="S187" s="5"/>
      <c r="T187" s="21"/>
      <c r="U187" s="21"/>
      <c r="V187" s="5"/>
      <c r="W187" s="20"/>
      <c r="X187" s="5"/>
      <c r="Y187" s="5"/>
      <c r="Z187" s="5" t="s">
        <v>132</v>
      </c>
      <c r="AA187" s="5" t="s">
        <v>1323</v>
      </c>
    </row>
    <row r="188" ht="15.0" customHeight="1">
      <c r="A188" s="5" t="s">
        <v>1324</v>
      </c>
      <c r="B188" s="5" t="s">
        <v>1325</v>
      </c>
      <c r="C188" s="5" t="s">
        <v>1326</v>
      </c>
      <c r="D188" s="5"/>
      <c r="E188" s="5">
        <v>6.0</v>
      </c>
      <c r="F188" s="20">
        <v>9406000.0</v>
      </c>
      <c r="G188" s="20">
        <v>7.8381E7</v>
      </c>
      <c r="H188" s="5" t="s">
        <v>41</v>
      </c>
      <c r="I188" s="5" t="s">
        <v>1093</v>
      </c>
      <c r="J188" s="5" t="s">
        <v>114</v>
      </c>
      <c r="K188" s="5" t="s">
        <v>1327</v>
      </c>
      <c r="L188" s="5"/>
      <c r="M188" s="5" t="s">
        <v>8</v>
      </c>
      <c r="N188" s="5" t="s">
        <v>80</v>
      </c>
      <c r="O188" s="5" t="str">
        <f>IF(B188="","",IFERROR(LOOKUP(2,1/('Call Log'!$C$2:$C$5000=B188),'Call Log'!$B$2:$B$5000),""))</f>
        <v/>
      </c>
      <c r="P188" s="5">
        <f>IF(B188="","",COUNTIFS('Call Log'!$C$2:$C$5000,B188,'Call Log'!$A$2:$A$5000,"&gt;="&amp;(TODAY()-WEEKDAY(TODAY(),2)+1)))</f>
        <v>0</v>
      </c>
      <c r="Q188" s="5">
        <f>IF(B188="","",COUNTIF('Call Log'!$C$2:$C$5000,B188))</f>
        <v>0</v>
      </c>
      <c r="R188" s="21" t="str">
        <f>IF(B188="","",IFERROR(IF(MAXIFS('Call Log'!$A$2:$A$5000,'Call Log'!$C$2:$C$5000,B188)=0,"",MAXIFS('Call Log'!$A$2:$A$5000,'Call Log'!$C$2:$C$5000,B188)),""))</f>
        <v/>
      </c>
      <c r="S188" s="5"/>
      <c r="T188" s="21"/>
      <c r="U188" s="21"/>
      <c r="V188" s="5"/>
      <c r="W188" s="20"/>
      <c r="X188" s="5"/>
      <c r="Y188" s="5"/>
      <c r="Z188" s="5" t="s">
        <v>132</v>
      </c>
      <c r="AA188" s="5" t="s">
        <v>1328</v>
      </c>
    </row>
    <row r="189" ht="15.0" customHeight="1">
      <c r="A189" s="5" t="s">
        <v>1329</v>
      </c>
      <c r="B189" s="5" t="s">
        <v>1330</v>
      </c>
      <c r="C189" s="5" t="s">
        <v>1331</v>
      </c>
      <c r="D189" s="5"/>
      <c r="E189" s="5">
        <v>5.0</v>
      </c>
      <c r="F189" s="20">
        <v>5278000.0</v>
      </c>
      <c r="G189" s="20">
        <v>4.3985E7</v>
      </c>
      <c r="H189" s="5" t="s">
        <v>40</v>
      </c>
      <c r="I189" s="5" t="s">
        <v>756</v>
      </c>
      <c r="J189" s="5" t="s">
        <v>114</v>
      </c>
      <c r="K189" s="5" t="s">
        <v>1332</v>
      </c>
      <c r="L189" s="5" t="s">
        <v>1333</v>
      </c>
      <c r="M189" s="5" t="s">
        <v>8</v>
      </c>
      <c r="N189" s="5" t="s">
        <v>80</v>
      </c>
      <c r="O189" s="5" t="str">
        <f>IF(B189="","",IFERROR(LOOKUP(2,1/('Call Log'!$C$2:$C$5000=B189),'Call Log'!$B$2:$B$5000),""))</f>
        <v/>
      </c>
      <c r="P189" s="5">
        <f>IF(B189="","",COUNTIFS('Call Log'!$C$2:$C$5000,B189,'Call Log'!$A$2:$A$5000,"&gt;="&amp;(TODAY()-WEEKDAY(TODAY(),2)+1)))</f>
        <v>0</v>
      </c>
      <c r="Q189" s="5">
        <f>IF(B189="","",COUNTIF('Call Log'!$C$2:$C$5000,B189))</f>
        <v>0</v>
      </c>
      <c r="R189" s="21" t="str">
        <f>IF(B189="","",IFERROR(IF(MAXIFS('Call Log'!$A$2:$A$5000,'Call Log'!$C$2:$C$5000,B189)=0,"",MAXIFS('Call Log'!$A$2:$A$5000,'Call Log'!$C$2:$C$5000,B189)),""))</f>
        <v/>
      </c>
      <c r="S189" s="5"/>
      <c r="T189" s="21"/>
      <c r="U189" s="21"/>
      <c r="V189" s="5"/>
      <c r="W189" s="20"/>
      <c r="X189" s="5"/>
      <c r="Y189" s="5"/>
      <c r="Z189" s="5" t="s">
        <v>132</v>
      </c>
      <c r="AA189" s="5" t="s">
        <v>1334</v>
      </c>
    </row>
    <row r="190" ht="15.0" customHeight="1">
      <c r="A190" s="5" t="s">
        <v>1335</v>
      </c>
      <c r="B190" s="5" t="s">
        <v>1336</v>
      </c>
      <c r="C190" s="5" t="s">
        <v>1337</v>
      </c>
      <c r="D190" s="5"/>
      <c r="E190" s="5">
        <v>450.0</v>
      </c>
      <c r="F190" s="20">
        <v>5196000.0</v>
      </c>
      <c r="G190" s="20">
        <v>4.3299E7</v>
      </c>
      <c r="H190" s="5" t="s">
        <v>40</v>
      </c>
      <c r="I190" s="5" t="s">
        <v>122</v>
      </c>
      <c r="J190" s="5" t="s">
        <v>114</v>
      </c>
      <c r="K190" s="5" t="s">
        <v>1338</v>
      </c>
      <c r="L190" s="5"/>
      <c r="M190" s="5" t="s">
        <v>8</v>
      </c>
      <c r="N190" s="5" t="s">
        <v>80</v>
      </c>
      <c r="O190" s="5" t="str">
        <f>IF(B190="","",IFERROR(LOOKUP(2,1/('Call Log'!$C$2:$C$5000=B190),'Call Log'!$B$2:$B$5000),""))</f>
        <v/>
      </c>
      <c r="P190" s="5">
        <f>IF(B190="","",COUNTIFS('Call Log'!$C$2:$C$5000,B190,'Call Log'!$A$2:$A$5000,"&gt;="&amp;(TODAY()-WEEKDAY(TODAY(),2)+1)))</f>
        <v>0</v>
      </c>
      <c r="Q190" s="5">
        <f>IF(B190="","",COUNTIF('Call Log'!$C$2:$C$5000,B190))</f>
        <v>0</v>
      </c>
      <c r="R190" s="21" t="str">
        <f>IF(B190="","",IFERROR(IF(MAXIFS('Call Log'!$A$2:$A$5000,'Call Log'!$C$2:$C$5000,B190)=0,"",MAXIFS('Call Log'!$A$2:$A$5000,'Call Log'!$C$2:$C$5000,B190)),""))</f>
        <v/>
      </c>
      <c r="S190" s="5"/>
      <c r="T190" s="21"/>
      <c r="U190" s="21"/>
      <c r="V190" s="5"/>
      <c r="W190" s="20"/>
      <c r="X190" s="5"/>
      <c r="Y190" s="5"/>
      <c r="Z190" s="5" t="s">
        <v>132</v>
      </c>
      <c r="AA190" s="5" t="s">
        <v>1339</v>
      </c>
    </row>
    <row r="191" ht="15.0" customHeight="1">
      <c r="A191" s="5" t="s">
        <v>1340</v>
      </c>
      <c r="B191" s="5" t="s">
        <v>1341</v>
      </c>
      <c r="C191" s="5" t="s">
        <v>1342</v>
      </c>
      <c r="D191" s="5"/>
      <c r="E191" s="5">
        <v>20.0</v>
      </c>
      <c r="F191" s="20">
        <v>5045000.0</v>
      </c>
      <c r="G191" s="20">
        <v>4.2043E7</v>
      </c>
      <c r="H191" s="5" t="s">
        <v>41</v>
      </c>
      <c r="I191" s="5" t="s">
        <v>146</v>
      </c>
      <c r="J191" s="5" t="s">
        <v>114</v>
      </c>
      <c r="K191" s="5" t="s">
        <v>1343</v>
      </c>
      <c r="L191" s="5" t="s">
        <v>1344</v>
      </c>
      <c r="M191" s="5" t="s">
        <v>8</v>
      </c>
      <c r="N191" s="5" t="s">
        <v>80</v>
      </c>
      <c r="O191" s="5" t="str">
        <f>IF(B191="","",IFERROR(LOOKUP(2,1/('Call Log'!$C$2:$C$5000=B191),'Call Log'!$B$2:$B$5000),""))</f>
        <v/>
      </c>
      <c r="P191" s="5">
        <f>IF(B191="","",COUNTIFS('Call Log'!$C$2:$C$5000,B191,'Call Log'!$A$2:$A$5000,"&gt;="&amp;(TODAY()-WEEKDAY(TODAY(),2)+1)))</f>
        <v>0</v>
      </c>
      <c r="Q191" s="5">
        <f>IF(B191="","",COUNTIF('Call Log'!$C$2:$C$5000,B191))</f>
        <v>0</v>
      </c>
      <c r="R191" s="21" t="str">
        <f>IF(B191="","",IFERROR(IF(MAXIFS('Call Log'!$A$2:$A$5000,'Call Log'!$C$2:$C$5000,B191)=0,"",MAXIFS('Call Log'!$A$2:$A$5000,'Call Log'!$C$2:$C$5000,B191)),""))</f>
        <v/>
      </c>
      <c r="S191" s="5"/>
      <c r="T191" s="21"/>
      <c r="U191" s="21"/>
      <c r="V191" s="5"/>
      <c r="W191" s="20"/>
      <c r="X191" s="5"/>
      <c r="Y191" s="5"/>
      <c r="Z191" s="5" t="s">
        <v>132</v>
      </c>
      <c r="AA191" s="5" t="s">
        <v>1345</v>
      </c>
    </row>
    <row r="192" ht="15.0" customHeight="1">
      <c r="A192" s="5" t="s">
        <v>1346</v>
      </c>
      <c r="B192" s="5" t="s">
        <v>1347</v>
      </c>
      <c r="C192" s="5" t="s">
        <v>1348</v>
      </c>
      <c r="D192" s="5"/>
      <c r="E192" s="5">
        <v>5.0</v>
      </c>
      <c r="F192" s="20">
        <v>4114000.0</v>
      </c>
      <c r="G192" s="20">
        <v>3.4286E7</v>
      </c>
      <c r="H192" s="5" t="s">
        <v>41</v>
      </c>
      <c r="I192" s="5" t="s">
        <v>756</v>
      </c>
      <c r="J192" s="5" t="s">
        <v>114</v>
      </c>
      <c r="K192" s="5" t="s">
        <v>1349</v>
      </c>
      <c r="L192" s="5"/>
      <c r="M192" s="5" t="s">
        <v>8</v>
      </c>
      <c r="N192" s="5" t="s">
        <v>80</v>
      </c>
      <c r="O192" s="5" t="str">
        <f>IF(B192="","",IFERROR(LOOKUP(2,1/('Call Log'!$C$2:$C$5000=B192),'Call Log'!$B$2:$B$5000),""))</f>
        <v/>
      </c>
      <c r="P192" s="5">
        <f>IF(B192="","",COUNTIFS('Call Log'!$C$2:$C$5000,B192,'Call Log'!$A$2:$A$5000,"&gt;="&amp;(TODAY()-WEEKDAY(TODAY(),2)+1)))</f>
        <v>0</v>
      </c>
      <c r="Q192" s="5">
        <f>IF(B192="","",COUNTIF('Call Log'!$C$2:$C$5000,B192))</f>
        <v>0</v>
      </c>
      <c r="R192" s="21" t="str">
        <f>IF(B192="","",IFERROR(IF(MAXIFS('Call Log'!$A$2:$A$5000,'Call Log'!$C$2:$C$5000,B192)=0,"",MAXIFS('Call Log'!$A$2:$A$5000,'Call Log'!$C$2:$C$5000,B192)),""))</f>
        <v/>
      </c>
      <c r="S192" s="5"/>
      <c r="T192" s="21"/>
      <c r="U192" s="21"/>
      <c r="V192" s="5"/>
      <c r="W192" s="20"/>
      <c r="X192" s="5"/>
      <c r="Y192" s="5"/>
      <c r="Z192" s="5" t="s">
        <v>132</v>
      </c>
      <c r="AA192" s="5" t="s">
        <v>1350</v>
      </c>
    </row>
    <row r="193" ht="15.0" customHeight="1">
      <c r="A193" s="5" t="s">
        <v>1351</v>
      </c>
      <c r="B193" s="5" t="s">
        <v>1352</v>
      </c>
      <c r="C193" s="5" t="s">
        <v>1353</v>
      </c>
      <c r="D193" s="5"/>
      <c r="E193" s="5">
        <v>67.0</v>
      </c>
      <c r="F193" s="20">
        <v>3843000.0</v>
      </c>
      <c r="G193" s="20">
        <v>3.2027E7</v>
      </c>
      <c r="H193" s="5" t="s">
        <v>40</v>
      </c>
      <c r="I193" s="5" t="s">
        <v>146</v>
      </c>
      <c r="J193" s="5" t="s">
        <v>114</v>
      </c>
      <c r="K193" s="5" t="s">
        <v>1354</v>
      </c>
      <c r="L193" s="5" t="s">
        <v>1355</v>
      </c>
      <c r="M193" s="5" t="s">
        <v>8</v>
      </c>
      <c r="N193" s="5" t="s">
        <v>80</v>
      </c>
      <c r="O193" s="5" t="str">
        <f>IF(B193="","",IFERROR(LOOKUP(2,1/('Call Log'!$C$2:$C$5000=B193),'Call Log'!$B$2:$B$5000),""))</f>
        <v/>
      </c>
      <c r="P193" s="5">
        <f>IF(B193="","",COUNTIFS('Call Log'!$C$2:$C$5000,B193,'Call Log'!$A$2:$A$5000,"&gt;="&amp;(TODAY()-WEEKDAY(TODAY(),2)+1)))</f>
        <v>0</v>
      </c>
      <c r="Q193" s="5">
        <f>IF(B193="","",COUNTIF('Call Log'!$C$2:$C$5000,B193))</f>
        <v>0</v>
      </c>
      <c r="R193" s="21" t="str">
        <f>IF(B193="","",IFERROR(IF(MAXIFS('Call Log'!$A$2:$A$5000,'Call Log'!$C$2:$C$5000,B193)=0,"",MAXIFS('Call Log'!$A$2:$A$5000,'Call Log'!$C$2:$C$5000,B193)),""))</f>
        <v/>
      </c>
      <c r="S193" s="5"/>
      <c r="T193" s="21"/>
      <c r="U193" s="21"/>
      <c r="V193" s="5"/>
      <c r="W193" s="20"/>
      <c r="X193" s="5"/>
      <c r="Y193" s="5"/>
      <c r="Z193" s="5"/>
      <c r="AA193" s="5" t="s">
        <v>124</v>
      </c>
    </row>
    <row r="194" ht="15.0" customHeight="1">
      <c r="A194" s="5" t="s">
        <v>1356</v>
      </c>
      <c r="B194" s="5" t="s">
        <v>1357</v>
      </c>
      <c r="C194" s="5" t="s">
        <v>1353</v>
      </c>
      <c r="D194" s="5"/>
      <c r="E194" s="5">
        <v>67.0</v>
      </c>
      <c r="F194" s="20">
        <v>3843000.0</v>
      </c>
      <c r="G194" s="20">
        <v>3.2027E7</v>
      </c>
      <c r="H194" s="5" t="s">
        <v>43</v>
      </c>
      <c r="I194" s="5" t="s">
        <v>1093</v>
      </c>
      <c r="J194" s="5" t="s">
        <v>114</v>
      </c>
      <c r="K194" s="5" t="s">
        <v>1358</v>
      </c>
      <c r="L194" s="5" t="s">
        <v>1355</v>
      </c>
      <c r="M194" s="5" t="s">
        <v>8</v>
      </c>
      <c r="N194" s="5" t="s">
        <v>80</v>
      </c>
      <c r="O194" s="5" t="str">
        <f>IF(B194="","",IFERROR(LOOKUP(2,1/('Call Log'!$C$2:$C$5000=B194),'Call Log'!$B$2:$B$5000),""))</f>
        <v/>
      </c>
      <c r="P194" s="5">
        <f>IF(B194="","",COUNTIFS('Call Log'!$C$2:$C$5000,B194,'Call Log'!$A$2:$A$5000,"&gt;="&amp;(TODAY()-WEEKDAY(TODAY(),2)+1)))</f>
        <v>0</v>
      </c>
      <c r="Q194" s="5">
        <f>IF(B194="","",COUNTIF('Call Log'!$C$2:$C$5000,B194))</f>
        <v>0</v>
      </c>
      <c r="R194" s="21" t="str">
        <f>IF(B194="","",IFERROR(IF(MAXIFS('Call Log'!$A$2:$A$5000,'Call Log'!$C$2:$C$5000,B194)=0,"",MAXIFS('Call Log'!$A$2:$A$5000,'Call Log'!$C$2:$C$5000,B194)),""))</f>
        <v/>
      </c>
      <c r="S194" s="5"/>
      <c r="T194" s="21"/>
      <c r="U194" s="21"/>
      <c r="V194" s="5"/>
      <c r="W194" s="20"/>
      <c r="X194" s="5"/>
      <c r="Y194" s="5"/>
      <c r="Z194" s="5"/>
      <c r="AA194" s="5" t="s">
        <v>124</v>
      </c>
    </row>
    <row r="195" ht="15.0" customHeight="1">
      <c r="A195" s="5" t="s">
        <v>1359</v>
      </c>
      <c r="B195" s="5" t="s">
        <v>1360</v>
      </c>
      <c r="C195" s="5" t="s">
        <v>1361</v>
      </c>
      <c r="D195" s="5"/>
      <c r="E195" s="5"/>
      <c r="F195" s="20">
        <v>3739000.0</v>
      </c>
      <c r="G195" s="20">
        <v>3.1159E7</v>
      </c>
      <c r="H195" s="5" t="s">
        <v>41</v>
      </c>
      <c r="I195" s="5" t="s">
        <v>1313</v>
      </c>
      <c r="J195" s="5" t="s">
        <v>114</v>
      </c>
      <c r="K195" s="5" t="s">
        <v>1362</v>
      </c>
      <c r="L195" s="5" t="s">
        <v>1363</v>
      </c>
      <c r="M195" s="5" t="s">
        <v>8</v>
      </c>
      <c r="N195" s="5" t="s">
        <v>80</v>
      </c>
      <c r="O195" s="5" t="str">
        <f>IF(B195="","",IFERROR(LOOKUP(2,1/('Call Log'!$C$2:$C$5000=B195),'Call Log'!$B$2:$B$5000),""))</f>
        <v/>
      </c>
      <c r="P195" s="5">
        <f>IF(B195="","",COUNTIFS('Call Log'!$C$2:$C$5000,B195,'Call Log'!$A$2:$A$5000,"&gt;="&amp;(TODAY()-WEEKDAY(TODAY(),2)+1)))</f>
        <v>0</v>
      </c>
      <c r="Q195" s="5">
        <f>IF(B195="","",COUNTIF('Call Log'!$C$2:$C$5000,B195))</f>
        <v>0</v>
      </c>
      <c r="R195" s="21" t="str">
        <f>IF(B195="","",IFERROR(IF(MAXIFS('Call Log'!$A$2:$A$5000,'Call Log'!$C$2:$C$5000,B195)=0,"",MAXIFS('Call Log'!$A$2:$A$5000,'Call Log'!$C$2:$C$5000,B195)),""))</f>
        <v/>
      </c>
      <c r="S195" s="5"/>
      <c r="T195" s="21"/>
      <c r="U195" s="21"/>
      <c r="V195" s="5"/>
      <c r="W195" s="20"/>
      <c r="X195" s="5"/>
      <c r="Y195" s="5"/>
      <c r="Z195" s="5" t="s">
        <v>132</v>
      </c>
      <c r="AA195" s="5" t="s">
        <v>1364</v>
      </c>
    </row>
    <row r="196" ht="15.0" customHeight="1">
      <c r="A196" s="5" t="s">
        <v>1365</v>
      </c>
      <c r="B196" s="5" t="s">
        <v>1366</v>
      </c>
      <c r="C196" s="5" t="s">
        <v>1367</v>
      </c>
      <c r="D196" s="5"/>
      <c r="E196" s="5">
        <v>20.0</v>
      </c>
      <c r="F196" s="20">
        <v>3422000.0</v>
      </c>
      <c r="G196" s="20">
        <v>2.852E7</v>
      </c>
      <c r="H196" s="5" t="s">
        <v>40</v>
      </c>
      <c r="I196" s="5" t="s">
        <v>122</v>
      </c>
      <c r="J196" s="5" t="s">
        <v>114</v>
      </c>
      <c r="K196" s="5" t="s">
        <v>1368</v>
      </c>
      <c r="L196" s="5" t="s">
        <v>1369</v>
      </c>
      <c r="M196" s="5" t="s">
        <v>8</v>
      </c>
      <c r="N196" s="5" t="s">
        <v>80</v>
      </c>
      <c r="O196" s="5" t="str">
        <f>IF(B196="","",IFERROR(LOOKUP(2,1/('Call Log'!$C$2:$C$5000=B196),'Call Log'!$B$2:$B$5000),""))</f>
        <v/>
      </c>
      <c r="P196" s="5">
        <f>IF(B196="","",COUNTIFS('Call Log'!$C$2:$C$5000,B196,'Call Log'!$A$2:$A$5000,"&gt;="&amp;(TODAY()-WEEKDAY(TODAY(),2)+1)))</f>
        <v>0</v>
      </c>
      <c r="Q196" s="5">
        <f>IF(B196="","",COUNTIF('Call Log'!$C$2:$C$5000,B196))</f>
        <v>0</v>
      </c>
      <c r="R196" s="21" t="str">
        <f>IF(B196="","",IFERROR(IF(MAXIFS('Call Log'!$A$2:$A$5000,'Call Log'!$C$2:$C$5000,B196)=0,"",MAXIFS('Call Log'!$A$2:$A$5000,'Call Log'!$C$2:$C$5000,B196)),""))</f>
        <v/>
      </c>
      <c r="S196" s="5"/>
      <c r="T196" s="21"/>
      <c r="U196" s="21"/>
      <c r="V196" s="5"/>
      <c r="W196" s="20"/>
      <c r="X196" s="5"/>
      <c r="Y196" s="5"/>
      <c r="Z196" s="5" t="s">
        <v>132</v>
      </c>
      <c r="AA196" s="5" t="s">
        <v>1370</v>
      </c>
    </row>
    <row r="197" ht="15.0" customHeight="1">
      <c r="A197" s="5" t="s">
        <v>1371</v>
      </c>
      <c r="B197" s="5" t="s">
        <v>1372</v>
      </c>
      <c r="C197" s="5" t="s">
        <v>1373</v>
      </c>
      <c r="D197" s="5"/>
      <c r="E197" s="5">
        <v>22.0</v>
      </c>
      <c r="F197" s="20">
        <v>2828000.0</v>
      </c>
      <c r="G197" s="20">
        <v>2.3567E7</v>
      </c>
      <c r="H197" s="5" t="s">
        <v>40</v>
      </c>
      <c r="I197" s="5" t="s">
        <v>161</v>
      </c>
      <c r="J197" s="5" t="s">
        <v>114</v>
      </c>
      <c r="K197" s="5" t="s">
        <v>1374</v>
      </c>
      <c r="L197" s="5" t="s">
        <v>1375</v>
      </c>
      <c r="M197" s="5" t="s">
        <v>8</v>
      </c>
      <c r="N197" s="5" t="s">
        <v>80</v>
      </c>
      <c r="O197" s="5" t="str">
        <f>IF(B197="","",IFERROR(LOOKUP(2,1/('Call Log'!$C$2:$C$5000=B197),'Call Log'!$B$2:$B$5000),""))</f>
        <v/>
      </c>
      <c r="P197" s="5">
        <f>IF(B197="","",COUNTIFS('Call Log'!$C$2:$C$5000,B197,'Call Log'!$A$2:$A$5000,"&gt;="&amp;(TODAY()-WEEKDAY(TODAY(),2)+1)))</f>
        <v>0</v>
      </c>
      <c r="Q197" s="5">
        <f>IF(B197="","",COUNTIF('Call Log'!$C$2:$C$5000,B197))</f>
        <v>0</v>
      </c>
      <c r="R197" s="21" t="str">
        <f>IF(B197="","",IFERROR(IF(MAXIFS('Call Log'!$A$2:$A$5000,'Call Log'!$C$2:$C$5000,B197)=0,"",MAXIFS('Call Log'!$A$2:$A$5000,'Call Log'!$C$2:$C$5000,B197)),""))</f>
        <v/>
      </c>
      <c r="S197" s="5"/>
      <c r="T197" s="21"/>
      <c r="U197" s="21"/>
      <c r="V197" s="5"/>
      <c r="W197" s="20"/>
      <c r="X197" s="5"/>
      <c r="Y197" s="5"/>
      <c r="Z197" s="5" t="s">
        <v>132</v>
      </c>
      <c r="AA197" s="5" t="s">
        <v>1376</v>
      </c>
    </row>
    <row r="198" ht="15.0" customHeight="1">
      <c r="A198" s="5" t="s">
        <v>1377</v>
      </c>
      <c r="B198" s="5" t="s">
        <v>1378</v>
      </c>
      <c r="C198" s="5" t="s">
        <v>1379</v>
      </c>
      <c r="D198" s="5"/>
      <c r="E198" s="5">
        <v>2.0</v>
      </c>
      <c r="F198" s="20">
        <v>2721000.0</v>
      </c>
      <c r="G198" s="20">
        <v>2.2675E7</v>
      </c>
      <c r="H198" s="5" t="s">
        <v>40</v>
      </c>
      <c r="I198" s="5" t="s">
        <v>198</v>
      </c>
      <c r="J198" s="5" t="s">
        <v>114</v>
      </c>
      <c r="K198" s="5" t="s">
        <v>1380</v>
      </c>
      <c r="L198" s="5"/>
      <c r="M198" s="5" t="s">
        <v>8</v>
      </c>
      <c r="N198" s="5" t="s">
        <v>80</v>
      </c>
      <c r="O198" s="5" t="str">
        <f>IF(B198="","",IFERROR(LOOKUP(2,1/('Call Log'!$C$2:$C$5000=B198),'Call Log'!$B$2:$B$5000),""))</f>
        <v/>
      </c>
      <c r="P198" s="5">
        <f>IF(B198="","",COUNTIFS('Call Log'!$C$2:$C$5000,B198,'Call Log'!$A$2:$A$5000,"&gt;="&amp;(TODAY()-WEEKDAY(TODAY(),2)+1)))</f>
        <v>0</v>
      </c>
      <c r="Q198" s="5">
        <f>IF(B198="","",COUNTIF('Call Log'!$C$2:$C$5000,B198))</f>
        <v>0</v>
      </c>
      <c r="R198" s="21" t="str">
        <f>IF(B198="","",IFERROR(IF(MAXIFS('Call Log'!$A$2:$A$5000,'Call Log'!$C$2:$C$5000,B198)=0,"",MAXIFS('Call Log'!$A$2:$A$5000,'Call Log'!$C$2:$C$5000,B198)),""))</f>
        <v/>
      </c>
      <c r="S198" s="5"/>
      <c r="T198" s="21"/>
      <c r="U198" s="21"/>
      <c r="V198" s="5"/>
      <c r="W198" s="20"/>
      <c r="X198" s="5"/>
      <c r="Y198" s="5"/>
      <c r="Z198" s="5" t="s">
        <v>132</v>
      </c>
      <c r="AA198" s="5" t="s">
        <v>1381</v>
      </c>
    </row>
    <row r="199" ht="15.0" customHeight="1">
      <c r="A199" s="5" t="s">
        <v>1382</v>
      </c>
      <c r="B199" s="5" t="s">
        <v>1383</v>
      </c>
      <c r="C199" s="5" t="s">
        <v>1384</v>
      </c>
      <c r="D199" s="5"/>
      <c r="E199" s="5">
        <v>6.0</v>
      </c>
      <c r="F199" s="20">
        <v>2669000.0</v>
      </c>
      <c r="G199" s="20">
        <v>2.224E7</v>
      </c>
      <c r="H199" s="5" t="s">
        <v>40</v>
      </c>
      <c r="I199" s="5" t="s">
        <v>146</v>
      </c>
      <c r="J199" s="5" t="s">
        <v>114</v>
      </c>
      <c r="K199" s="5" t="s">
        <v>1385</v>
      </c>
      <c r="L199" s="5"/>
      <c r="M199" s="5" t="s">
        <v>8</v>
      </c>
      <c r="N199" s="5" t="s">
        <v>80</v>
      </c>
      <c r="O199" s="5" t="str">
        <f>IF(B199="","",IFERROR(LOOKUP(2,1/('Call Log'!$C$2:$C$5000=B199),'Call Log'!$B$2:$B$5000),""))</f>
        <v/>
      </c>
      <c r="P199" s="5">
        <f>IF(B199="","",COUNTIFS('Call Log'!$C$2:$C$5000,B199,'Call Log'!$A$2:$A$5000,"&gt;="&amp;(TODAY()-WEEKDAY(TODAY(),2)+1)))</f>
        <v>0</v>
      </c>
      <c r="Q199" s="5">
        <f>IF(B199="","",COUNTIF('Call Log'!$C$2:$C$5000,B199))</f>
        <v>0</v>
      </c>
      <c r="R199" s="21" t="str">
        <f>IF(B199="","",IFERROR(IF(MAXIFS('Call Log'!$A$2:$A$5000,'Call Log'!$C$2:$C$5000,B199)=0,"",MAXIFS('Call Log'!$A$2:$A$5000,'Call Log'!$C$2:$C$5000,B199)),""))</f>
        <v/>
      </c>
      <c r="S199" s="5"/>
      <c r="T199" s="21"/>
      <c r="U199" s="21"/>
      <c r="V199" s="5"/>
      <c r="W199" s="20"/>
      <c r="X199" s="5"/>
      <c r="Y199" s="5"/>
      <c r="Z199" s="5" t="s">
        <v>132</v>
      </c>
      <c r="AA199" s="5" t="s">
        <v>1386</v>
      </c>
    </row>
    <row r="200" ht="15.0" customHeight="1">
      <c r="A200" s="5" t="s">
        <v>1387</v>
      </c>
      <c r="B200" s="5" t="s">
        <v>1388</v>
      </c>
      <c r="C200" s="5" t="s">
        <v>1389</v>
      </c>
      <c r="D200" s="5"/>
      <c r="E200" s="5">
        <v>3.0</v>
      </c>
      <c r="F200" s="20">
        <v>2533000.0</v>
      </c>
      <c r="G200" s="20">
        <v>2.1112E7</v>
      </c>
      <c r="H200" s="5" t="s">
        <v>40</v>
      </c>
      <c r="I200" s="5" t="s">
        <v>422</v>
      </c>
      <c r="J200" s="5" t="s">
        <v>114</v>
      </c>
      <c r="K200" s="5" t="s">
        <v>1390</v>
      </c>
      <c r="L200" s="5"/>
      <c r="M200" s="5" t="s">
        <v>8</v>
      </c>
      <c r="N200" s="5" t="s">
        <v>80</v>
      </c>
      <c r="O200" s="5" t="str">
        <f>IF(B200="","",IFERROR(LOOKUP(2,1/('Call Log'!$C$2:$C$5000=B200),'Call Log'!$B$2:$B$5000),""))</f>
        <v/>
      </c>
      <c r="P200" s="5">
        <f>IF(B200="","",COUNTIFS('Call Log'!$C$2:$C$5000,B200,'Call Log'!$A$2:$A$5000,"&gt;="&amp;(TODAY()-WEEKDAY(TODAY(),2)+1)))</f>
        <v>0</v>
      </c>
      <c r="Q200" s="5">
        <f>IF(B200="","",COUNTIF('Call Log'!$C$2:$C$5000,B200))</f>
        <v>0</v>
      </c>
      <c r="R200" s="21" t="str">
        <f>IF(B200="","",IFERROR(IF(MAXIFS('Call Log'!$A$2:$A$5000,'Call Log'!$C$2:$C$5000,B200)=0,"",MAXIFS('Call Log'!$A$2:$A$5000,'Call Log'!$C$2:$C$5000,B200)),""))</f>
        <v/>
      </c>
      <c r="S200" s="5"/>
      <c r="T200" s="21"/>
      <c r="U200" s="21"/>
      <c r="V200" s="5"/>
      <c r="W200" s="20"/>
      <c r="X200" s="5"/>
      <c r="Y200" s="5"/>
      <c r="Z200" s="5" t="s">
        <v>132</v>
      </c>
      <c r="AA200" s="5" t="s">
        <v>1391</v>
      </c>
    </row>
    <row r="201" ht="15.0" customHeight="1">
      <c r="A201" s="5" t="s">
        <v>1392</v>
      </c>
      <c r="B201" s="5" t="s">
        <v>1393</v>
      </c>
      <c r="C201" s="5" t="s">
        <v>1394</v>
      </c>
      <c r="D201" s="5"/>
      <c r="E201" s="5">
        <v>16.0</v>
      </c>
      <c r="F201" s="20">
        <v>2475000.0</v>
      </c>
      <c r="G201" s="20">
        <v>2.0622E7</v>
      </c>
      <c r="H201" s="5" t="s">
        <v>41</v>
      </c>
      <c r="I201" s="5" t="s">
        <v>146</v>
      </c>
      <c r="J201" s="5" t="s">
        <v>114</v>
      </c>
      <c r="K201" s="5" t="s">
        <v>1395</v>
      </c>
      <c r="L201" s="5" t="s">
        <v>1396</v>
      </c>
      <c r="M201" s="5" t="s">
        <v>8</v>
      </c>
      <c r="N201" s="5" t="s">
        <v>80</v>
      </c>
      <c r="O201" s="5" t="str">
        <f>IF(B201="","",IFERROR(LOOKUP(2,1/('Call Log'!$C$2:$C$5000=B201),'Call Log'!$B$2:$B$5000),""))</f>
        <v/>
      </c>
      <c r="P201" s="5">
        <f>IF(B201="","",COUNTIFS('Call Log'!$C$2:$C$5000,B201,'Call Log'!$A$2:$A$5000,"&gt;="&amp;(TODAY()-WEEKDAY(TODAY(),2)+1)))</f>
        <v>0</v>
      </c>
      <c r="Q201" s="5">
        <f>IF(B201="","",COUNTIF('Call Log'!$C$2:$C$5000,B201))</f>
        <v>0</v>
      </c>
      <c r="R201" s="21" t="str">
        <f>IF(B201="","",IFERROR(IF(MAXIFS('Call Log'!$A$2:$A$5000,'Call Log'!$C$2:$C$5000,B201)=0,"",MAXIFS('Call Log'!$A$2:$A$5000,'Call Log'!$C$2:$C$5000,B201)),""))</f>
        <v/>
      </c>
      <c r="S201" s="5"/>
      <c r="T201" s="21"/>
      <c r="U201" s="21"/>
      <c r="V201" s="5"/>
      <c r="W201" s="20"/>
      <c r="X201" s="5"/>
      <c r="Y201" s="5"/>
      <c r="Z201" s="5" t="s">
        <v>132</v>
      </c>
      <c r="AA201" s="5" t="s">
        <v>1397</v>
      </c>
    </row>
    <row r="202" ht="15.0" customHeight="1">
      <c r="A202" s="5" t="s">
        <v>1398</v>
      </c>
      <c r="B202" s="5" t="s">
        <v>1399</v>
      </c>
      <c r="C202" s="5" t="s">
        <v>1400</v>
      </c>
      <c r="D202" s="5"/>
      <c r="E202" s="5">
        <v>19.0</v>
      </c>
      <c r="F202" s="20">
        <v>2474000.0</v>
      </c>
      <c r="G202" s="20">
        <v>2.062E7</v>
      </c>
      <c r="H202" s="5" t="s">
        <v>41</v>
      </c>
      <c r="I202" s="5" t="s">
        <v>146</v>
      </c>
      <c r="J202" s="5" t="s">
        <v>114</v>
      </c>
      <c r="K202" s="5" t="s">
        <v>1401</v>
      </c>
      <c r="L202" s="5" t="s">
        <v>1402</v>
      </c>
      <c r="M202" s="5" t="s">
        <v>8</v>
      </c>
      <c r="N202" s="5" t="s">
        <v>80</v>
      </c>
      <c r="O202" s="5" t="str">
        <f>IF(B202="","",IFERROR(LOOKUP(2,1/('Call Log'!$C$2:$C$5000=B202),'Call Log'!$B$2:$B$5000),""))</f>
        <v/>
      </c>
      <c r="P202" s="5">
        <f>IF(B202="","",COUNTIFS('Call Log'!$C$2:$C$5000,B202,'Call Log'!$A$2:$A$5000,"&gt;="&amp;(TODAY()-WEEKDAY(TODAY(),2)+1)))</f>
        <v>0</v>
      </c>
      <c r="Q202" s="5">
        <f>IF(B202="","",COUNTIF('Call Log'!$C$2:$C$5000,B202))</f>
        <v>0</v>
      </c>
      <c r="R202" s="21" t="str">
        <f>IF(B202="","",IFERROR(IF(MAXIFS('Call Log'!$A$2:$A$5000,'Call Log'!$C$2:$C$5000,B202)=0,"",MAXIFS('Call Log'!$A$2:$A$5000,'Call Log'!$C$2:$C$5000,B202)),""))</f>
        <v/>
      </c>
      <c r="S202" s="5"/>
      <c r="T202" s="21"/>
      <c r="U202" s="21"/>
      <c r="V202" s="5"/>
      <c r="W202" s="20"/>
      <c r="X202" s="5"/>
      <c r="Y202" s="5"/>
      <c r="Z202" s="5" t="s">
        <v>132</v>
      </c>
      <c r="AA202" s="5" t="s">
        <v>1403</v>
      </c>
    </row>
    <row r="203" ht="15.0" customHeight="1">
      <c r="A203" s="5" t="s">
        <v>1404</v>
      </c>
      <c r="B203" s="5" t="s">
        <v>1405</v>
      </c>
      <c r="C203" s="5" t="s">
        <v>1406</v>
      </c>
      <c r="D203" s="5"/>
      <c r="E203" s="5">
        <v>5.0</v>
      </c>
      <c r="F203" s="20">
        <v>2465000.0</v>
      </c>
      <c r="G203" s="20">
        <v>2.0538E7</v>
      </c>
      <c r="H203" s="5" t="s">
        <v>40</v>
      </c>
      <c r="I203" s="5" t="s">
        <v>161</v>
      </c>
      <c r="J203" s="5" t="s">
        <v>114</v>
      </c>
      <c r="K203" s="5" t="s">
        <v>1407</v>
      </c>
      <c r="L203" s="5"/>
      <c r="M203" s="5" t="s">
        <v>8</v>
      </c>
      <c r="N203" s="5" t="s">
        <v>80</v>
      </c>
      <c r="O203" s="5" t="str">
        <f>IF(B203="","",IFERROR(LOOKUP(2,1/('Call Log'!$C$2:$C$5000=B203),'Call Log'!$B$2:$B$5000),""))</f>
        <v/>
      </c>
      <c r="P203" s="5">
        <f>IF(B203="","",COUNTIFS('Call Log'!$C$2:$C$5000,B203,'Call Log'!$A$2:$A$5000,"&gt;="&amp;(TODAY()-WEEKDAY(TODAY(),2)+1)))</f>
        <v>0</v>
      </c>
      <c r="Q203" s="5">
        <f>IF(B203="","",COUNTIF('Call Log'!$C$2:$C$5000,B203))</f>
        <v>0</v>
      </c>
      <c r="R203" s="21" t="str">
        <f>IF(B203="","",IFERROR(IF(MAXIFS('Call Log'!$A$2:$A$5000,'Call Log'!$C$2:$C$5000,B203)=0,"",MAXIFS('Call Log'!$A$2:$A$5000,'Call Log'!$C$2:$C$5000,B203)),""))</f>
        <v/>
      </c>
      <c r="S203" s="5"/>
      <c r="T203" s="21"/>
      <c r="U203" s="21"/>
      <c r="V203" s="5"/>
      <c r="W203" s="20"/>
      <c r="X203" s="5"/>
      <c r="Y203" s="5"/>
      <c r="Z203" s="5" t="s">
        <v>132</v>
      </c>
      <c r="AA203" s="5" t="s">
        <v>1408</v>
      </c>
    </row>
    <row r="204" ht="15.0" customHeight="1">
      <c r="A204" s="5" t="s">
        <v>1409</v>
      </c>
      <c r="B204" s="5" t="s">
        <v>1410</v>
      </c>
      <c r="C204" s="5" t="s">
        <v>1411</v>
      </c>
      <c r="D204" s="5"/>
      <c r="E204" s="5">
        <v>110.0</v>
      </c>
      <c r="F204" s="20">
        <v>2400000.0</v>
      </c>
      <c r="G204" s="20">
        <v>2.0E7</v>
      </c>
      <c r="H204" s="5" t="s">
        <v>43</v>
      </c>
      <c r="I204" s="5" t="s">
        <v>231</v>
      </c>
      <c r="J204" s="5" t="s">
        <v>114</v>
      </c>
      <c r="K204" s="5" t="s">
        <v>1412</v>
      </c>
      <c r="L204" s="5"/>
      <c r="M204" s="5" t="s">
        <v>8</v>
      </c>
      <c r="N204" s="5" t="s">
        <v>80</v>
      </c>
      <c r="O204" s="5" t="str">
        <f>IF(B204="","",IFERROR(LOOKUP(2,1/('Call Log'!$C$2:$C$5000=B204),'Call Log'!$B$2:$B$5000),""))</f>
        <v/>
      </c>
      <c r="P204" s="5">
        <f>IF(B204="","",COUNTIFS('Call Log'!$C$2:$C$5000,B204,'Call Log'!$A$2:$A$5000,"&gt;="&amp;(TODAY()-WEEKDAY(TODAY(),2)+1)))</f>
        <v>0</v>
      </c>
      <c r="Q204" s="5">
        <f>IF(B204="","",COUNTIF('Call Log'!$C$2:$C$5000,B204))</f>
        <v>0</v>
      </c>
      <c r="R204" s="21" t="str">
        <f>IF(B204="","",IFERROR(IF(MAXIFS('Call Log'!$A$2:$A$5000,'Call Log'!$C$2:$C$5000,B204)=0,"",MAXIFS('Call Log'!$A$2:$A$5000,'Call Log'!$C$2:$C$5000,B204)),""))</f>
        <v/>
      </c>
      <c r="S204" s="5"/>
      <c r="T204" s="21"/>
      <c r="U204" s="21"/>
      <c r="V204" s="5"/>
      <c r="W204" s="20"/>
      <c r="X204" s="5"/>
      <c r="Y204" s="5"/>
      <c r="Z204" s="5" t="s">
        <v>132</v>
      </c>
      <c r="AA204" s="5" t="s">
        <v>1413</v>
      </c>
    </row>
    <row r="205" ht="15.0" customHeight="1">
      <c r="A205" s="5" t="s">
        <v>1414</v>
      </c>
      <c r="B205" s="5" t="s">
        <v>1415</v>
      </c>
      <c r="C205" s="5" t="s">
        <v>1416</v>
      </c>
      <c r="D205" s="5"/>
      <c r="E205" s="5">
        <v>2.0</v>
      </c>
      <c r="F205" s="20">
        <v>2295000.0</v>
      </c>
      <c r="G205" s="20">
        <v>1.9125E7</v>
      </c>
      <c r="H205" s="5" t="s">
        <v>41</v>
      </c>
      <c r="I205" s="5" t="s">
        <v>370</v>
      </c>
      <c r="J205" s="5" t="s">
        <v>114</v>
      </c>
      <c r="K205" s="5" t="s">
        <v>1417</v>
      </c>
      <c r="L205" s="5"/>
      <c r="M205" s="5" t="s">
        <v>8</v>
      </c>
      <c r="N205" s="5" t="s">
        <v>80</v>
      </c>
      <c r="O205" s="5" t="str">
        <f>IF(B205="","",IFERROR(LOOKUP(2,1/('Call Log'!$C$2:$C$5000=B205),'Call Log'!$B$2:$B$5000),""))</f>
        <v/>
      </c>
      <c r="P205" s="5">
        <f>IF(B205="","",COUNTIFS('Call Log'!$C$2:$C$5000,B205,'Call Log'!$A$2:$A$5000,"&gt;="&amp;(TODAY()-WEEKDAY(TODAY(),2)+1)))</f>
        <v>0</v>
      </c>
      <c r="Q205" s="5">
        <f>IF(B205="","",COUNTIF('Call Log'!$C$2:$C$5000,B205))</f>
        <v>0</v>
      </c>
      <c r="R205" s="21" t="str">
        <f>IF(B205="","",IFERROR(IF(MAXIFS('Call Log'!$A$2:$A$5000,'Call Log'!$C$2:$C$5000,B205)=0,"",MAXIFS('Call Log'!$A$2:$A$5000,'Call Log'!$C$2:$C$5000,B205)),""))</f>
        <v/>
      </c>
      <c r="S205" s="5"/>
      <c r="T205" s="21"/>
      <c r="U205" s="21"/>
      <c r="V205" s="5"/>
      <c r="W205" s="20"/>
      <c r="X205" s="5"/>
      <c r="Y205" s="5"/>
      <c r="Z205" s="5" t="s">
        <v>132</v>
      </c>
      <c r="AA205" s="5" t="s">
        <v>1418</v>
      </c>
    </row>
    <row r="206" ht="15.0" customHeight="1">
      <c r="A206" s="5" t="s">
        <v>1419</v>
      </c>
      <c r="B206" s="5" t="s">
        <v>1420</v>
      </c>
      <c r="C206" s="5" t="s">
        <v>1421</v>
      </c>
      <c r="D206" s="5"/>
      <c r="E206" s="5">
        <v>1.0</v>
      </c>
      <c r="F206" s="20">
        <v>1986000.0</v>
      </c>
      <c r="G206" s="20">
        <v>1.6552E7</v>
      </c>
      <c r="H206" s="5" t="s">
        <v>40</v>
      </c>
      <c r="I206" s="5" t="s">
        <v>146</v>
      </c>
      <c r="J206" s="5" t="s">
        <v>114</v>
      </c>
      <c r="K206" s="5" t="s">
        <v>1422</v>
      </c>
      <c r="L206" s="5"/>
      <c r="M206" s="5" t="s">
        <v>8</v>
      </c>
      <c r="N206" s="5" t="s">
        <v>80</v>
      </c>
      <c r="O206" s="5" t="str">
        <f>IF(B206="","",IFERROR(LOOKUP(2,1/('Call Log'!$C$2:$C$5000=B206),'Call Log'!$B$2:$B$5000),""))</f>
        <v/>
      </c>
      <c r="P206" s="5">
        <f>IF(B206="","",COUNTIFS('Call Log'!$C$2:$C$5000,B206,'Call Log'!$A$2:$A$5000,"&gt;="&amp;(TODAY()-WEEKDAY(TODAY(),2)+1)))</f>
        <v>0</v>
      </c>
      <c r="Q206" s="5">
        <f>IF(B206="","",COUNTIF('Call Log'!$C$2:$C$5000,B206))</f>
        <v>0</v>
      </c>
      <c r="R206" s="21" t="str">
        <f>IF(B206="","",IFERROR(IF(MAXIFS('Call Log'!$A$2:$A$5000,'Call Log'!$C$2:$C$5000,B206)=0,"",MAXIFS('Call Log'!$A$2:$A$5000,'Call Log'!$C$2:$C$5000,B206)),""))</f>
        <v/>
      </c>
      <c r="S206" s="5"/>
      <c r="T206" s="21"/>
      <c r="U206" s="21"/>
      <c r="V206" s="5"/>
      <c r="W206" s="20"/>
      <c r="X206" s="5"/>
      <c r="Y206" s="5"/>
      <c r="Z206" s="5" t="s">
        <v>132</v>
      </c>
      <c r="AA206" s="5" t="s">
        <v>1423</v>
      </c>
    </row>
    <row r="207" ht="15.0" customHeight="1">
      <c r="A207" s="5" t="s">
        <v>1424</v>
      </c>
      <c r="B207" s="5" t="s">
        <v>1425</v>
      </c>
      <c r="C207" s="5" t="s">
        <v>1426</v>
      </c>
      <c r="D207" s="5"/>
      <c r="E207" s="5">
        <v>59.0</v>
      </c>
      <c r="F207" s="20">
        <v>1809000.0</v>
      </c>
      <c r="G207" s="20">
        <v>1.5071E7</v>
      </c>
      <c r="H207" s="5" t="s">
        <v>40</v>
      </c>
      <c r="I207" s="5" t="s">
        <v>154</v>
      </c>
      <c r="J207" s="5" t="s">
        <v>114</v>
      </c>
      <c r="K207" s="5" t="s">
        <v>1427</v>
      </c>
      <c r="L207" s="5" t="s">
        <v>1428</v>
      </c>
      <c r="M207" s="5" t="s">
        <v>8</v>
      </c>
      <c r="N207" s="5" t="s">
        <v>80</v>
      </c>
      <c r="O207" s="5" t="str">
        <f>IF(B207="","",IFERROR(LOOKUP(2,1/('Call Log'!$C$2:$C$5000=B207),'Call Log'!$B$2:$B$5000),""))</f>
        <v/>
      </c>
      <c r="P207" s="5">
        <f>IF(B207="","",COUNTIFS('Call Log'!$C$2:$C$5000,B207,'Call Log'!$A$2:$A$5000,"&gt;="&amp;(TODAY()-WEEKDAY(TODAY(),2)+1)))</f>
        <v>0</v>
      </c>
      <c r="Q207" s="5">
        <f>IF(B207="","",COUNTIF('Call Log'!$C$2:$C$5000,B207))</f>
        <v>0</v>
      </c>
      <c r="R207" s="21" t="str">
        <f>IF(B207="","",IFERROR(IF(MAXIFS('Call Log'!$A$2:$A$5000,'Call Log'!$C$2:$C$5000,B207)=0,"",MAXIFS('Call Log'!$A$2:$A$5000,'Call Log'!$C$2:$C$5000,B207)),""))</f>
        <v/>
      </c>
      <c r="S207" s="5"/>
      <c r="T207" s="21"/>
      <c r="U207" s="21"/>
      <c r="V207" s="5"/>
      <c r="W207" s="20"/>
      <c r="X207" s="5"/>
      <c r="Y207" s="5"/>
      <c r="Z207" s="5"/>
      <c r="AA207" s="5" t="s">
        <v>1429</v>
      </c>
    </row>
    <row r="208" ht="15.0" customHeight="1">
      <c r="A208" s="5" t="s">
        <v>1430</v>
      </c>
      <c r="B208" s="5" t="s">
        <v>1431</v>
      </c>
      <c r="C208" s="5" t="s">
        <v>1432</v>
      </c>
      <c r="D208" s="5"/>
      <c r="E208" s="5">
        <v>24.0</v>
      </c>
      <c r="F208" s="20">
        <v>1792000.0</v>
      </c>
      <c r="G208" s="20">
        <v>1.4936E7</v>
      </c>
      <c r="H208" s="5" t="s">
        <v>41</v>
      </c>
      <c r="I208" s="5" t="s">
        <v>122</v>
      </c>
      <c r="J208" s="5" t="s">
        <v>114</v>
      </c>
      <c r="K208" s="5" t="s">
        <v>1433</v>
      </c>
      <c r="L208" s="5" t="s">
        <v>1434</v>
      </c>
      <c r="M208" s="5" t="s">
        <v>8</v>
      </c>
      <c r="N208" s="5" t="s">
        <v>80</v>
      </c>
      <c r="O208" s="5" t="str">
        <f>IF(B208="","",IFERROR(LOOKUP(2,1/('Call Log'!$C$2:$C$5000=B208),'Call Log'!$B$2:$B$5000),""))</f>
        <v/>
      </c>
      <c r="P208" s="5">
        <f>IF(B208="","",COUNTIFS('Call Log'!$C$2:$C$5000,B208,'Call Log'!$A$2:$A$5000,"&gt;="&amp;(TODAY()-WEEKDAY(TODAY(),2)+1)))</f>
        <v>0</v>
      </c>
      <c r="Q208" s="5">
        <f>IF(B208="","",COUNTIF('Call Log'!$C$2:$C$5000,B208))</f>
        <v>0</v>
      </c>
      <c r="R208" s="21" t="str">
        <f>IF(B208="","",IFERROR(IF(MAXIFS('Call Log'!$A$2:$A$5000,'Call Log'!$C$2:$C$5000,B208)=0,"",MAXIFS('Call Log'!$A$2:$A$5000,'Call Log'!$C$2:$C$5000,B208)),""))</f>
        <v/>
      </c>
      <c r="S208" s="5"/>
      <c r="T208" s="21"/>
      <c r="U208" s="21"/>
      <c r="V208" s="5"/>
      <c r="W208" s="20"/>
      <c r="X208" s="5"/>
      <c r="Y208" s="5"/>
      <c r="Z208" s="5"/>
      <c r="AA208" s="5" t="s">
        <v>124</v>
      </c>
    </row>
    <row r="209" ht="15.0" customHeight="1">
      <c r="A209" s="5" t="s">
        <v>1435</v>
      </c>
      <c r="B209" s="5" t="s">
        <v>1436</v>
      </c>
      <c r="C209" s="5" t="s">
        <v>1437</v>
      </c>
      <c r="D209" s="5"/>
      <c r="E209" s="5">
        <v>1.0</v>
      </c>
      <c r="F209" s="20">
        <v>1725000.0</v>
      </c>
      <c r="G209" s="20">
        <v>1.4374E7</v>
      </c>
      <c r="H209" s="5" t="s">
        <v>40</v>
      </c>
      <c r="I209" s="5" t="s">
        <v>246</v>
      </c>
      <c r="J209" s="5" t="s">
        <v>114</v>
      </c>
      <c r="K209" s="5" t="s">
        <v>1438</v>
      </c>
      <c r="L209" s="5" t="s">
        <v>1439</v>
      </c>
      <c r="M209" s="5" t="s">
        <v>8</v>
      </c>
      <c r="N209" s="5" t="s">
        <v>80</v>
      </c>
      <c r="O209" s="5" t="str">
        <f>IF(B209="","",IFERROR(LOOKUP(2,1/('Call Log'!$C$2:$C$5000=B209),'Call Log'!$B$2:$B$5000),""))</f>
        <v/>
      </c>
      <c r="P209" s="5">
        <f>IF(B209="","",COUNTIFS('Call Log'!$C$2:$C$5000,B209,'Call Log'!$A$2:$A$5000,"&gt;="&amp;(TODAY()-WEEKDAY(TODAY(),2)+1)))</f>
        <v>0</v>
      </c>
      <c r="Q209" s="5">
        <f>IF(B209="","",COUNTIF('Call Log'!$C$2:$C$5000,B209))</f>
        <v>0</v>
      </c>
      <c r="R209" s="21" t="str">
        <f>IF(B209="","",IFERROR(IF(MAXIFS('Call Log'!$A$2:$A$5000,'Call Log'!$C$2:$C$5000,B209)=0,"",MAXIFS('Call Log'!$A$2:$A$5000,'Call Log'!$C$2:$C$5000,B209)),""))</f>
        <v/>
      </c>
      <c r="S209" s="5"/>
      <c r="T209" s="21"/>
      <c r="U209" s="21"/>
      <c r="V209" s="5"/>
      <c r="W209" s="20"/>
      <c r="X209" s="5"/>
      <c r="Y209" s="5"/>
      <c r="Z209" s="5" t="s">
        <v>132</v>
      </c>
      <c r="AA209" s="5" t="s">
        <v>1440</v>
      </c>
    </row>
    <row r="210" ht="15.0" customHeight="1">
      <c r="A210" s="5" t="s">
        <v>1441</v>
      </c>
      <c r="B210" s="5" t="s">
        <v>1442</v>
      </c>
      <c r="C210" s="5" t="s">
        <v>1443</v>
      </c>
      <c r="D210" s="5"/>
      <c r="E210" s="5">
        <v>30.0</v>
      </c>
      <c r="F210" s="20">
        <v>1675000.0</v>
      </c>
      <c r="G210" s="20">
        <v>1.3958E7</v>
      </c>
      <c r="H210" s="5" t="s">
        <v>40</v>
      </c>
      <c r="I210" s="5" t="s">
        <v>146</v>
      </c>
      <c r="J210" s="5" t="s">
        <v>114</v>
      </c>
      <c r="K210" s="5" t="s">
        <v>1444</v>
      </c>
      <c r="L210" s="5"/>
      <c r="M210" s="5" t="s">
        <v>8</v>
      </c>
      <c r="N210" s="5" t="s">
        <v>80</v>
      </c>
      <c r="O210" s="5" t="str">
        <f>IF(B210="","",IFERROR(LOOKUP(2,1/('Call Log'!$C$2:$C$5000=B210),'Call Log'!$B$2:$B$5000),""))</f>
        <v/>
      </c>
      <c r="P210" s="5">
        <f>IF(B210="","",COUNTIFS('Call Log'!$C$2:$C$5000,B210,'Call Log'!$A$2:$A$5000,"&gt;="&amp;(TODAY()-WEEKDAY(TODAY(),2)+1)))</f>
        <v>0</v>
      </c>
      <c r="Q210" s="5">
        <f>IF(B210="","",COUNTIF('Call Log'!$C$2:$C$5000,B210))</f>
        <v>0</v>
      </c>
      <c r="R210" s="21" t="str">
        <f>IF(B210="","",IFERROR(IF(MAXIFS('Call Log'!$A$2:$A$5000,'Call Log'!$C$2:$C$5000,B210)=0,"",MAXIFS('Call Log'!$A$2:$A$5000,'Call Log'!$C$2:$C$5000,B210)),""))</f>
        <v/>
      </c>
      <c r="S210" s="5"/>
      <c r="T210" s="21"/>
      <c r="U210" s="21"/>
      <c r="V210" s="5"/>
      <c r="W210" s="20"/>
      <c r="X210" s="5"/>
      <c r="Y210" s="5"/>
      <c r="Z210" s="5" t="s">
        <v>132</v>
      </c>
      <c r="AA210" s="5" t="s">
        <v>1445</v>
      </c>
    </row>
    <row r="211" ht="15.0" customHeight="1">
      <c r="A211" s="5" t="s">
        <v>1446</v>
      </c>
      <c r="B211" s="5" t="s">
        <v>1447</v>
      </c>
      <c r="C211" s="5" t="s">
        <v>1448</v>
      </c>
      <c r="D211" s="5"/>
      <c r="E211" s="5">
        <v>17.0</v>
      </c>
      <c r="F211" s="20">
        <v>1503000.0</v>
      </c>
      <c r="G211" s="20">
        <v>1.2525E7</v>
      </c>
      <c r="H211" s="5" t="s">
        <v>40</v>
      </c>
      <c r="I211" s="5" t="s">
        <v>175</v>
      </c>
      <c r="J211" s="5" t="s">
        <v>114</v>
      </c>
      <c r="K211" s="5" t="s">
        <v>1449</v>
      </c>
      <c r="L211" s="5"/>
      <c r="M211" s="5" t="s">
        <v>8</v>
      </c>
      <c r="N211" s="5" t="s">
        <v>80</v>
      </c>
      <c r="O211" s="5" t="str">
        <f>IF(B211="","",IFERROR(LOOKUP(2,1/('Call Log'!$C$2:$C$5000=B211),'Call Log'!$B$2:$B$5000),""))</f>
        <v/>
      </c>
      <c r="P211" s="5">
        <f>IF(B211="","",COUNTIFS('Call Log'!$C$2:$C$5000,B211,'Call Log'!$A$2:$A$5000,"&gt;="&amp;(TODAY()-WEEKDAY(TODAY(),2)+1)))</f>
        <v>0</v>
      </c>
      <c r="Q211" s="5">
        <f>IF(B211="","",COUNTIF('Call Log'!$C$2:$C$5000,B211))</f>
        <v>0</v>
      </c>
      <c r="R211" s="21" t="str">
        <f>IF(B211="","",IFERROR(IF(MAXIFS('Call Log'!$A$2:$A$5000,'Call Log'!$C$2:$C$5000,B211)=0,"",MAXIFS('Call Log'!$A$2:$A$5000,'Call Log'!$C$2:$C$5000,B211)),""))</f>
        <v/>
      </c>
      <c r="S211" s="5"/>
      <c r="T211" s="21"/>
      <c r="U211" s="21"/>
      <c r="V211" s="5"/>
      <c r="W211" s="20"/>
      <c r="X211" s="5"/>
      <c r="Y211" s="5"/>
      <c r="Z211" s="5" t="s">
        <v>132</v>
      </c>
      <c r="AA211" s="5" t="s">
        <v>1450</v>
      </c>
    </row>
    <row r="212" ht="15.0" customHeight="1">
      <c r="A212" s="5" t="s">
        <v>1451</v>
      </c>
      <c r="B212" s="5" t="s">
        <v>1452</v>
      </c>
      <c r="C212" s="5" t="s">
        <v>1453</v>
      </c>
      <c r="D212" s="5"/>
      <c r="E212" s="5">
        <v>7.0</v>
      </c>
      <c r="F212" s="20">
        <v>1200000.0</v>
      </c>
      <c r="G212" s="20">
        <v>1.0E7</v>
      </c>
      <c r="H212" s="5" t="s">
        <v>41</v>
      </c>
      <c r="I212" s="5" t="s">
        <v>122</v>
      </c>
      <c r="J212" s="5" t="s">
        <v>114</v>
      </c>
      <c r="K212" s="5" t="s">
        <v>1454</v>
      </c>
      <c r="L212" s="5" t="s">
        <v>1455</v>
      </c>
      <c r="M212" s="5" t="s">
        <v>8</v>
      </c>
      <c r="N212" s="5" t="s">
        <v>80</v>
      </c>
      <c r="O212" s="5" t="str">
        <f>IF(B212="","",IFERROR(LOOKUP(2,1/('Call Log'!$C$2:$C$5000=B212),'Call Log'!$B$2:$B$5000),""))</f>
        <v/>
      </c>
      <c r="P212" s="5">
        <f>IF(B212="","",COUNTIFS('Call Log'!$C$2:$C$5000,B212,'Call Log'!$A$2:$A$5000,"&gt;="&amp;(TODAY()-WEEKDAY(TODAY(),2)+1)))</f>
        <v>0</v>
      </c>
      <c r="Q212" s="5">
        <f>IF(B212="","",COUNTIF('Call Log'!$C$2:$C$5000,B212))</f>
        <v>0</v>
      </c>
      <c r="R212" s="21" t="str">
        <f>IF(B212="","",IFERROR(IF(MAXIFS('Call Log'!$A$2:$A$5000,'Call Log'!$C$2:$C$5000,B212)=0,"",MAXIFS('Call Log'!$A$2:$A$5000,'Call Log'!$C$2:$C$5000,B212)),""))</f>
        <v/>
      </c>
      <c r="S212" s="5"/>
      <c r="T212" s="21"/>
      <c r="U212" s="21"/>
      <c r="V212" s="5"/>
      <c r="W212" s="20"/>
      <c r="X212" s="5"/>
      <c r="Y212" s="5"/>
      <c r="Z212" s="5"/>
      <c r="AA212" s="5" t="s">
        <v>124</v>
      </c>
    </row>
    <row r="213" ht="15.0" customHeight="1">
      <c r="A213" s="5" t="s">
        <v>1456</v>
      </c>
      <c r="B213" s="5" t="s">
        <v>1457</v>
      </c>
      <c r="C213" s="5" t="s">
        <v>1458</v>
      </c>
      <c r="D213" s="5"/>
      <c r="E213" s="5">
        <v>7.0</v>
      </c>
      <c r="F213" s="20">
        <v>1200000.0</v>
      </c>
      <c r="G213" s="20">
        <v>1.0E7</v>
      </c>
      <c r="H213" s="5" t="s">
        <v>41</v>
      </c>
      <c r="I213" s="5" t="s">
        <v>370</v>
      </c>
      <c r="J213" s="5" t="s">
        <v>114</v>
      </c>
      <c r="K213" s="5" t="s">
        <v>1459</v>
      </c>
      <c r="L213" s="5" t="s">
        <v>1455</v>
      </c>
      <c r="M213" s="5" t="s">
        <v>8</v>
      </c>
      <c r="N213" s="5" t="s">
        <v>80</v>
      </c>
      <c r="O213" s="5" t="str">
        <f>IF(B213="","",IFERROR(LOOKUP(2,1/('Call Log'!$C$2:$C$5000=B213),'Call Log'!$B$2:$B$5000),""))</f>
        <v/>
      </c>
      <c r="P213" s="5">
        <f>IF(B213="","",COUNTIFS('Call Log'!$C$2:$C$5000,B213,'Call Log'!$A$2:$A$5000,"&gt;="&amp;(TODAY()-WEEKDAY(TODAY(),2)+1)))</f>
        <v>0</v>
      </c>
      <c r="Q213" s="5">
        <f>IF(B213="","",COUNTIF('Call Log'!$C$2:$C$5000,B213))</f>
        <v>0</v>
      </c>
      <c r="R213" s="21" t="str">
        <f>IF(B213="","",IFERROR(IF(MAXIFS('Call Log'!$A$2:$A$5000,'Call Log'!$C$2:$C$5000,B213)=0,"",MAXIFS('Call Log'!$A$2:$A$5000,'Call Log'!$C$2:$C$5000,B213)),""))</f>
        <v/>
      </c>
      <c r="S213" s="5"/>
      <c r="T213" s="21"/>
      <c r="U213" s="21"/>
      <c r="V213" s="5"/>
      <c r="W213" s="20"/>
      <c r="X213" s="5"/>
      <c r="Y213" s="5"/>
      <c r="Z213" s="5" t="s">
        <v>132</v>
      </c>
      <c r="AA213" s="5" t="s">
        <v>1460</v>
      </c>
    </row>
    <row r="214" ht="15.0" customHeight="1">
      <c r="A214" s="5" t="s">
        <v>1461</v>
      </c>
      <c r="B214" s="5" t="s">
        <v>1462</v>
      </c>
      <c r="C214" s="5" t="s">
        <v>1463</v>
      </c>
      <c r="D214" s="5"/>
      <c r="E214" s="5">
        <v>40.0</v>
      </c>
      <c r="F214" s="20">
        <v>1200000.0</v>
      </c>
      <c r="G214" s="20">
        <v>1.0E7</v>
      </c>
      <c r="H214" s="5" t="s">
        <v>41</v>
      </c>
      <c r="I214" s="5" t="s">
        <v>154</v>
      </c>
      <c r="J214" s="5" t="s">
        <v>114</v>
      </c>
      <c r="K214" s="5" t="s">
        <v>1464</v>
      </c>
      <c r="L214" s="5"/>
      <c r="M214" s="5" t="s">
        <v>8</v>
      </c>
      <c r="N214" s="5" t="s">
        <v>80</v>
      </c>
      <c r="O214" s="5" t="str">
        <f>IF(B214="","",IFERROR(LOOKUP(2,1/('Call Log'!$C$2:$C$5000=B214),'Call Log'!$B$2:$B$5000),""))</f>
        <v/>
      </c>
      <c r="P214" s="5">
        <f>IF(B214="","",COUNTIFS('Call Log'!$C$2:$C$5000,B214,'Call Log'!$A$2:$A$5000,"&gt;="&amp;(TODAY()-WEEKDAY(TODAY(),2)+1)))</f>
        <v>0</v>
      </c>
      <c r="Q214" s="5">
        <f>IF(B214="","",COUNTIF('Call Log'!$C$2:$C$5000,B214))</f>
        <v>0</v>
      </c>
      <c r="R214" s="21" t="str">
        <f>IF(B214="","",IFERROR(IF(MAXIFS('Call Log'!$A$2:$A$5000,'Call Log'!$C$2:$C$5000,B214)=0,"",MAXIFS('Call Log'!$A$2:$A$5000,'Call Log'!$C$2:$C$5000,B214)),""))</f>
        <v/>
      </c>
      <c r="S214" s="5"/>
      <c r="T214" s="21"/>
      <c r="U214" s="21"/>
      <c r="V214" s="5"/>
      <c r="W214" s="20"/>
      <c r="X214" s="5"/>
      <c r="Y214" s="5"/>
      <c r="Z214" s="5" t="s">
        <v>132</v>
      </c>
      <c r="AA214" s="5" t="s">
        <v>1465</v>
      </c>
    </row>
    <row r="215" ht="15.0" customHeight="1">
      <c r="A215" s="5" t="s">
        <v>1466</v>
      </c>
      <c r="B215" s="5" t="s">
        <v>1467</v>
      </c>
      <c r="C215" s="5" t="s">
        <v>1468</v>
      </c>
      <c r="D215" s="5"/>
      <c r="E215" s="5">
        <v>9.0</v>
      </c>
      <c r="F215" s="20">
        <v>1200000.0</v>
      </c>
      <c r="G215" s="20">
        <v>1.0E7</v>
      </c>
      <c r="H215" s="5" t="s">
        <v>40</v>
      </c>
      <c r="I215" s="5" t="s">
        <v>175</v>
      </c>
      <c r="J215" s="5" t="s">
        <v>114</v>
      </c>
      <c r="K215" s="5" t="s">
        <v>1469</v>
      </c>
      <c r="L215" s="5"/>
      <c r="M215" s="5" t="s">
        <v>8</v>
      </c>
      <c r="N215" s="5" t="s">
        <v>80</v>
      </c>
      <c r="O215" s="5" t="str">
        <f>IF(B215="","",IFERROR(LOOKUP(2,1/('Call Log'!$C$2:$C$5000=B215),'Call Log'!$B$2:$B$5000),""))</f>
        <v/>
      </c>
      <c r="P215" s="5">
        <f>IF(B215="","",COUNTIFS('Call Log'!$C$2:$C$5000,B215,'Call Log'!$A$2:$A$5000,"&gt;="&amp;(TODAY()-WEEKDAY(TODAY(),2)+1)))</f>
        <v>0</v>
      </c>
      <c r="Q215" s="5">
        <f>IF(B215="","",COUNTIF('Call Log'!$C$2:$C$5000,B215))</f>
        <v>0</v>
      </c>
      <c r="R215" s="21" t="str">
        <f>IF(B215="","",IFERROR(IF(MAXIFS('Call Log'!$A$2:$A$5000,'Call Log'!$C$2:$C$5000,B215)=0,"",MAXIFS('Call Log'!$A$2:$A$5000,'Call Log'!$C$2:$C$5000,B215)),""))</f>
        <v/>
      </c>
      <c r="S215" s="5"/>
      <c r="T215" s="21"/>
      <c r="U215" s="21"/>
      <c r="V215" s="5"/>
      <c r="W215" s="20"/>
      <c r="X215" s="5"/>
      <c r="Y215" s="5"/>
      <c r="Z215" s="5" t="s">
        <v>178</v>
      </c>
      <c r="AA215" s="5" t="s">
        <v>1470</v>
      </c>
    </row>
    <row r="216" ht="15.0" customHeight="1">
      <c r="A216" s="5" t="s">
        <v>1471</v>
      </c>
      <c r="B216" s="5" t="s">
        <v>1472</v>
      </c>
      <c r="C216" s="5" t="s">
        <v>1473</v>
      </c>
      <c r="D216" s="5"/>
      <c r="E216" s="5">
        <v>3.0</v>
      </c>
      <c r="F216" s="20">
        <v>1162000.0</v>
      </c>
      <c r="G216" s="20">
        <v>9681000.0</v>
      </c>
      <c r="H216" s="5" t="s">
        <v>40</v>
      </c>
      <c r="I216" s="5" t="s">
        <v>370</v>
      </c>
      <c r="J216" s="5" t="s">
        <v>114</v>
      </c>
      <c r="K216" s="5" t="s">
        <v>1474</v>
      </c>
      <c r="L216" s="5" t="s">
        <v>1475</v>
      </c>
      <c r="M216" s="5" t="s">
        <v>8</v>
      </c>
      <c r="N216" s="5" t="s">
        <v>80</v>
      </c>
      <c r="O216" s="5" t="str">
        <f>IF(B216="","",IFERROR(LOOKUP(2,1/('Call Log'!$C$2:$C$5000=B216),'Call Log'!$B$2:$B$5000),""))</f>
        <v/>
      </c>
      <c r="P216" s="5">
        <f>IF(B216="","",COUNTIFS('Call Log'!$C$2:$C$5000,B216,'Call Log'!$A$2:$A$5000,"&gt;="&amp;(TODAY()-WEEKDAY(TODAY(),2)+1)))</f>
        <v>0</v>
      </c>
      <c r="Q216" s="5">
        <f>IF(B216="","",COUNTIF('Call Log'!$C$2:$C$5000,B216))</f>
        <v>0</v>
      </c>
      <c r="R216" s="21" t="str">
        <f>IF(B216="","",IFERROR(IF(MAXIFS('Call Log'!$A$2:$A$5000,'Call Log'!$C$2:$C$5000,B216)=0,"",MAXIFS('Call Log'!$A$2:$A$5000,'Call Log'!$C$2:$C$5000,B216)),""))</f>
        <v/>
      </c>
      <c r="S216" s="5"/>
      <c r="T216" s="21"/>
      <c r="U216" s="21"/>
      <c r="V216" s="5"/>
      <c r="W216" s="20"/>
      <c r="X216" s="5"/>
      <c r="Y216" s="5"/>
      <c r="Z216" s="5" t="s">
        <v>132</v>
      </c>
      <c r="AA216" s="5" t="s">
        <v>1476</v>
      </c>
    </row>
    <row r="217" ht="15.0" customHeight="1">
      <c r="A217" s="5" t="s">
        <v>1477</v>
      </c>
      <c r="B217" s="5" t="s">
        <v>1478</v>
      </c>
      <c r="C217" s="5" t="s">
        <v>1479</v>
      </c>
      <c r="D217" s="5"/>
      <c r="E217" s="5">
        <v>15.0</v>
      </c>
      <c r="F217" s="20">
        <v>1152000.0</v>
      </c>
      <c r="G217" s="20">
        <v>9603000.0</v>
      </c>
      <c r="H217" s="5" t="s">
        <v>40</v>
      </c>
      <c r="I217" s="5" t="s">
        <v>246</v>
      </c>
      <c r="J217" s="5" t="s">
        <v>114</v>
      </c>
      <c r="K217" s="5" t="s">
        <v>1480</v>
      </c>
      <c r="L217" s="5" t="s">
        <v>1481</v>
      </c>
      <c r="M217" s="5" t="s">
        <v>8</v>
      </c>
      <c r="N217" s="5" t="s">
        <v>80</v>
      </c>
      <c r="O217" s="5" t="str">
        <f>IF(B217="","",IFERROR(LOOKUP(2,1/('Call Log'!$C$2:$C$5000=B217),'Call Log'!$B$2:$B$5000),""))</f>
        <v/>
      </c>
      <c r="P217" s="5">
        <f>IF(B217="","",COUNTIFS('Call Log'!$C$2:$C$5000,B217,'Call Log'!$A$2:$A$5000,"&gt;="&amp;(TODAY()-WEEKDAY(TODAY(),2)+1)))</f>
        <v>0</v>
      </c>
      <c r="Q217" s="5">
        <f>IF(B217="","",COUNTIF('Call Log'!$C$2:$C$5000,B217))</f>
        <v>0</v>
      </c>
      <c r="R217" s="21" t="str">
        <f>IF(B217="","",IFERROR(IF(MAXIFS('Call Log'!$A$2:$A$5000,'Call Log'!$C$2:$C$5000,B217)=0,"",MAXIFS('Call Log'!$A$2:$A$5000,'Call Log'!$C$2:$C$5000,B217)),""))</f>
        <v/>
      </c>
      <c r="S217" s="5"/>
      <c r="T217" s="21"/>
      <c r="U217" s="21"/>
      <c r="V217" s="5"/>
      <c r="W217" s="20"/>
      <c r="X217" s="5"/>
      <c r="Y217" s="5"/>
      <c r="Z217" s="5" t="s">
        <v>132</v>
      </c>
      <c r="AA217" s="5" t="s">
        <v>1482</v>
      </c>
    </row>
    <row r="218" ht="15.0" customHeight="1">
      <c r="A218" s="5" t="s">
        <v>1483</v>
      </c>
      <c r="B218" s="5" t="s">
        <v>1484</v>
      </c>
      <c r="C218" s="5" t="s">
        <v>1485</v>
      </c>
      <c r="D218" s="5"/>
      <c r="E218" s="5"/>
      <c r="F218" s="20">
        <v>969000.0</v>
      </c>
      <c r="G218" s="20">
        <v>8074000.0</v>
      </c>
      <c r="H218" s="5" t="s">
        <v>40</v>
      </c>
      <c r="I218" s="5" t="s">
        <v>231</v>
      </c>
      <c r="J218" s="5" t="s">
        <v>114</v>
      </c>
      <c r="K218" s="5" t="s">
        <v>1486</v>
      </c>
      <c r="L218" s="5"/>
      <c r="M218" s="5" t="s">
        <v>8</v>
      </c>
      <c r="N218" s="5" t="s">
        <v>80</v>
      </c>
      <c r="O218" s="5" t="str">
        <f>IF(B218="","",IFERROR(LOOKUP(2,1/('Call Log'!$C$2:$C$5000=B218),'Call Log'!$B$2:$B$5000),""))</f>
        <v/>
      </c>
      <c r="P218" s="5">
        <f>IF(B218="","",COUNTIFS('Call Log'!$C$2:$C$5000,B218,'Call Log'!$A$2:$A$5000,"&gt;="&amp;(TODAY()-WEEKDAY(TODAY(),2)+1)))</f>
        <v>0</v>
      </c>
      <c r="Q218" s="5">
        <f>IF(B218="","",COUNTIF('Call Log'!$C$2:$C$5000,B218))</f>
        <v>0</v>
      </c>
      <c r="R218" s="21" t="str">
        <f>IF(B218="","",IFERROR(IF(MAXIFS('Call Log'!$A$2:$A$5000,'Call Log'!$C$2:$C$5000,B218)=0,"",MAXIFS('Call Log'!$A$2:$A$5000,'Call Log'!$C$2:$C$5000,B218)),""))</f>
        <v/>
      </c>
      <c r="S218" s="5"/>
      <c r="T218" s="21"/>
      <c r="U218" s="21"/>
      <c r="V218" s="5"/>
      <c r="W218" s="20"/>
      <c r="X218" s="5"/>
      <c r="Y218" s="5"/>
      <c r="Z218" s="5" t="s">
        <v>132</v>
      </c>
      <c r="AA218" s="5" t="s">
        <v>1487</v>
      </c>
    </row>
    <row r="219" ht="15.0" customHeight="1">
      <c r="A219" s="5" t="s">
        <v>1488</v>
      </c>
      <c r="B219" s="5" t="s">
        <v>1489</v>
      </c>
      <c r="C219" s="5" t="s">
        <v>1416</v>
      </c>
      <c r="D219" s="5"/>
      <c r="E219" s="5">
        <v>15.0</v>
      </c>
      <c r="F219" s="20">
        <v>900000.0</v>
      </c>
      <c r="G219" s="20">
        <v>7500000.0</v>
      </c>
      <c r="H219" s="5" t="s">
        <v>40</v>
      </c>
      <c r="I219" s="5" t="s">
        <v>154</v>
      </c>
      <c r="J219" s="5" t="s">
        <v>114</v>
      </c>
      <c r="K219" s="5" t="s">
        <v>1490</v>
      </c>
      <c r="L219" s="5"/>
      <c r="M219" s="5" t="s">
        <v>8</v>
      </c>
      <c r="N219" s="5" t="s">
        <v>80</v>
      </c>
      <c r="O219" s="5" t="str">
        <f>IF(B219="","",IFERROR(LOOKUP(2,1/('Call Log'!$C$2:$C$5000=B219),'Call Log'!$B$2:$B$5000),""))</f>
        <v/>
      </c>
      <c r="P219" s="5">
        <f>IF(B219="","",COUNTIFS('Call Log'!$C$2:$C$5000,B219,'Call Log'!$A$2:$A$5000,"&gt;="&amp;(TODAY()-WEEKDAY(TODAY(),2)+1)))</f>
        <v>0</v>
      </c>
      <c r="Q219" s="5">
        <f>IF(B219="","",COUNTIF('Call Log'!$C$2:$C$5000,B219))</f>
        <v>0</v>
      </c>
      <c r="R219" s="21" t="str">
        <f>IF(B219="","",IFERROR(IF(MAXIFS('Call Log'!$A$2:$A$5000,'Call Log'!$C$2:$C$5000,B219)=0,"",MAXIFS('Call Log'!$A$2:$A$5000,'Call Log'!$C$2:$C$5000,B219)),""))</f>
        <v/>
      </c>
      <c r="S219" s="5"/>
      <c r="T219" s="21"/>
      <c r="U219" s="21"/>
      <c r="V219" s="5"/>
      <c r="W219" s="20"/>
      <c r="X219" s="5"/>
      <c r="Y219" s="5"/>
      <c r="Z219" s="5" t="s">
        <v>132</v>
      </c>
      <c r="AA219" s="5" t="s">
        <v>1491</v>
      </c>
    </row>
    <row r="220" ht="15.0" customHeight="1">
      <c r="A220" s="5" t="s">
        <v>1492</v>
      </c>
      <c r="B220" s="5" t="s">
        <v>1493</v>
      </c>
      <c r="C220" s="5" t="s">
        <v>1494</v>
      </c>
      <c r="D220" s="5"/>
      <c r="E220" s="5">
        <v>28.0</v>
      </c>
      <c r="F220" s="20">
        <v>600000.0</v>
      </c>
      <c r="G220" s="20">
        <v>5000000.0</v>
      </c>
      <c r="H220" s="5" t="s">
        <v>43</v>
      </c>
      <c r="I220" s="5" t="s">
        <v>357</v>
      </c>
      <c r="J220" s="5" t="s">
        <v>114</v>
      </c>
      <c r="K220" s="5" t="s">
        <v>1495</v>
      </c>
      <c r="L220" s="5" t="s">
        <v>1496</v>
      </c>
      <c r="M220" s="5" t="s">
        <v>8</v>
      </c>
      <c r="N220" s="5" t="s">
        <v>80</v>
      </c>
      <c r="O220" s="5" t="str">
        <f>IF(B220="","",IFERROR(LOOKUP(2,1/('Call Log'!$C$2:$C$5000=B220),'Call Log'!$B$2:$B$5000),""))</f>
        <v/>
      </c>
      <c r="P220" s="5">
        <f>IF(B220="","",COUNTIFS('Call Log'!$C$2:$C$5000,B220,'Call Log'!$A$2:$A$5000,"&gt;="&amp;(TODAY()-WEEKDAY(TODAY(),2)+1)))</f>
        <v>0</v>
      </c>
      <c r="Q220" s="5">
        <f>IF(B220="","",COUNTIF('Call Log'!$C$2:$C$5000,B220))</f>
        <v>0</v>
      </c>
      <c r="R220" s="21" t="str">
        <f>IF(B220="","",IFERROR(IF(MAXIFS('Call Log'!$A$2:$A$5000,'Call Log'!$C$2:$C$5000,B220)=0,"",MAXIFS('Call Log'!$A$2:$A$5000,'Call Log'!$C$2:$C$5000,B220)),""))</f>
        <v/>
      </c>
      <c r="S220" s="5"/>
      <c r="T220" s="21"/>
      <c r="U220" s="21"/>
      <c r="V220" s="5"/>
      <c r="W220" s="20"/>
      <c r="X220" s="5"/>
      <c r="Y220" s="5"/>
      <c r="Z220" s="5" t="s">
        <v>132</v>
      </c>
      <c r="AA220" s="5" t="s">
        <v>1497</v>
      </c>
    </row>
    <row r="221" ht="15.0" customHeight="1">
      <c r="A221" s="5" t="s">
        <v>1498</v>
      </c>
      <c r="B221" s="5" t="s">
        <v>1499</v>
      </c>
      <c r="C221" s="5" t="s">
        <v>1500</v>
      </c>
      <c r="D221" s="5"/>
      <c r="E221" s="5">
        <v>33.0</v>
      </c>
      <c r="F221" s="20">
        <v>600000.0</v>
      </c>
      <c r="G221" s="20">
        <v>5000000.0</v>
      </c>
      <c r="H221" s="5" t="s">
        <v>40</v>
      </c>
      <c r="I221" s="5" t="s">
        <v>154</v>
      </c>
      <c r="J221" s="5" t="s">
        <v>114</v>
      </c>
      <c r="K221" s="5" t="s">
        <v>1501</v>
      </c>
      <c r="L221" s="5"/>
      <c r="M221" s="5" t="s">
        <v>8</v>
      </c>
      <c r="N221" s="5" t="s">
        <v>80</v>
      </c>
      <c r="O221" s="5" t="str">
        <f>IF(B221="","",IFERROR(LOOKUP(2,1/('Call Log'!$C$2:$C$5000=B221),'Call Log'!$B$2:$B$5000),""))</f>
        <v/>
      </c>
      <c r="P221" s="5">
        <f>IF(B221="","",COUNTIFS('Call Log'!$C$2:$C$5000,B221,'Call Log'!$A$2:$A$5000,"&gt;="&amp;(TODAY()-WEEKDAY(TODAY(),2)+1)))</f>
        <v>0</v>
      </c>
      <c r="Q221" s="5">
        <f>IF(B221="","",COUNTIF('Call Log'!$C$2:$C$5000,B221))</f>
        <v>0</v>
      </c>
      <c r="R221" s="21" t="str">
        <f>IF(B221="","",IFERROR(IF(MAXIFS('Call Log'!$A$2:$A$5000,'Call Log'!$C$2:$C$5000,B221)=0,"",MAXIFS('Call Log'!$A$2:$A$5000,'Call Log'!$C$2:$C$5000,B221)),""))</f>
        <v/>
      </c>
      <c r="S221" s="5"/>
      <c r="T221" s="21"/>
      <c r="U221" s="21"/>
      <c r="V221" s="5"/>
      <c r="W221" s="20"/>
      <c r="X221" s="5"/>
      <c r="Y221" s="5"/>
      <c r="Z221" s="5" t="s">
        <v>132</v>
      </c>
      <c r="AA221" s="5" t="s">
        <v>1502</v>
      </c>
    </row>
    <row r="222" ht="15.0" customHeight="1">
      <c r="A222" s="5" t="s">
        <v>1503</v>
      </c>
      <c r="B222" s="5" t="s">
        <v>1504</v>
      </c>
      <c r="C222" s="5" t="s">
        <v>1505</v>
      </c>
      <c r="D222" s="5"/>
      <c r="E222" s="5">
        <v>7.0</v>
      </c>
      <c r="F222" s="20">
        <v>598000.0</v>
      </c>
      <c r="G222" s="20">
        <v>4980000.0</v>
      </c>
      <c r="H222" s="5" t="s">
        <v>43</v>
      </c>
      <c r="I222" s="5" t="s">
        <v>1055</v>
      </c>
      <c r="J222" s="5" t="s">
        <v>114</v>
      </c>
      <c r="K222" s="5" t="s">
        <v>1506</v>
      </c>
      <c r="L222" s="5"/>
      <c r="M222" s="5" t="s">
        <v>8</v>
      </c>
      <c r="N222" s="5" t="s">
        <v>80</v>
      </c>
      <c r="O222" s="5" t="str">
        <f>IF(B222="","",IFERROR(LOOKUP(2,1/('Call Log'!$C$2:$C$5000=B222),'Call Log'!$B$2:$B$5000),""))</f>
        <v/>
      </c>
      <c r="P222" s="5">
        <f>IF(B222="","",COUNTIFS('Call Log'!$C$2:$C$5000,B222,'Call Log'!$A$2:$A$5000,"&gt;="&amp;(TODAY()-WEEKDAY(TODAY(),2)+1)))</f>
        <v>0</v>
      </c>
      <c r="Q222" s="5">
        <f>IF(B222="","",COUNTIF('Call Log'!$C$2:$C$5000,B222))</f>
        <v>0</v>
      </c>
      <c r="R222" s="21" t="str">
        <f>IF(B222="","",IFERROR(IF(MAXIFS('Call Log'!$A$2:$A$5000,'Call Log'!$C$2:$C$5000,B222)=0,"",MAXIFS('Call Log'!$A$2:$A$5000,'Call Log'!$C$2:$C$5000,B222)),""))</f>
        <v/>
      </c>
      <c r="S222" s="5"/>
      <c r="T222" s="21"/>
      <c r="U222" s="21"/>
      <c r="V222" s="5"/>
      <c r="W222" s="20"/>
      <c r="X222" s="5"/>
      <c r="Y222" s="5"/>
      <c r="Z222" s="5" t="s">
        <v>132</v>
      </c>
      <c r="AA222" s="5" t="s">
        <v>1507</v>
      </c>
    </row>
    <row r="223" ht="15.0" customHeight="1">
      <c r="A223" s="5" t="s">
        <v>1508</v>
      </c>
      <c r="B223" s="5" t="s">
        <v>1509</v>
      </c>
      <c r="C223" s="5" t="s">
        <v>1510</v>
      </c>
      <c r="D223" s="5"/>
      <c r="E223" s="5">
        <v>3.0</v>
      </c>
      <c r="F223" s="20">
        <v>567000.0</v>
      </c>
      <c r="G223" s="20">
        <v>4724000.0</v>
      </c>
      <c r="H223" s="5" t="s">
        <v>40</v>
      </c>
      <c r="I223" s="5" t="s">
        <v>1055</v>
      </c>
      <c r="J223" s="5" t="s">
        <v>114</v>
      </c>
      <c r="K223" s="5" t="s">
        <v>1511</v>
      </c>
      <c r="L223" s="5" t="s">
        <v>1512</v>
      </c>
      <c r="M223" s="5" t="s">
        <v>8</v>
      </c>
      <c r="N223" s="5" t="s">
        <v>80</v>
      </c>
      <c r="O223" s="5" t="str">
        <f>IF(B223="","",IFERROR(LOOKUP(2,1/('Call Log'!$C$2:$C$5000=B223),'Call Log'!$B$2:$B$5000),""))</f>
        <v/>
      </c>
      <c r="P223" s="5">
        <f>IF(B223="","",COUNTIFS('Call Log'!$C$2:$C$5000,B223,'Call Log'!$A$2:$A$5000,"&gt;="&amp;(TODAY()-WEEKDAY(TODAY(),2)+1)))</f>
        <v>0</v>
      </c>
      <c r="Q223" s="5">
        <f>IF(B223="","",COUNTIF('Call Log'!$C$2:$C$5000,B223))</f>
        <v>0</v>
      </c>
      <c r="R223" s="21" t="str">
        <f>IF(B223="","",IFERROR(IF(MAXIFS('Call Log'!$A$2:$A$5000,'Call Log'!$C$2:$C$5000,B223)=0,"",MAXIFS('Call Log'!$A$2:$A$5000,'Call Log'!$C$2:$C$5000,B223)),""))</f>
        <v/>
      </c>
      <c r="S223" s="5"/>
      <c r="T223" s="21"/>
      <c r="U223" s="21"/>
      <c r="V223" s="5"/>
      <c r="W223" s="20"/>
      <c r="X223" s="5"/>
      <c r="Y223" s="5"/>
      <c r="Z223" s="5" t="s">
        <v>132</v>
      </c>
      <c r="AA223" s="5" t="s">
        <v>1513</v>
      </c>
    </row>
    <row r="224" ht="15.0" customHeight="1">
      <c r="A224" s="5" t="s">
        <v>1514</v>
      </c>
      <c r="B224" s="5" t="s">
        <v>1515</v>
      </c>
      <c r="C224" s="5" t="s">
        <v>1516</v>
      </c>
      <c r="D224" s="5"/>
      <c r="E224" s="5">
        <v>1.0</v>
      </c>
      <c r="F224" s="20">
        <v>561000.0</v>
      </c>
      <c r="G224" s="20">
        <v>4677000.0</v>
      </c>
      <c r="H224" s="5" t="s">
        <v>40</v>
      </c>
      <c r="I224" s="5" t="s">
        <v>231</v>
      </c>
      <c r="J224" s="5" t="s">
        <v>114</v>
      </c>
      <c r="K224" s="5" t="s">
        <v>1517</v>
      </c>
      <c r="L224" s="5"/>
      <c r="M224" s="5" t="s">
        <v>8</v>
      </c>
      <c r="N224" s="5" t="s">
        <v>80</v>
      </c>
      <c r="O224" s="5" t="str">
        <f>IF(B224="","",IFERROR(LOOKUP(2,1/('Call Log'!$C$2:$C$5000=B224),'Call Log'!$B$2:$B$5000),""))</f>
        <v/>
      </c>
      <c r="P224" s="5">
        <f>IF(B224="","",COUNTIFS('Call Log'!$C$2:$C$5000,B224,'Call Log'!$A$2:$A$5000,"&gt;="&amp;(TODAY()-WEEKDAY(TODAY(),2)+1)))</f>
        <v>0</v>
      </c>
      <c r="Q224" s="5">
        <f>IF(B224="","",COUNTIF('Call Log'!$C$2:$C$5000,B224))</f>
        <v>0</v>
      </c>
      <c r="R224" s="21" t="str">
        <f>IF(B224="","",IFERROR(IF(MAXIFS('Call Log'!$A$2:$A$5000,'Call Log'!$C$2:$C$5000,B224)=0,"",MAXIFS('Call Log'!$A$2:$A$5000,'Call Log'!$C$2:$C$5000,B224)),""))</f>
        <v/>
      </c>
      <c r="S224" s="5"/>
      <c r="T224" s="21"/>
      <c r="U224" s="21"/>
      <c r="V224" s="5"/>
      <c r="W224" s="20"/>
      <c r="X224" s="5"/>
      <c r="Y224" s="5"/>
      <c r="Z224" s="5" t="s">
        <v>132</v>
      </c>
      <c r="AA224" s="5" t="s">
        <v>1518</v>
      </c>
    </row>
    <row r="225" ht="15.0" customHeight="1">
      <c r="A225" s="5" t="s">
        <v>1519</v>
      </c>
      <c r="B225" s="5" t="s">
        <v>1520</v>
      </c>
      <c r="C225" s="5" t="s">
        <v>1521</v>
      </c>
      <c r="D225" s="5"/>
      <c r="E225" s="5">
        <v>3.0</v>
      </c>
      <c r="F225" s="20">
        <v>543000.0</v>
      </c>
      <c r="G225" s="20">
        <v>4528000.0</v>
      </c>
      <c r="H225" s="5" t="s">
        <v>41</v>
      </c>
      <c r="I225" s="5" t="s">
        <v>146</v>
      </c>
      <c r="J225" s="5" t="s">
        <v>114</v>
      </c>
      <c r="K225" s="5" t="s">
        <v>1522</v>
      </c>
      <c r="L225" s="5" t="s">
        <v>1523</v>
      </c>
      <c r="M225" s="5" t="s">
        <v>8</v>
      </c>
      <c r="N225" s="5" t="s">
        <v>80</v>
      </c>
      <c r="O225" s="5" t="str">
        <f>IF(B225="","",IFERROR(LOOKUP(2,1/('Call Log'!$C$2:$C$5000=B225),'Call Log'!$B$2:$B$5000),""))</f>
        <v/>
      </c>
      <c r="P225" s="5">
        <f>IF(B225="","",COUNTIFS('Call Log'!$C$2:$C$5000,B225,'Call Log'!$A$2:$A$5000,"&gt;="&amp;(TODAY()-WEEKDAY(TODAY(),2)+1)))</f>
        <v>0</v>
      </c>
      <c r="Q225" s="5">
        <f>IF(B225="","",COUNTIF('Call Log'!$C$2:$C$5000,B225))</f>
        <v>0</v>
      </c>
      <c r="R225" s="21" t="str">
        <f>IF(B225="","",IFERROR(IF(MAXIFS('Call Log'!$A$2:$A$5000,'Call Log'!$C$2:$C$5000,B225)=0,"",MAXIFS('Call Log'!$A$2:$A$5000,'Call Log'!$C$2:$C$5000,B225)),""))</f>
        <v/>
      </c>
      <c r="S225" s="5"/>
      <c r="T225" s="21"/>
      <c r="U225" s="21"/>
      <c r="V225" s="5"/>
      <c r="W225" s="20"/>
      <c r="X225" s="5"/>
      <c r="Y225" s="5"/>
      <c r="Z225" s="5" t="s">
        <v>132</v>
      </c>
      <c r="AA225" s="5" t="s">
        <v>1524</v>
      </c>
    </row>
    <row r="226" ht="15.0" customHeight="1">
      <c r="A226" s="5" t="s">
        <v>1525</v>
      </c>
      <c r="B226" s="5" t="s">
        <v>1526</v>
      </c>
      <c r="C226" s="5" t="s">
        <v>1527</v>
      </c>
      <c r="D226" s="5"/>
      <c r="E226" s="5">
        <v>9.0</v>
      </c>
      <c r="F226" s="20">
        <v>515000.0</v>
      </c>
      <c r="G226" s="20">
        <v>4292000.0</v>
      </c>
      <c r="H226" s="5" t="s">
        <v>41</v>
      </c>
      <c r="I226" s="5" t="s">
        <v>865</v>
      </c>
      <c r="J226" s="5" t="s">
        <v>114</v>
      </c>
      <c r="K226" s="5" t="s">
        <v>1528</v>
      </c>
      <c r="L226" s="5" t="s">
        <v>1529</v>
      </c>
      <c r="M226" s="5" t="s">
        <v>8</v>
      </c>
      <c r="N226" s="5" t="s">
        <v>80</v>
      </c>
      <c r="O226" s="5" t="str">
        <f>IF(B226="","",IFERROR(LOOKUP(2,1/('Call Log'!$C$2:$C$5000=B226),'Call Log'!$B$2:$B$5000),""))</f>
        <v/>
      </c>
      <c r="P226" s="5">
        <f>IF(B226="","",COUNTIFS('Call Log'!$C$2:$C$5000,B226,'Call Log'!$A$2:$A$5000,"&gt;="&amp;(TODAY()-WEEKDAY(TODAY(),2)+1)))</f>
        <v>0</v>
      </c>
      <c r="Q226" s="5">
        <f>IF(B226="","",COUNTIF('Call Log'!$C$2:$C$5000,B226))</f>
        <v>0</v>
      </c>
      <c r="R226" s="21" t="str">
        <f>IF(B226="","",IFERROR(IF(MAXIFS('Call Log'!$A$2:$A$5000,'Call Log'!$C$2:$C$5000,B226)=0,"",MAXIFS('Call Log'!$A$2:$A$5000,'Call Log'!$C$2:$C$5000,B226)),""))</f>
        <v/>
      </c>
      <c r="S226" s="5"/>
      <c r="T226" s="21"/>
      <c r="U226" s="21"/>
      <c r="V226" s="5"/>
      <c r="W226" s="20"/>
      <c r="X226" s="5"/>
      <c r="Y226" s="5"/>
      <c r="Z226" s="5" t="s">
        <v>132</v>
      </c>
      <c r="AA226" s="5" t="s">
        <v>1530</v>
      </c>
    </row>
    <row r="227" ht="15.0" customHeight="1">
      <c r="A227" s="5" t="s">
        <v>1531</v>
      </c>
      <c r="B227" s="5" t="s">
        <v>1532</v>
      </c>
      <c r="C227" s="5" t="s">
        <v>1533</v>
      </c>
      <c r="D227" s="5"/>
      <c r="E227" s="5">
        <v>9.0</v>
      </c>
      <c r="F227" s="20">
        <v>444000.0</v>
      </c>
      <c r="G227" s="20">
        <v>3702000.0</v>
      </c>
      <c r="H227" s="5" t="s">
        <v>40</v>
      </c>
      <c r="I227" s="5" t="s">
        <v>756</v>
      </c>
      <c r="J227" s="5" t="s">
        <v>114</v>
      </c>
      <c r="K227" s="5" t="s">
        <v>1534</v>
      </c>
      <c r="L227" s="5" t="s">
        <v>1535</v>
      </c>
      <c r="M227" s="5" t="s">
        <v>8</v>
      </c>
      <c r="N227" s="5" t="s">
        <v>80</v>
      </c>
      <c r="O227" s="5" t="str">
        <f>IF(B227="","",IFERROR(LOOKUP(2,1/('Call Log'!$C$2:$C$5000=B227),'Call Log'!$B$2:$B$5000),""))</f>
        <v/>
      </c>
      <c r="P227" s="5">
        <f>IF(B227="","",COUNTIFS('Call Log'!$C$2:$C$5000,B227,'Call Log'!$A$2:$A$5000,"&gt;="&amp;(TODAY()-WEEKDAY(TODAY(),2)+1)))</f>
        <v>0</v>
      </c>
      <c r="Q227" s="5">
        <f>IF(B227="","",COUNTIF('Call Log'!$C$2:$C$5000,B227))</f>
        <v>0</v>
      </c>
      <c r="R227" s="21" t="str">
        <f>IF(B227="","",IFERROR(IF(MAXIFS('Call Log'!$A$2:$A$5000,'Call Log'!$C$2:$C$5000,B227)=0,"",MAXIFS('Call Log'!$A$2:$A$5000,'Call Log'!$C$2:$C$5000,B227)),""))</f>
        <v/>
      </c>
      <c r="S227" s="5"/>
      <c r="T227" s="21"/>
      <c r="U227" s="21"/>
      <c r="V227" s="5"/>
      <c r="W227" s="20"/>
      <c r="X227" s="5"/>
      <c r="Y227" s="5"/>
      <c r="Z227" s="5" t="s">
        <v>132</v>
      </c>
      <c r="AA227" s="5" t="s">
        <v>1536</v>
      </c>
    </row>
    <row r="228" ht="15.0" customHeight="1">
      <c r="A228" s="5" t="s">
        <v>1537</v>
      </c>
      <c r="B228" s="5" t="s">
        <v>1538</v>
      </c>
      <c r="C228" s="5" t="s">
        <v>1539</v>
      </c>
      <c r="D228" s="5"/>
      <c r="E228" s="5">
        <v>15.0</v>
      </c>
      <c r="F228" s="20">
        <v>415000.0</v>
      </c>
      <c r="G228" s="20">
        <v>3458000.0</v>
      </c>
      <c r="H228" s="5" t="s">
        <v>40</v>
      </c>
      <c r="I228" s="5" t="s">
        <v>154</v>
      </c>
      <c r="J228" s="5" t="s">
        <v>114</v>
      </c>
      <c r="K228" s="5" t="s">
        <v>1540</v>
      </c>
      <c r="L228" s="5"/>
      <c r="M228" s="5" t="s">
        <v>8</v>
      </c>
      <c r="N228" s="5" t="s">
        <v>80</v>
      </c>
      <c r="O228" s="5" t="str">
        <f>IF(B228="","",IFERROR(LOOKUP(2,1/('Call Log'!$C$2:$C$5000=B228),'Call Log'!$B$2:$B$5000),""))</f>
        <v/>
      </c>
      <c r="P228" s="5">
        <f>IF(B228="","",COUNTIFS('Call Log'!$C$2:$C$5000,B228,'Call Log'!$A$2:$A$5000,"&gt;="&amp;(TODAY()-WEEKDAY(TODAY(),2)+1)))</f>
        <v>0</v>
      </c>
      <c r="Q228" s="5">
        <f>IF(B228="","",COUNTIF('Call Log'!$C$2:$C$5000,B228))</f>
        <v>0</v>
      </c>
      <c r="R228" s="21" t="str">
        <f>IF(B228="","",IFERROR(IF(MAXIFS('Call Log'!$A$2:$A$5000,'Call Log'!$C$2:$C$5000,B228)=0,"",MAXIFS('Call Log'!$A$2:$A$5000,'Call Log'!$C$2:$C$5000,B228)),""))</f>
        <v/>
      </c>
      <c r="S228" s="5"/>
      <c r="T228" s="21"/>
      <c r="U228" s="21"/>
      <c r="V228" s="5"/>
      <c r="W228" s="20"/>
      <c r="X228" s="5"/>
      <c r="Y228" s="5"/>
      <c r="Z228" s="5" t="s">
        <v>132</v>
      </c>
      <c r="AA228" s="5" t="s">
        <v>1541</v>
      </c>
    </row>
    <row r="229" ht="15.0" customHeight="1">
      <c r="A229" s="5" t="s">
        <v>1542</v>
      </c>
      <c r="B229" s="5" t="s">
        <v>1543</v>
      </c>
      <c r="C229" s="5" t="s">
        <v>1544</v>
      </c>
      <c r="D229" s="5"/>
      <c r="E229" s="5">
        <v>1.0</v>
      </c>
      <c r="F229" s="20">
        <v>373000.0</v>
      </c>
      <c r="G229" s="20">
        <v>3105000.0</v>
      </c>
      <c r="H229" s="5" t="s">
        <v>41</v>
      </c>
      <c r="I229" s="5" t="s">
        <v>184</v>
      </c>
      <c r="J229" s="5" t="s">
        <v>114</v>
      </c>
      <c r="K229" s="5" t="s">
        <v>1545</v>
      </c>
      <c r="L229" s="5"/>
      <c r="M229" s="5" t="s">
        <v>8</v>
      </c>
      <c r="N229" s="5" t="s">
        <v>80</v>
      </c>
      <c r="O229" s="5" t="str">
        <f>IF(B229="","",IFERROR(LOOKUP(2,1/('Call Log'!$C$2:$C$5000=B229),'Call Log'!$B$2:$B$5000),""))</f>
        <v/>
      </c>
      <c r="P229" s="5">
        <f>IF(B229="","",COUNTIFS('Call Log'!$C$2:$C$5000,B229,'Call Log'!$A$2:$A$5000,"&gt;="&amp;(TODAY()-WEEKDAY(TODAY(),2)+1)))</f>
        <v>0</v>
      </c>
      <c r="Q229" s="5">
        <f>IF(B229="","",COUNTIF('Call Log'!$C$2:$C$5000,B229))</f>
        <v>0</v>
      </c>
      <c r="R229" s="21" t="str">
        <f>IF(B229="","",IFERROR(IF(MAXIFS('Call Log'!$A$2:$A$5000,'Call Log'!$C$2:$C$5000,B229)=0,"",MAXIFS('Call Log'!$A$2:$A$5000,'Call Log'!$C$2:$C$5000,B229)),""))</f>
        <v/>
      </c>
      <c r="S229" s="5"/>
      <c r="T229" s="21"/>
      <c r="U229" s="21"/>
      <c r="V229" s="5"/>
      <c r="W229" s="20"/>
      <c r="X229" s="5"/>
      <c r="Y229" s="5"/>
      <c r="Z229" s="5" t="s">
        <v>132</v>
      </c>
      <c r="AA229" s="5" t="s">
        <v>1546</v>
      </c>
    </row>
    <row r="230" ht="15.0" customHeight="1">
      <c r="A230" s="5" t="s">
        <v>1547</v>
      </c>
      <c r="B230" s="5" t="s">
        <v>1548</v>
      </c>
      <c r="C230" s="5" t="s">
        <v>1549</v>
      </c>
      <c r="D230" s="5"/>
      <c r="E230" s="5">
        <v>30.0</v>
      </c>
      <c r="F230" s="20">
        <v>314000.0</v>
      </c>
      <c r="G230" s="20">
        <v>2620000.0</v>
      </c>
      <c r="H230" s="5" t="s">
        <v>40</v>
      </c>
      <c r="I230" s="5" t="s">
        <v>146</v>
      </c>
      <c r="J230" s="5" t="s">
        <v>114</v>
      </c>
      <c r="K230" s="5" t="s">
        <v>1550</v>
      </c>
      <c r="L230" s="5"/>
      <c r="M230" s="5" t="s">
        <v>8</v>
      </c>
      <c r="N230" s="5" t="s">
        <v>80</v>
      </c>
      <c r="O230" s="5" t="str">
        <f>IF(B230="","",IFERROR(LOOKUP(2,1/('Call Log'!$C$2:$C$5000=B230),'Call Log'!$B$2:$B$5000),""))</f>
        <v/>
      </c>
      <c r="P230" s="5">
        <f>IF(B230="","",COUNTIFS('Call Log'!$C$2:$C$5000,B230,'Call Log'!$A$2:$A$5000,"&gt;="&amp;(TODAY()-WEEKDAY(TODAY(),2)+1)))</f>
        <v>0</v>
      </c>
      <c r="Q230" s="5">
        <f>IF(B230="","",COUNTIF('Call Log'!$C$2:$C$5000,B230))</f>
        <v>0</v>
      </c>
      <c r="R230" s="21" t="str">
        <f>IF(B230="","",IFERROR(IF(MAXIFS('Call Log'!$A$2:$A$5000,'Call Log'!$C$2:$C$5000,B230)=0,"",MAXIFS('Call Log'!$A$2:$A$5000,'Call Log'!$C$2:$C$5000,B230)),""))</f>
        <v/>
      </c>
      <c r="S230" s="5"/>
      <c r="T230" s="21"/>
      <c r="U230" s="21"/>
      <c r="V230" s="5"/>
      <c r="W230" s="20"/>
      <c r="X230" s="5"/>
      <c r="Y230" s="5"/>
      <c r="Z230" s="5" t="s">
        <v>132</v>
      </c>
      <c r="AA230" s="5" t="s">
        <v>1551</v>
      </c>
    </row>
    <row r="231" ht="15.0" customHeight="1">
      <c r="A231" s="5" t="s">
        <v>1552</v>
      </c>
      <c r="B231" s="5" t="s">
        <v>1553</v>
      </c>
      <c r="C231" s="5" t="s">
        <v>1554</v>
      </c>
      <c r="D231" s="5"/>
      <c r="E231" s="5">
        <v>8.0</v>
      </c>
      <c r="F231" s="20">
        <v>225000.0</v>
      </c>
      <c r="G231" s="20">
        <v>1871000.0</v>
      </c>
      <c r="H231" s="5" t="s">
        <v>40</v>
      </c>
      <c r="I231" s="5" t="s">
        <v>146</v>
      </c>
      <c r="J231" s="5" t="s">
        <v>114</v>
      </c>
      <c r="K231" s="5" t="s">
        <v>1555</v>
      </c>
      <c r="L231" s="5"/>
      <c r="M231" s="5" t="s">
        <v>8</v>
      </c>
      <c r="N231" s="5" t="s">
        <v>80</v>
      </c>
      <c r="O231" s="5" t="str">
        <f>IF(B231="","",IFERROR(LOOKUP(2,1/('Call Log'!$C$2:$C$5000=B231),'Call Log'!$B$2:$B$5000),""))</f>
        <v/>
      </c>
      <c r="P231" s="5">
        <f>IF(B231="","",COUNTIFS('Call Log'!$C$2:$C$5000,B231,'Call Log'!$A$2:$A$5000,"&gt;="&amp;(TODAY()-WEEKDAY(TODAY(),2)+1)))</f>
        <v>0</v>
      </c>
      <c r="Q231" s="5">
        <f>IF(B231="","",COUNTIF('Call Log'!$C$2:$C$5000,B231))</f>
        <v>0</v>
      </c>
      <c r="R231" s="21" t="str">
        <f>IF(B231="","",IFERROR(IF(MAXIFS('Call Log'!$A$2:$A$5000,'Call Log'!$C$2:$C$5000,B231)=0,"",MAXIFS('Call Log'!$A$2:$A$5000,'Call Log'!$C$2:$C$5000,B231)),""))</f>
        <v/>
      </c>
      <c r="S231" s="5"/>
      <c r="T231" s="21"/>
      <c r="U231" s="21"/>
      <c r="V231" s="5"/>
      <c r="W231" s="20"/>
      <c r="X231" s="5"/>
      <c r="Y231" s="5"/>
      <c r="Z231" s="5" t="s">
        <v>132</v>
      </c>
      <c r="AA231" s="5" t="s">
        <v>1556</v>
      </c>
    </row>
    <row r="232" ht="15.0" customHeight="1">
      <c r="A232" s="5" t="s">
        <v>1557</v>
      </c>
      <c r="B232" s="5" t="s">
        <v>1558</v>
      </c>
      <c r="C232" s="5" t="s">
        <v>1559</v>
      </c>
      <c r="D232" s="5"/>
      <c r="E232" s="5">
        <v>3.0</v>
      </c>
      <c r="F232" s="20">
        <v>214000.0</v>
      </c>
      <c r="G232" s="20">
        <v>1784000.0</v>
      </c>
      <c r="H232" s="5" t="s">
        <v>41</v>
      </c>
      <c r="I232" s="5" t="s">
        <v>1093</v>
      </c>
      <c r="J232" s="5" t="s">
        <v>114</v>
      </c>
      <c r="K232" s="5" t="s">
        <v>1560</v>
      </c>
      <c r="L232" s="5"/>
      <c r="M232" s="5" t="s">
        <v>8</v>
      </c>
      <c r="N232" s="5" t="s">
        <v>80</v>
      </c>
      <c r="O232" s="5" t="str">
        <f>IF(B232="","",IFERROR(LOOKUP(2,1/('Call Log'!$C$2:$C$5000=B232),'Call Log'!$B$2:$B$5000),""))</f>
        <v/>
      </c>
      <c r="P232" s="5">
        <f>IF(B232="","",COUNTIFS('Call Log'!$C$2:$C$5000,B232,'Call Log'!$A$2:$A$5000,"&gt;="&amp;(TODAY()-WEEKDAY(TODAY(),2)+1)))</f>
        <v>0</v>
      </c>
      <c r="Q232" s="5">
        <f>IF(B232="","",COUNTIF('Call Log'!$C$2:$C$5000,B232))</f>
        <v>0</v>
      </c>
      <c r="R232" s="21" t="str">
        <f>IF(B232="","",IFERROR(IF(MAXIFS('Call Log'!$A$2:$A$5000,'Call Log'!$C$2:$C$5000,B232)=0,"",MAXIFS('Call Log'!$A$2:$A$5000,'Call Log'!$C$2:$C$5000,B232)),""))</f>
        <v/>
      </c>
      <c r="S232" s="5"/>
      <c r="T232" s="21"/>
      <c r="U232" s="21"/>
      <c r="V232" s="5"/>
      <c r="W232" s="20"/>
      <c r="X232" s="5"/>
      <c r="Y232" s="5"/>
      <c r="Z232" s="5" t="s">
        <v>132</v>
      </c>
      <c r="AA232" s="5" t="s">
        <v>1561</v>
      </c>
    </row>
    <row r="233" ht="15.0" customHeight="1">
      <c r="A233" s="5" t="s">
        <v>1562</v>
      </c>
      <c r="B233" s="5" t="s">
        <v>1563</v>
      </c>
      <c r="C233" s="5" t="s">
        <v>1564</v>
      </c>
      <c r="D233" s="5"/>
      <c r="E233" s="5"/>
      <c r="F233" s="20">
        <v>203000.0</v>
      </c>
      <c r="G233" s="20">
        <v>1688000.0</v>
      </c>
      <c r="H233" s="5" t="s">
        <v>40</v>
      </c>
      <c r="I233" s="5" t="s">
        <v>122</v>
      </c>
      <c r="J233" s="5" t="s">
        <v>114</v>
      </c>
      <c r="K233" s="5" t="s">
        <v>1565</v>
      </c>
      <c r="L233" s="5" t="s">
        <v>1566</v>
      </c>
      <c r="M233" s="5" t="s">
        <v>8</v>
      </c>
      <c r="N233" s="5" t="s">
        <v>80</v>
      </c>
      <c r="O233" s="5" t="str">
        <f>IF(B233="","",IFERROR(LOOKUP(2,1/('Call Log'!$C$2:$C$5000=B233),'Call Log'!$B$2:$B$5000),""))</f>
        <v/>
      </c>
      <c r="P233" s="5">
        <f>IF(B233="","",COUNTIFS('Call Log'!$C$2:$C$5000,B233,'Call Log'!$A$2:$A$5000,"&gt;="&amp;(TODAY()-WEEKDAY(TODAY(),2)+1)))</f>
        <v>0</v>
      </c>
      <c r="Q233" s="5">
        <f>IF(B233="","",COUNTIF('Call Log'!$C$2:$C$5000,B233))</f>
        <v>0</v>
      </c>
      <c r="R233" s="21" t="str">
        <f>IF(B233="","",IFERROR(IF(MAXIFS('Call Log'!$A$2:$A$5000,'Call Log'!$C$2:$C$5000,B233)=0,"",MAXIFS('Call Log'!$A$2:$A$5000,'Call Log'!$C$2:$C$5000,B233)),""))</f>
        <v/>
      </c>
      <c r="S233" s="5"/>
      <c r="T233" s="21"/>
      <c r="U233" s="21"/>
      <c r="V233" s="5"/>
      <c r="W233" s="20"/>
      <c r="X233" s="5"/>
      <c r="Y233" s="5"/>
      <c r="Z233" s="5" t="s">
        <v>178</v>
      </c>
      <c r="AA233" s="5" t="s">
        <v>1567</v>
      </c>
    </row>
    <row r="234" ht="15.0" customHeight="1">
      <c r="A234" s="5" t="s">
        <v>1568</v>
      </c>
      <c r="B234" s="5" t="s">
        <v>1569</v>
      </c>
      <c r="C234" s="5" t="s">
        <v>1570</v>
      </c>
      <c r="D234" s="5"/>
      <c r="E234" s="5">
        <v>2.0</v>
      </c>
      <c r="F234" s="20">
        <v>200000.0</v>
      </c>
      <c r="G234" s="20">
        <v>1668000.0</v>
      </c>
      <c r="H234" s="5" t="s">
        <v>43</v>
      </c>
      <c r="I234" s="5" t="s">
        <v>1320</v>
      </c>
      <c r="J234" s="5" t="s">
        <v>114</v>
      </c>
      <c r="K234" s="5" t="s">
        <v>1571</v>
      </c>
      <c r="L234" s="5"/>
      <c r="M234" s="5" t="s">
        <v>8</v>
      </c>
      <c r="N234" s="5" t="s">
        <v>80</v>
      </c>
      <c r="O234" s="5" t="str">
        <f>IF(B234="","",IFERROR(LOOKUP(2,1/('Call Log'!$C$2:$C$5000=B234),'Call Log'!$B$2:$B$5000),""))</f>
        <v/>
      </c>
      <c r="P234" s="5">
        <f>IF(B234="","",COUNTIFS('Call Log'!$C$2:$C$5000,B234,'Call Log'!$A$2:$A$5000,"&gt;="&amp;(TODAY()-WEEKDAY(TODAY(),2)+1)))</f>
        <v>0</v>
      </c>
      <c r="Q234" s="5">
        <f>IF(B234="","",COUNTIF('Call Log'!$C$2:$C$5000,B234))</f>
        <v>0</v>
      </c>
      <c r="R234" s="21" t="str">
        <f>IF(B234="","",IFERROR(IF(MAXIFS('Call Log'!$A$2:$A$5000,'Call Log'!$C$2:$C$5000,B234)=0,"",MAXIFS('Call Log'!$A$2:$A$5000,'Call Log'!$C$2:$C$5000,B234)),""))</f>
        <v/>
      </c>
      <c r="S234" s="5"/>
      <c r="T234" s="21"/>
      <c r="U234" s="21"/>
      <c r="V234" s="5"/>
      <c r="W234" s="20"/>
      <c r="X234" s="5"/>
      <c r="Y234" s="5"/>
      <c r="Z234" s="5" t="s">
        <v>132</v>
      </c>
      <c r="AA234" s="5" t="s">
        <v>1572</v>
      </c>
    </row>
    <row r="235" ht="15.0" customHeight="1">
      <c r="A235" s="5" t="s">
        <v>1573</v>
      </c>
      <c r="B235" s="5" t="s">
        <v>1574</v>
      </c>
      <c r="C235" s="5" t="s">
        <v>1570</v>
      </c>
      <c r="D235" s="5"/>
      <c r="E235" s="5">
        <v>2.0</v>
      </c>
      <c r="F235" s="20">
        <v>200000.0</v>
      </c>
      <c r="G235" s="20">
        <v>1668000.0</v>
      </c>
      <c r="H235" s="5" t="s">
        <v>40</v>
      </c>
      <c r="I235" s="5" t="s">
        <v>1320</v>
      </c>
      <c r="J235" s="5" t="s">
        <v>114</v>
      </c>
      <c r="K235" s="5" t="s">
        <v>1575</v>
      </c>
      <c r="L235" s="5"/>
      <c r="M235" s="5" t="s">
        <v>8</v>
      </c>
      <c r="N235" s="5" t="s">
        <v>80</v>
      </c>
      <c r="O235" s="5" t="str">
        <f>IF(B235="","",IFERROR(LOOKUP(2,1/('Call Log'!$C$2:$C$5000=B235),'Call Log'!$B$2:$B$5000),""))</f>
        <v/>
      </c>
      <c r="P235" s="5">
        <f>IF(B235="","",COUNTIFS('Call Log'!$C$2:$C$5000,B235,'Call Log'!$A$2:$A$5000,"&gt;="&amp;(TODAY()-WEEKDAY(TODAY(),2)+1)))</f>
        <v>0</v>
      </c>
      <c r="Q235" s="5">
        <f>IF(B235="","",COUNTIF('Call Log'!$C$2:$C$5000,B235))</f>
        <v>0</v>
      </c>
      <c r="R235" s="21" t="str">
        <f>IF(B235="","",IFERROR(IF(MAXIFS('Call Log'!$A$2:$A$5000,'Call Log'!$C$2:$C$5000,B235)=0,"",MAXIFS('Call Log'!$A$2:$A$5000,'Call Log'!$C$2:$C$5000,B235)),""))</f>
        <v/>
      </c>
      <c r="S235" s="5"/>
      <c r="T235" s="21"/>
      <c r="U235" s="21"/>
      <c r="V235" s="5"/>
      <c r="W235" s="20"/>
      <c r="X235" s="5"/>
      <c r="Y235" s="5"/>
      <c r="Z235" s="5" t="s">
        <v>132</v>
      </c>
      <c r="AA235" s="5" t="s">
        <v>1572</v>
      </c>
    </row>
    <row r="236" ht="15.0" customHeight="1">
      <c r="A236" s="5" t="s">
        <v>1576</v>
      </c>
      <c r="B236" s="5" t="s">
        <v>1577</v>
      </c>
      <c r="C236" s="5" t="s">
        <v>1578</v>
      </c>
      <c r="D236" s="5"/>
      <c r="E236" s="5">
        <v>9.0</v>
      </c>
      <c r="F236" s="20">
        <v>8000.0</v>
      </c>
      <c r="G236" s="20">
        <v>67000.0</v>
      </c>
      <c r="H236" s="5" t="s">
        <v>41</v>
      </c>
      <c r="I236" s="5" t="s">
        <v>161</v>
      </c>
      <c r="J236" s="5" t="s">
        <v>114</v>
      </c>
      <c r="K236" s="5" t="s">
        <v>1579</v>
      </c>
      <c r="L236" s="5"/>
      <c r="M236" s="5" t="s">
        <v>8</v>
      </c>
      <c r="N236" s="5" t="s">
        <v>80</v>
      </c>
      <c r="O236" s="5" t="str">
        <f>IF(B236="","",IFERROR(LOOKUP(2,1/('Call Log'!$C$2:$C$5000=B236),'Call Log'!$B$2:$B$5000),""))</f>
        <v/>
      </c>
      <c r="P236" s="5">
        <f>IF(B236="","",COUNTIFS('Call Log'!$C$2:$C$5000,B236,'Call Log'!$A$2:$A$5000,"&gt;="&amp;(TODAY()-WEEKDAY(TODAY(),2)+1)))</f>
        <v>0</v>
      </c>
      <c r="Q236" s="5">
        <f>IF(B236="","",COUNTIF('Call Log'!$C$2:$C$5000,B236))</f>
        <v>0</v>
      </c>
      <c r="R236" s="21" t="str">
        <f>IF(B236="","",IFERROR(IF(MAXIFS('Call Log'!$A$2:$A$5000,'Call Log'!$C$2:$C$5000,B236)=0,"",MAXIFS('Call Log'!$A$2:$A$5000,'Call Log'!$C$2:$C$5000,B236)),""))</f>
        <v/>
      </c>
      <c r="S236" s="5"/>
      <c r="T236" s="21"/>
      <c r="U236" s="21"/>
      <c r="V236" s="5"/>
      <c r="W236" s="20"/>
      <c r="X236" s="5"/>
      <c r="Y236" s="5"/>
      <c r="Z236" s="5" t="s">
        <v>132</v>
      </c>
      <c r="AA236" s="5" t="s">
        <v>1580</v>
      </c>
    </row>
    <row r="237" ht="15.0" customHeight="1">
      <c r="A237" s="5" t="s">
        <v>1581</v>
      </c>
      <c r="B237" s="5" t="s">
        <v>1582</v>
      </c>
      <c r="C237" s="5" t="s">
        <v>1583</v>
      </c>
      <c r="D237" s="5"/>
      <c r="E237" s="5">
        <v>650.0</v>
      </c>
      <c r="F237" s="20"/>
      <c r="G237" s="20"/>
      <c r="H237" s="5" t="s">
        <v>40</v>
      </c>
      <c r="I237" s="5" t="s">
        <v>122</v>
      </c>
      <c r="J237" s="5" t="s">
        <v>114</v>
      </c>
      <c r="K237" s="5" t="s">
        <v>1584</v>
      </c>
      <c r="L237" s="5" t="s">
        <v>1585</v>
      </c>
      <c r="M237" s="5" t="s">
        <v>8</v>
      </c>
      <c r="N237" s="5" t="s">
        <v>80</v>
      </c>
      <c r="O237" s="5" t="str">
        <f>IF(B237="","",IFERROR(LOOKUP(2,1/('Call Log'!$C$2:$C$5000=B237),'Call Log'!$B$2:$B$5000),""))</f>
        <v/>
      </c>
      <c r="P237" s="5">
        <f>IF(B237="","",COUNTIFS('Call Log'!$C$2:$C$5000,B237,'Call Log'!$A$2:$A$5000,"&gt;="&amp;(TODAY()-WEEKDAY(TODAY(),2)+1)))</f>
        <v>0</v>
      </c>
      <c r="Q237" s="5">
        <f>IF(B237="","",COUNTIF('Call Log'!$C$2:$C$5000,B237))</f>
        <v>0</v>
      </c>
      <c r="R237" s="21" t="str">
        <f>IF(B237="","",IFERROR(IF(MAXIFS('Call Log'!$A$2:$A$5000,'Call Log'!$C$2:$C$5000,B237)=0,"",MAXIFS('Call Log'!$A$2:$A$5000,'Call Log'!$C$2:$C$5000,B237)),""))</f>
        <v/>
      </c>
      <c r="S237" s="5"/>
      <c r="T237" s="21"/>
      <c r="U237" s="21"/>
      <c r="V237" s="5"/>
      <c r="W237" s="20"/>
      <c r="X237" s="5"/>
      <c r="Y237" s="5"/>
      <c r="Z237" s="5"/>
      <c r="AA237" s="5" t="s">
        <v>1586</v>
      </c>
    </row>
    <row r="238" ht="15.0" customHeight="1">
      <c r="A238" s="5" t="s">
        <v>1587</v>
      </c>
      <c r="B238" s="5" t="s">
        <v>1588</v>
      </c>
      <c r="C238" s="5" t="s">
        <v>1589</v>
      </c>
      <c r="D238" s="5"/>
      <c r="E238" s="5">
        <v>12.0</v>
      </c>
      <c r="F238" s="20"/>
      <c r="G238" s="20"/>
      <c r="H238" s="5" t="s">
        <v>40</v>
      </c>
      <c r="I238" s="5" t="s">
        <v>1590</v>
      </c>
      <c r="J238" s="5" t="s">
        <v>114</v>
      </c>
      <c r="K238" s="5" t="s">
        <v>1591</v>
      </c>
      <c r="L238" s="5"/>
      <c r="M238" s="5" t="s">
        <v>8</v>
      </c>
      <c r="N238" s="5" t="s">
        <v>80</v>
      </c>
      <c r="O238" s="5" t="str">
        <f>IF(B238="","",IFERROR(LOOKUP(2,1/('Call Log'!$C$2:$C$5000=B238),'Call Log'!$B$2:$B$5000),""))</f>
        <v/>
      </c>
      <c r="P238" s="5">
        <f>IF(B238="","",COUNTIFS('Call Log'!$C$2:$C$5000,B238,'Call Log'!$A$2:$A$5000,"&gt;="&amp;(TODAY()-WEEKDAY(TODAY(),2)+1)))</f>
        <v>0</v>
      </c>
      <c r="Q238" s="5">
        <f>IF(B238="","",COUNTIF('Call Log'!$C$2:$C$5000,B238))</f>
        <v>0</v>
      </c>
      <c r="R238" s="21" t="str">
        <f>IF(B238="","",IFERROR(IF(MAXIFS('Call Log'!$A$2:$A$5000,'Call Log'!$C$2:$C$5000,B238)=0,"",MAXIFS('Call Log'!$A$2:$A$5000,'Call Log'!$C$2:$C$5000,B238)),""))</f>
        <v/>
      </c>
      <c r="S238" s="5"/>
      <c r="T238" s="21"/>
      <c r="U238" s="21"/>
      <c r="V238" s="5"/>
      <c r="W238" s="20"/>
      <c r="X238" s="5"/>
      <c r="Y238" s="5"/>
      <c r="Z238" s="5" t="s">
        <v>132</v>
      </c>
      <c r="AA238" s="5" t="s">
        <v>1592</v>
      </c>
    </row>
    <row r="239" ht="15.0" customHeight="1">
      <c r="A239" s="5" t="s">
        <v>1593</v>
      </c>
      <c r="B239" s="5" t="s">
        <v>1594</v>
      </c>
      <c r="C239" s="5" t="s">
        <v>1595</v>
      </c>
      <c r="D239" s="5"/>
      <c r="E239" s="5">
        <v>25.0</v>
      </c>
      <c r="F239" s="20"/>
      <c r="G239" s="20"/>
      <c r="H239" s="5" t="s">
        <v>40</v>
      </c>
      <c r="I239" s="5" t="s">
        <v>161</v>
      </c>
      <c r="J239" s="5" t="s">
        <v>114</v>
      </c>
      <c r="K239" s="5" t="s">
        <v>1596</v>
      </c>
      <c r="L239" s="5"/>
      <c r="M239" s="5" t="s">
        <v>8</v>
      </c>
      <c r="N239" s="5" t="s">
        <v>80</v>
      </c>
      <c r="O239" s="5" t="str">
        <f>IF(B239="","",IFERROR(LOOKUP(2,1/('Call Log'!$C$2:$C$5000=B239),'Call Log'!$B$2:$B$5000),""))</f>
        <v/>
      </c>
      <c r="P239" s="5">
        <f>IF(B239="","",COUNTIFS('Call Log'!$C$2:$C$5000,B239,'Call Log'!$A$2:$A$5000,"&gt;="&amp;(TODAY()-WEEKDAY(TODAY(),2)+1)))</f>
        <v>0</v>
      </c>
      <c r="Q239" s="5">
        <f>IF(B239="","",COUNTIF('Call Log'!$C$2:$C$5000,B239))</f>
        <v>0</v>
      </c>
      <c r="R239" s="21" t="str">
        <f>IF(B239="","",IFERROR(IF(MAXIFS('Call Log'!$A$2:$A$5000,'Call Log'!$C$2:$C$5000,B239)=0,"",MAXIFS('Call Log'!$A$2:$A$5000,'Call Log'!$C$2:$C$5000,B239)),""))</f>
        <v/>
      </c>
      <c r="S239" s="5"/>
      <c r="T239" s="21"/>
      <c r="U239" s="21"/>
      <c r="V239" s="5"/>
      <c r="W239" s="20"/>
      <c r="X239" s="5"/>
      <c r="Y239" s="5"/>
      <c r="Z239" s="5" t="s">
        <v>132</v>
      </c>
      <c r="AA239" s="5" t="s">
        <v>1597</v>
      </c>
    </row>
    <row r="240" ht="15.0" customHeight="1">
      <c r="A240" s="5" t="s">
        <v>1598</v>
      </c>
      <c r="B240" s="5" t="s">
        <v>1599</v>
      </c>
      <c r="C240" s="5" t="s">
        <v>1583</v>
      </c>
      <c r="D240" s="5"/>
      <c r="E240" s="5">
        <v>650.0</v>
      </c>
      <c r="F240" s="20"/>
      <c r="G240" s="20"/>
      <c r="H240" s="5" t="s">
        <v>40</v>
      </c>
      <c r="I240" s="5" t="s">
        <v>146</v>
      </c>
      <c r="J240" s="5" t="s">
        <v>114</v>
      </c>
      <c r="K240" s="5" t="s">
        <v>1600</v>
      </c>
      <c r="L240" s="5" t="s">
        <v>1585</v>
      </c>
      <c r="M240" s="5" t="s">
        <v>8</v>
      </c>
      <c r="N240" s="5" t="s">
        <v>80</v>
      </c>
      <c r="O240" s="5" t="str">
        <f>IF(B240="","",IFERROR(LOOKUP(2,1/('Call Log'!$C$2:$C$5000=B240),'Call Log'!$B$2:$B$5000),""))</f>
        <v/>
      </c>
      <c r="P240" s="5">
        <f>IF(B240="","",COUNTIFS('Call Log'!$C$2:$C$5000,B240,'Call Log'!$A$2:$A$5000,"&gt;="&amp;(TODAY()-WEEKDAY(TODAY(),2)+1)))</f>
        <v>0</v>
      </c>
      <c r="Q240" s="5">
        <f>IF(B240="","",COUNTIF('Call Log'!$C$2:$C$5000,B240))</f>
        <v>0</v>
      </c>
      <c r="R240" s="21" t="str">
        <f>IF(B240="","",IFERROR(IF(MAXIFS('Call Log'!$A$2:$A$5000,'Call Log'!$C$2:$C$5000,B240)=0,"",MAXIFS('Call Log'!$A$2:$A$5000,'Call Log'!$C$2:$C$5000,B240)),""))</f>
        <v/>
      </c>
      <c r="S240" s="5"/>
      <c r="T240" s="21"/>
      <c r="U240" s="21"/>
      <c r="V240" s="5"/>
      <c r="W240" s="20"/>
      <c r="X240" s="5"/>
      <c r="Y240" s="5"/>
      <c r="Z240" s="5"/>
      <c r="AA240" s="5" t="s">
        <v>1586</v>
      </c>
    </row>
    <row r="241" ht="15.0" customHeight="1">
      <c r="A241" s="5" t="s">
        <v>1601</v>
      </c>
      <c r="B241" s="5" t="s">
        <v>1602</v>
      </c>
      <c r="C241" s="5" t="s">
        <v>1603</v>
      </c>
      <c r="D241" s="5"/>
      <c r="E241" s="5">
        <v>7.0</v>
      </c>
      <c r="F241" s="20"/>
      <c r="G241" s="20"/>
      <c r="H241" s="5" t="s">
        <v>41</v>
      </c>
      <c r="I241" s="5" t="s">
        <v>206</v>
      </c>
      <c r="J241" s="5" t="s">
        <v>114</v>
      </c>
      <c r="K241" s="5" t="s">
        <v>1604</v>
      </c>
      <c r="L241" s="5"/>
      <c r="M241" s="5" t="s">
        <v>8</v>
      </c>
      <c r="N241" s="5" t="s">
        <v>80</v>
      </c>
      <c r="O241" s="5" t="str">
        <f>IF(B241="","",IFERROR(LOOKUP(2,1/('Call Log'!$C$2:$C$5000=B241),'Call Log'!$B$2:$B$5000),""))</f>
        <v/>
      </c>
      <c r="P241" s="5">
        <f>IF(B241="","",COUNTIFS('Call Log'!$C$2:$C$5000,B241,'Call Log'!$A$2:$A$5000,"&gt;="&amp;(TODAY()-WEEKDAY(TODAY(),2)+1)))</f>
        <v>0</v>
      </c>
      <c r="Q241" s="5">
        <f>IF(B241="","",COUNTIF('Call Log'!$C$2:$C$5000,B241))</f>
        <v>0</v>
      </c>
      <c r="R241" s="21" t="str">
        <f>IF(B241="","",IFERROR(IF(MAXIFS('Call Log'!$A$2:$A$5000,'Call Log'!$C$2:$C$5000,B241)=0,"",MAXIFS('Call Log'!$A$2:$A$5000,'Call Log'!$C$2:$C$5000,B241)),""))</f>
        <v/>
      </c>
      <c r="S241" s="5"/>
      <c r="T241" s="21"/>
      <c r="U241" s="21"/>
      <c r="V241" s="5"/>
      <c r="W241" s="20"/>
      <c r="X241" s="5"/>
      <c r="Y241" s="5"/>
      <c r="Z241" s="5" t="s">
        <v>132</v>
      </c>
      <c r="AA241" s="5" t="s">
        <v>1605</v>
      </c>
    </row>
    <row r="242" ht="15.0" customHeight="1">
      <c r="A242" s="5" t="s">
        <v>1606</v>
      </c>
      <c r="B242" s="5" t="s">
        <v>1607</v>
      </c>
      <c r="C242" s="5" t="s">
        <v>1608</v>
      </c>
      <c r="D242" s="5"/>
      <c r="E242" s="5">
        <v>5.0</v>
      </c>
      <c r="F242" s="20"/>
      <c r="G242" s="20"/>
      <c r="H242" s="5" t="s">
        <v>41</v>
      </c>
      <c r="I242" s="5" t="s">
        <v>184</v>
      </c>
      <c r="J242" s="5" t="s">
        <v>114</v>
      </c>
      <c r="K242" s="5" t="s">
        <v>1609</v>
      </c>
      <c r="L242" s="5"/>
      <c r="M242" s="5" t="s">
        <v>8</v>
      </c>
      <c r="N242" s="5" t="s">
        <v>80</v>
      </c>
      <c r="O242" s="5" t="str">
        <f>IF(B242="","",IFERROR(LOOKUP(2,1/('Call Log'!$C$2:$C$5000=B242),'Call Log'!$B$2:$B$5000),""))</f>
        <v/>
      </c>
      <c r="P242" s="5">
        <f>IF(B242="","",COUNTIFS('Call Log'!$C$2:$C$5000,B242,'Call Log'!$A$2:$A$5000,"&gt;="&amp;(TODAY()-WEEKDAY(TODAY(),2)+1)))</f>
        <v>0</v>
      </c>
      <c r="Q242" s="5">
        <f>IF(B242="","",COUNTIF('Call Log'!$C$2:$C$5000,B242))</f>
        <v>0</v>
      </c>
      <c r="R242" s="21" t="str">
        <f>IF(B242="","",IFERROR(IF(MAXIFS('Call Log'!$A$2:$A$5000,'Call Log'!$C$2:$C$5000,B242)=0,"",MAXIFS('Call Log'!$A$2:$A$5000,'Call Log'!$C$2:$C$5000,B242)),""))</f>
        <v/>
      </c>
      <c r="S242" s="5"/>
      <c r="T242" s="21"/>
      <c r="U242" s="21"/>
      <c r="V242" s="5"/>
      <c r="W242" s="20"/>
      <c r="X242" s="5"/>
      <c r="Y242" s="5"/>
      <c r="Z242" s="5" t="s">
        <v>178</v>
      </c>
      <c r="AA242" s="5" t="s">
        <v>1610</v>
      </c>
    </row>
    <row r="243" ht="15.0" customHeight="1">
      <c r="A243" s="5" t="s">
        <v>1611</v>
      </c>
      <c r="B243" s="5" t="s">
        <v>1612</v>
      </c>
      <c r="C243" s="5" t="s">
        <v>1613</v>
      </c>
      <c r="D243" s="5"/>
      <c r="E243" s="5">
        <v>16.0</v>
      </c>
      <c r="F243" s="20"/>
      <c r="G243" s="20"/>
      <c r="H243" s="5" t="s">
        <v>40</v>
      </c>
      <c r="I243" s="5" t="s">
        <v>122</v>
      </c>
      <c r="J243" s="5" t="s">
        <v>114</v>
      </c>
      <c r="K243" s="5" t="s">
        <v>1614</v>
      </c>
      <c r="L243" s="5"/>
      <c r="M243" s="5" t="s">
        <v>8</v>
      </c>
      <c r="N243" s="5" t="s">
        <v>80</v>
      </c>
      <c r="O243" s="5" t="str">
        <f>IF(B243="","",IFERROR(LOOKUP(2,1/('Call Log'!$C$2:$C$5000=B243),'Call Log'!$B$2:$B$5000),""))</f>
        <v/>
      </c>
      <c r="P243" s="5">
        <f>IF(B243="","",COUNTIFS('Call Log'!$C$2:$C$5000,B243,'Call Log'!$A$2:$A$5000,"&gt;="&amp;(TODAY()-WEEKDAY(TODAY(),2)+1)))</f>
        <v>0</v>
      </c>
      <c r="Q243" s="5">
        <f>IF(B243="","",COUNTIF('Call Log'!$C$2:$C$5000,B243))</f>
        <v>0</v>
      </c>
      <c r="R243" s="21" t="str">
        <f>IF(B243="","",IFERROR(IF(MAXIFS('Call Log'!$A$2:$A$5000,'Call Log'!$C$2:$C$5000,B243)=0,"",MAXIFS('Call Log'!$A$2:$A$5000,'Call Log'!$C$2:$C$5000,B243)),""))</f>
        <v/>
      </c>
      <c r="S243" s="5"/>
      <c r="T243" s="21"/>
      <c r="U243" s="21"/>
      <c r="V243" s="5"/>
      <c r="W243" s="20"/>
      <c r="X243" s="5"/>
      <c r="Y243" s="5"/>
      <c r="Z243" s="5" t="s">
        <v>132</v>
      </c>
      <c r="AA243" s="5" t="s">
        <v>1615</v>
      </c>
    </row>
    <row r="244" ht="15.0" customHeight="1">
      <c r="A244" s="5" t="s">
        <v>1616</v>
      </c>
      <c r="B244" s="5" t="s">
        <v>1617</v>
      </c>
      <c r="C244" s="5" t="s">
        <v>1618</v>
      </c>
      <c r="D244" s="5"/>
      <c r="E244" s="5">
        <v>9.0</v>
      </c>
      <c r="F244" s="20"/>
      <c r="G244" s="20"/>
      <c r="H244" s="5" t="s">
        <v>40</v>
      </c>
      <c r="I244" s="5" t="s">
        <v>154</v>
      </c>
      <c r="J244" s="5" t="s">
        <v>114</v>
      </c>
      <c r="K244" s="5" t="s">
        <v>1619</v>
      </c>
      <c r="L244" s="5"/>
      <c r="M244" s="5" t="s">
        <v>8</v>
      </c>
      <c r="N244" s="5" t="s">
        <v>80</v>
      </c>
      <c r="O244" s="5" t="str">
        <f>IF(B244="","",IFERROR(LOOKUP(2,1/('Call Log'!$C$2:$C$5000=B244),'Call Log'!$B$2:$B$5000),""))</f>
        <v/>
      </c>
      <c r="P244" s="5">
        <f>IF(B244="","",COUNTIFS('Call Log'!$C$2:$C$5000,B244,'Call Log'!$A$2:$A$5000,"&gt;="&amp;(TODAY()-WEEKDAY(TODAY(),2)+1)))</f>
        <v>0</v>
      </c>
      <c r="Q244" s="5">
        <f>IF(B244="","",COUNTIF('Call Log'!$C$2:$C$5000,B244))</f>
        <v>0</v>
      </c>
      <c r="R244" s="21" t="str">
        <f>IF(B244="","",IFERROR(IF(MAXIFS('Call Log'!$A$2:$A$5000,'Call Log'!$C$2:$C$5000,B244)=0,"",MAXIFS('Call Log'!$A$2:$A$5000,'Call Log'!$C$2:$C$5000,B244)),""))</f>
        <v/>
      </c>
      <c r="S244" s="5"/>
      <c r="T244" s="21"/>
      <c r="U244" s="21"/>
      <c r="V244" s="5"/>
      <c r="W244" s="20"/>
      <c r="X244" s="5"/>
      <c r="Y244" s="5"/>
      <c r="Z244" s="5" t="s">
        <v>132</v>
      </c>
      <c r="AA244" s="5" t="s">
        <v>1620</v>
      </c>
    </row>
    <row r="245" ht="15.0" customHeight="1">
      <c r="A245" s="5" t="s">
        <v>1621</v>
      </c>
      <c r="B245" s="5" t="s">
        <v>1622</v>
      </c>
      <c r="C245" s="5" t="s">
        <v>1623</v>
      </c>
      <c r="D245" s="5"/>
      <c r="E245" s="5">
        <v>20.0</v>
      </c>
      <c r="F245" s="20"/>
      <c r="G245" s="20"/>
      <c r="H245" s="5" t="s">
        <v>43</v>
      </c>
      <c r="I245" s="5" t="s">
        <v>246</v>
      </c>
      <c r="J245" s="5" t="s">
        <v>114</v>
      </c>
      <c r="K245" s="5" t="s">
        <v>1624</v>
      </c>
      <c r="L245" s="5" t="s">
        <v>1625</v>
      </c>
      <c r="M245" s="5" t="s">
        <v>8</v>
      </c>
      <c r="N245" s="5" t="s">
        <v>80</v>
      </c>
      <c r="O245" s="5" t="str">
        <f>IF(B245="","",IFERROR(LOOKUP(2,1/('Call Log'!$C$2:$C$5000=B245),'Call Log'!$B$2:$B$5000),""))</f>
        <v/>
      </c>
      <c r="P245" s="5">
        <f>IF(B245="","",COUNTIFS('Call Log'!$C$2:$C$5000,B245,'Call Log'!$A$2:$A$5000,"&gt;="&amp;(TODAY()-WEEKDAY(TODAY(),2)+1)))</f>
        <v>0</v>
      </c>
      <c r="Q245" s="5">
        <f>IF(B245="","",COUNTIF('Call Log'!$C$2:$C$5000,B245))</f>
        <v>0</v>
      </c>
      <c r="R245" s="21" t="str">
        <f>IF(B245="","",IFERROR(IF(MAXIFS('Call Log'!$A$2:$A$5000,'Call Log'!$C$2:$C$5000,B245)=0,"",MAXIFS('Call Log'!$A$2:$A$5000,'Call Log'!$C$2:$C$5000,B245)),""))</f>
        <v/>
      </c>
      <c r="S245" s="5"/>
      <c r="T245" s="21"/>
      <c r="U245" s="21"/>
      <c r="V245" s="5"/>
      <c r="W245" s="20"/>
      <c r="X245" s="5"/>
      <c r="Y245" s="5"/>
      <c r="Z245" s="5" t="s">
        <v>132</v>
      </c>
      <c r="AA245" s="5" t="s">
        <v>1626</v>
      </c>
    </row>
    <row r="246" ht="15.0" customHeight="1">
      <c r="A246" s="5" t="s">
        <v>1627</v>
      </c>
      <c r="B246" s="5" t="s">
        <v>1628</v>
      </c>
      <c r="C246" s="5" t="s">
        <v>1629</v>
      </c>
      <c r="D246" s="5"/>
      <c r="E246" s="5">
        <v>30.0</v>
      </c>
      <c r="F246" s="20"/>
      <c r="G246" s="20"/>
      <c r="H246" s="5" t="s">
        <v>40</v>
      </c>
      <c r="I246" s="5" t="s">
        <v>122</v>
      </c>
      <c r="J246" s="5" t="s">
        <v>114</v>
      </c>
      <c r="K246" s="5" t="s">
        <v>1630</v>
      </c>
      <c r="L246" s="5"/>
      <c r="M246" s="5" t="s">
        <v>8</v>
      </c>
      <c r="N246" s="5" t="s">
        <v>80</v>
      </c>
      <c r="O246" s="5" t="str">
        <f>IF(B246="","",IFERROR(LOOKUP(2,1/('Call Log'!$C$2:$C$5000=B246),'Call Log'!$B$2:$B$5000),""))</f>
        <v/>
      </c>
      <c r="P246" s="5">
        <f>IF(B246="","",COUNTIFS('Call Log'!$C$2:$C$5000,B246,'Call Log'!$A$2:$A$5000,"&gt;="&amp;(TODAY()-WEEKDAY(TODAY(),2)+1)))</f>
        <v>0</v>
      </c>
      <c r="Q246" s="5">
        <f>IF(B246="","",COUNTIF('Call Log'!$C$2:$C$5000,B246))</f>
        <v>0</v>
      </c>
      <c r="R246" s="21" t="str">
        <f>IF(B246="","",IFERROR(IF(MAXIFS('Call Log'!$A$2:$A$5000,'Call Log'!$C$2:$C$5000,B246)=0,"",MAXIFS('Call Log'!$A$2:$A$5000,'Call Log'!$C$2:$C$5000,B246)),""))</f>
        <v/>
      </c>
      <c r="S246" s="5"/>
      <c r="T246" s="21"/>
      <c r="U246" s="21"/>
      <c r="V246" s="5"/>
      <c r="W246" s="20"/>
      <c r="X246" s="5"/>
      <c r="Y246" s="5"/>
      <c r="Z246" s="5" t="s">
        <v>132</v>
      </c>
      <c r="AA246" s="5" t="s">
        <v>1631</v>
      </c>
    </row>
    <row r="247" ht="15.0" customHeight="1">
      <c r="A247" s="5" t="s">
        <v>1632</v>
      </c>
      <c r="B247" s="5" t="s">
        <v>1633</v>
      </c>
      <c r="C247" s="5" t="s">
        <v>1634</v>
      </c>
      <c r="D247" s="5"/>
      <c r="E247" s="5">
        <v>16.0</v>
      </c>
      <c r="F247" s="20"/>
      <c r="G247" s="20"/>
      <c r="H247" s="5" t="s">
        <v>41</v>
      </c>
      <c r="I247" s="5" t="s">
        <v>154</v>
      </c>
      <c r="J247" s="5" t="s">
        <v>114</v>
      </c>
      <c r="K247" s="5" t="s">
        <v>1635</v>
      </c>
      <c r="L247" s="5"/>
      <c r="M247" s="5" t="s">
        <v>8</v>
      </c>
      <c r="N247" s="5" t="s">
        <v>80</v>
      </c>
      <c r="O247" s="5" t="str">
        <f>IF(B247="","",IFERROR(LOOKUP(2,1/('Call Log'!$C$2:$C$5000=B247),'Call Log'!$B$2:$B$5000),""))</f>
        <v/>
      </c>
      <c r="P247" s="5">
        <f>IF(B247="","",COUNTIFS('Call Log'!$C$2:$C$5000,B247,'Call Log'!$A$2:$A$5000,"&gt;="&amp;(TODAY()-WEEKDAY(TODAY(),2)+1)))</f>
        <v>0</v>
      </c>
      <c r="Q247" s="5">
        <f>IF(B247="","",COUNTIF('Call Log'!$C$2:$C$5000,B247))</f>
        <v>0</v>
      </c>
      <c r="R247" s="21" t="str">
        <f>IF(B247="","",IFERROR(IF(MAXIFS('Call Log'!$A$2:$A$5000,'Call Log'!$C$2:$C$5000,B247)=0,"",MAXIFS('Call Log'!$A$2:$A$5000,'Call Log'!$C$2:$C$5000,B247)),""))</f>
        <v/>
      </c>
      <c r="S247" s="5"/>
      <c r="T247" s="21"/>
      <c r="U247" s="21"/>
      <c r="V247" s="5"/>
      <c r="W247" s="20"/>
      <c r="X247" s="5"/>
      <c r="Y247" s="5"/>
      <c r="Z247" s="5" t="s">
        <v>132</v>
      </c>
      <c r="AA247" s="5" t="s">
        <v>1636</v>
      </c>
    </row>
    <row r="248" ht="15.0" customHeight="1">
      <c r="A248" s="5" t="s">
        <v>1637</v>
      </c>
      <c r="B248" s="5" t="s">
        <v>1638</v>
      </c>
      <c r="C248" s="5" t="s">
        <v>1639</v>
      </c>
      <c r="D248" s="5"/>
      <c r="E248" s="5">
        <v>10.0</v>
      </c>
      <c r="F248" s="20"/>
      <c r="G248" s="20"/>
      <c r="H248" s="5" t="s">
        <v>40</v>
      </c>
      <c r="I248" s="5" t="s">
        <v>154</v>
      </c>
      <c r="J248" s="5" t="s">
        <v>114</v>
      </c>
      <c r="K248" s="5" t="s">
        <v>1640</v>
      </c>
      <c r="L248" s="5" t="s">
        <v>1641</v>
      </c>
      <c r="M248" s="5" t="s">
        <v>8</v>
      </c>
      <c r="N248" s="5" t="s">
        <v>80</v>
      </c>
      <c r="O248" s="5" t="str">
        <f>IF(B248="","",IFERROR(LOOKUP(2,1/('Call Log'!$C$2:$C$5000=B248),'Call Log'!$B$2:$B$5000),""))</f>
        <v/>
      </c>
      <c r="P248" s="5">
        <f>IF(B248="","",COUNTIFS('Call Log'!$C$2:$C$5000,B248,'Call Log'!$A$2:$A$5000,"&gt;="&amp;(TODAY()-WEEKDAY(TODAY(),2)+1)))</f>
        <v>0</v>
      </c>
      <c r="Q248" s="5">
        <f>IF(B248="","",COUNTIF('Call Log'!$C$2:$C$5000,B248))</f>
        <v>0</v>
      </c>
      <c r="R248" s="21" t="str">
        <f>IF(B248="","",IFERROR(IF(MAXIFS('Call Log'!$A$2:$A$5000,'Call Log'!$C$2:$C$5000,B248)=0,"",MAXIFS('Call Log'!$A$2:$A$5000,'Call Log'!$C$2:$C$5000,B248)),""))</f>
        <v/>
      </c>
      <c r="S248" s="5"/>
      <c r="T248" s="21"/>
      <c r="U248" s="21"/>
      <c r="V248" s="5"/>
      <c r="W248" s="20"/>
      <c r="X248" s="5"/>
      <c r="Y248" s="5"/>
      <c r="Z248" s="5" t="s">
        <v>178</v>
      </c>
      <c r="AA248" s="5" t="s">
        <v>1642</v>
      </c>
    </row>
    <row r="249" ht="15.0" customHeight="1">
      <c r="A249" s="5" t="s">
        <v>1643</v>
      </c>
      <c r="B249" s="5" t="s">
        <v>1644</v>
      </c>
      <c r="C249" s="5" t="s">
        <v>1645</v>
      </c>
      <c r="D249" s="5"/>
      <c r="E249" s="5">
        <v>5.0</v>
      </c>
      <c r="F249" s="20"/>
      <c r="G249" s="20"/>
      <c r="H249" s="5" t="s">
        <v>43</v>
      </c>
      <c r="I249" s="5" t="s">
        <v>904</v>
      </c>
      <c r="J249" s="5" t="s">
        <v>114</v>
      </c>
      <c r="K249" s="5" t="s">
        <v>1646</v>
      </c>
      <c r="L249" s="5" t="s">
        <v>1647</v>
      </c>
      <c r="M249" s="5" t="s">
        <v>8</v>
      </c>
      <c r="N249" s="5" t="s">
        <v>80</v>
      </c>
      <c r="O249" s="5" t="str">
        <f>IF(B249="","",IFERROR(LOOKUP(2,1/('Call Log'!$C$2:$C$5000=B249),'Call Log'!$B$2:$B$5000),""))</f>
        <v/>
      </c>
      <c r="P249" s="5">
        <f>IF(B249="","",COUNTIFS('Call Log'!$C$2:$C$5000,B249,'Call Log'!$A$2:$A$5000,"&gt;="&amp;(TODAY()-WEEKDAY(TODAY(),2)+1)))</f>
        <v>0</v>
      </c>
      <c r="Q249" s="5">
        <f>IF(B249="","",COUNTIF('Call Log'!$C$2:$C$5000,B249))</f>
        <v>0</v>
      </c>
      <c r="R249" s="21" t="str">
        <f>IF(B249="","",IFERROR(IF(MAXIFS('Call Log'!$A$2:$A$5000,'Call Log'!$C$2:$C$5000,B249)=0,"",MAXIFS('Call Log'!$A$2:$A$5000,'Call Log'!$C$2:$C$5000,B249)),""))</f>
        <v/>
      </c>
      <c r="S249" s="5"/>
      <c r="T249" s="21"/>
      <c r="U249" s="21"/>
      <c r="V249" s="5"/>
      <c r="W249" s="20"/>
      <c r="X249" s="5"/>
      <c r="Y249" s="5"/>
      <c r="Z249" s="5" t="s">
        <v>132</v>
      </c>
      <c r="AA249" s="5" t="s">
        <v>1648</v>
      </c>
    </row>
    <row r="250" ht="15.0" customHeight="1">
      <c r="A250" s="5" t="s">
        <v>1649</v>
      </c>
      <c r="B250" s="5" t="s">
        <v>1650</v>
      </c>
      <c r="C250" s="5" t="s">
        <v>1651</v>
      </c>
      <c r="D250" s="5"/>
      <c r="E250" s="5"/>
      <c r="F250" s="20"/>
      <c r="G250" s="20"/>
      <c r="H250" s="5" t="s">
        <v>41</v>
      </c>
      <c r="I250" s="5" t="s">
        <v>175</v>
      </c>
      <c r="J250" s="5" t="s">
        <v>114</v>
      </c>
      <c r="K250" s="5" t="s">
        <v>1652</v>
      </c>
      <c r="L250" s="5" t="s">
        <v>1653</v>
      </c>
      <c r="M250" s="5" t="s">
        <v>8</v>
      </c>
      <c r="N250" s="5" t="s">
        <v>80</v>
      </c>
      <c r="O250" s="5" t="str">
        <f>IF(B250="","",IFERROR(LOOKUP(2,1/('Call Log'!$C$2:$C$5000=B250),'Call Log'!$B$2:$B$5000),""))</f>
        <v/>
      </c>
      <c r="P250" s="5">
        <f>IF(B250="","",COUNTIFS('Call Log'!$C$2:$C$5000,B250,'Call Log'!$A$2:$A$5000,"&gt;="&amp;(TODAY()-WEEKDAY(TODAY(),2)+1)))</f>
        <v>0</v>
      </c>
      <c r="Q250" s="5">
        <f>IF(B250="","",COUNTIF('Call Log'!$C$2:$C$5000,B250))</f>
        <v>0</v>
      </c>
      <c r="R250" s="21" t="str">
        <f>IF(B250="","",IFERROR(IF(MAXIFS('Call Log'!$A$2:$A$5000,'Call Log'!$C$2:$C$5000,B250)=0,"",MAXIFS('Call Log'!$A$2:$A$5000,'Call Log'!$C$2:$C$5000,B250)),""))</f>
        <v/>
      </c>
      <c r="S250" s="5"/>
      <c r="T250" s="21"/>
      <c r="U250" s="21"/>
      <c r="V250" s="5"/>
      <c r="W250" s="20"/>
      <c r="X250" s="5"/>
      <c r="Y250" s="5"/>
      <c r="Z250" s="5" t="s">
        <v>132</v>
      </c>
      <c r="AA250" s="5" t="s">
        <v>1654</v>
      </c>
    </row>
    <row r="251" ht="15.0" customHeight="1">
      <c r="A251" s="5" t="s">
        <v>1655</v>
      </c>
      <c r="B251" s="5" t="s">
        <v>1656</v>
      </c>
      <c r="C251" s="5" t="s">
        <v>1618</v>
      </c>
      <c r="D251" s="5"/>
      <c r="E251" s="5">
        <v>2.0</v>
      </c>
      <c r="F251" s="20"/>
      <c r="G251" s="20"/>
      <c r="H251" s="5" t="s">
        <v>40</v>
      </c>
      <c r="I251" s="5" t="s">
        <v>175</v>
      </c>
      <c r="J251" s="5" t="s">
        <v>114</v>
      </c>
      <c r="K251" s="5" t="s">
        <v>1657</v>
      </c>
      <c r="L251" s="5"/>
      <c r="M251" s="5" t="s">
        <v>8</v>
      </c>
      <c r="N251" s="5" t="s">
        <v>80</v>
      </c>
      <c r="O251" s="5" t="str">
        <f>IF(B251="","",IFERROR(LOOKUP(2,1/('Call Log'!$C$2:$C$5000=B251),'Call Log'!$B$2:$B$5000),""))</f>
        <v/>
      </c>
      <c r="P251" s="5">
        <f>IF(B251="","",COUNTIFS('Call Log'!$C$2:$C$5000,B251,'Call Log'!$A$2:$A$5000,"&gt;="&amp;(TODAY()-WEEKDAY(TODAY(),2)+1)))</f>
        <v>0</v>
      </c>
      <c r="Q251" s="5">
        <f>IF(B251="","",COUNTIF('Call Log'!$C$2:$C$5000,B251))</f>
        <v>0</v>
      </c>
      <c r="R251" s="21" t="str">
        <f>IF(B251="","",IFERROR(IF(MAXIFS('Call Log'!$A$2:$A$5000,'Call Log'!$C$2:$C$5000,B251)=0,"",MAXIFS('Call Log'!$A$2:$A$5000,'Call Log'!$C$2:$C$5000,B251)),""))</f>
        <v/>
      </c>
      <c r="S251" s="5"/>
      <c r="T251" s="21"/>
      <c r="U251" s="21"/>
      <c r="V251" s="5"/>
      <c r="W251" s="20"/>
      <c r="X251" s="5"/>
      <c r="Y251" s="5"/>
      <c r="Z251" s="5" t="s">
        <v>132</v>
      </c>
      <c r="AA251" s="5" t="s">
        <v>1658</v>
      </c>
    </row>
    <row r="252" ht="15.0" customHeight="1">
      <c r="A252" s="5" t="s">
        <v>1659</v>
      </c>
      <c r="B252" s="5" t="s">
        <v>1660</v>
      </c>
      <c r="C252" s="5" t="s">
        <v>1661</v>
      </c>
      <c r="D252" s="5"/>
      <c r="E252" s="5"/>
      <c r="F252" s="20"/>
      <c r="G252" s="20"/>
      <c r="H252" s="5" t="s">
        <v>40</v>
      </c>
      <c r="I252" s="5" t="s">
        <v>547</v>
      </c>
      <c r="J252" s="5" t="s">
        <v>114</v>
      </c>
      <c r="K252" s="5" t="s">
        <v>1662</v>
      </c>
      <c r="L252" s="5" t="s">
        <v>1663</v>
      </c>
      <c r="M252" s="5" t="s">
        <v>8</v>
      </c>
      <c r="N252" s="5" t="s">
        <v>80</v>
      </c>
      <c r="O252" s="5" t="str">
        <f>IF(B252="","",IFERROR(LOOKUP(2,1/('Call Log'!$C$2:$C$5000=B252),'Call Log'!$B$2:$B$5000),""))</f>
        <v/>
      </c>
      <c r="P252" s="5">
        <f>IF(B252="","",COUNTIFS('Call Log'!$C$2:$C$5000,B252,'Call Log'!$A$2:$A$5000,"&gt;="&amp;(TODAY()-WEEKDAY(TODAY(),2)+1)))</f>
        <v>0</v>
      </c>
      <c r="Q252" s="5">
        <f>IF(B252="","",COUNTIF('Call Log'!$C$2:$C$5000,B252))</f>
        <v>0</v>
      </c>
      <c r="R252" s="21" t="str">
        <f>IF(B252="","",IFERROR(IF(MAXIFS('Call Log'!$A$2:$A$5000,'Call Log'!$C$2:$C$5000,B252)=0,"",MAXIFS('Call Log'!$A$2:$A$5000,'Call Log'!$C$2:$C$5000,B252)),""))</f>
        <v/>
      </c>
      <c r="S252" s="5"/>
      <c r="T252" s="21"/>
      <c r="U252" s="21"/>
      <c r="V252" s="5"/>
      <c r="W252" s="20"/>
      <c r="X252" s="5"/>
      <c r="Y252" s="5"/>
      <c r="Z252" s="5" t="s">
        <v>132</v>
      </c>
      <c r="AA252" s="5" t="s">
        <v>1664</v>
      </c>
    </row>
    <row r="253" ht="15.0" customHeight="1">
      <c r="A253" s="5" t="s">
        <v>1665</v>
      </c>
      <c r="B253" s="5" t="s">
        <v>1666</v>
      </c>
      <c r="C253" s="5" t="s">
        <v>1667</v>
      </c>
      <c r="D253" s="5"/>
      <c r="E253" s="5">
        <v>3.0</v>
      </c>
      <c r="F253" s="20"/>
      <c r="G253" s="20"/>
      <c r="H253" s="5" t="s">
        <v>41</v>
      </c>
      <c r="I253" s="5" t="s">
        <v>122</v>
      </c>
      <c r="J253" s="5" t="s">
        <v>114</v>
      </c>
      <c r="K253" s="5" t="s">
        <v>1668</v>
      </c>
      <c r="L253" s="5"/>
      <c r="M253" s="5" t="s">
        <v>8</v>
      </c>
      <c r="N253" s="5" t="s">
        <v>80</v>
      </c>
      <c r="O253" s="5" t="str">
        <f>IF(B253="","",IFERROR(LOOKUP(2,1/('Call Log'!$C$2:$C$5000=B253),'Call Log'!$B$2:$B$5000),""))</f>
        <v/>
      </c>
      <c r="P253" s="5">
        <f>IF(B253="","",COUNTIFS('Call Log'!$C$2:$C$5000,B253,'Call Log'!$A$2:$A$5000,"&gt;="&amp;(TODAY()-WEEKDAY(TODAY(),2)+1)))</f>
        <v>0</v>
      </c>
      <c r="Q253" s="5">
        <f>IF(B253="","",COUNTIF('Call Log'!$C$2:$C$5000,B253))</f>
        <v>0</v>
      </c>
      <c r="R253" s="21" t="str">
        <f>IF(B253="","",IFERROR(IF(MAXIFS('Call Log'!$A$2:$A$5000,'Call Log'!$C$2:$C$5000,B253)=0,"",MAXIFS('Call Log'!$A$2:$A$5000,'Call Log'!$C$2:$C$5000,B253)),""))</f>
        <v/>
      </c>
      <c r="S253" s="5"/>
      <c r="T253" s="21"/>
      <c r="U253" s="21"/>
      <c r="V253" s="5"/>
      <c r="W253" s="20"/>
      <c r="X253" s="5"/>
      <c r="Y253" s="5"/>
      <c r="Z253" s="5" t="s">
        <v>178</v>
      </c>
      <c r="AA253" s="5" t="s">
        <v>1669</v>
      </c>
    </row>
    <row r="254" ht="15.0" customHeight="1">
      <c r="A254" s="5" t="s">
        <v>1670</v>
      </c>
      <c r="B254" s="5" t="s">
        <v>1671</v>
      </c>
      <c r="C254" s="5" t="s">
        <v>1672</v>
      </c>
      <c r="D254" s="5"/>
      <c r="E254" s="5">
        <v>4.0</v>
      </c>
      <c r="F254" s="20"/>
      <c r="G254" s="20"/>
      <c r="H254" s="5" t="s">
        <v>40</v>
      </c>
      <c r="I254" s="5" t="s">
        <v>154</v>
      </c>
      <c r="J254" s="5" t="s">
        <v>114</v>
      </c>
      <c r="K254" s="5" t="s">
        <v>1673</v>
      </c>
      <c r="L254" s="5"/>
      <c r="M254" s="5" t="s">
        <v>8</v>
      </c>
      <c r="N254" s="5" t="s">
        <v>80</v>
      </c>
      <c r="O254" s="5" t="str">
        <f>IF(B254="","",IFERROR(LOOKUP(2,1/('Call Log'!$C$2:$C$5000=B254),'Call Log'!$B$2:$B$5000),""))</f>
        <v/>
      </c>
      <c r="P254" s="5">
        <f>IF(B254="","",COUNTIFS('Call Log'!$C$2:$C$5000,B254,'Call Log'!$A$2:$A$5000,"&gt;="&amp;(TODAY()-WEEKDAY(TODAY(),2)+1)))</f>
        <v>0</v>
      </c>
      <c r="Q254" s="5">
        <f>IF(B254="","",COUNTIF('Call Log'!$C$2:$C$5000,B254))</f>
        <v>0</v>
      </c>
      <c r="R254" s="21" t="str">
        <f>IF(B254="","",IFERROR(IF(MAXIFS('Call Log'!$A$2:$A$5000,'Call Log'!$C$2:$C$5000,B254)=0,"",MAXIFS('Call Log'!$A$2:$A$5000,'Call Log'!$C$2:$C$5000,B254)),""))</f>
        <v/>
      </c>
      <c r="S254" s="5"/>
      <c r="T254" s="21"/>
      <c r="U254" s="21"/>
      <c r="V254" s="5"/>
      <c r="W254" s="20"/>
      <c r="X254" s="5"/>
      <c r="Y254" s="5"/>
      <c r="Z254" s="5"/>
      <c r="AA254" s="5" t="s">
        <v>724</v>
      </c>
    </row>
    <row r="255" ht="15.0" customHeight="1">
      <c r="A255" s="5" t="s">
        <v>1674</v>
      </c>
      <c r="B255" s="5" t="s">
        <v>1675</v>
      </c>
      <c r="C255" s="5" t="s">
        <v>1676</v>
      </c>
      <c r="D255" s="5"/>
      <c r="E255" s="5">
        <v>8.0</v>
      </c>
      <c r="F255" s="20"/>
      <c r="G255" s="20"/>
      <c r="H255" s="5" t="s">
        <v>41</v>
      </c>
      <c r="I255" s="5" t="s">
        <v>122</v>
      </c>
      <c r="J255" s="5" t="s">
        <v>114</v>
      </c>
      <c r="K255" s="5" t="s">
        <v>1677</v>
      </c>
      <c r="L255" s="5" t="s">
        <v>1678</v>
      </c>
      <c r="M255" s="5" t="s">
        <v>8</v>
      </c>
      <c r="N255" s="5" t="s">
        <v>80</v>
      </c>
      <c r="O255" s="5" t="str">
        <f>IF(B255="","",IFERROR(LOOKUP(2,1/('Call Log'!$C$2:$C$5000=B255),'Call Log'!$B$2:$B$5000),""))</f>
        <v/>
      </c>
      <c r="P255" s="5">
        <f>IF(B255="","",COUNTIFS('Call Log'!$C$2:$C$5000,B255,'Call Log'!$A$2:$A$5000,"&gt;="&amp;(TODAY()-WEEKDAY(TODAY(),2)+1)))</f>
        <v>0</v>
      </c>
      <c r="Q255" s="5">
        <f>IF(B255="","",COUNTIF('Call Log'!$C$2:$C$5000,B255))</f>
        <v>0</v>
      </c>
      <c r="R255" s="21" t="str">
        <f>IF(B255="","",IFERROR(IF(MAXIFS('Call Log'!$A$2:$A$5000,'Call Log'!$C$2:$C$5000,B255)=0,"",MAXIFS('Call Log'!$A$2:$A$5000,'Call Log'!$C$2:$C$5000,B255)),""))</f>
        <v/>
      </c>
      <c r="S255" s="5"/>
      <c r="T255" s="21"/>
      <c r="U255" s="21"/>
      <c r="V255" s="5"/>
      <c r="W255" s="20"/>
      <c r="X255" s="5"/>
      <c r="Y255" s="5"/>
      <c r="Z255" s="5" t="s">
        <v>178</v>
      </c>
      <c r="AA255" s="5" t="s">
        <v>1679</v>
      </c>
    </row>
    <row r="256" ht="15.0" customHeight="1">
      <c r="A256" s="5" t="s">
        <v>1680</v>
      </c>
      <c r="B256" s="5" t="s">
        <v>1681</v>
      </c>
      <c r="C256" s="5" t="s">
        <v>1682</v>
      </c>
      <c r="D256" s="5"/>
      <c r="E256" s="5">
        <v>1.0</v>
      </c>
      <c r="F256" s="20"/>
      <c r="G256" s="20"/>
      <c r="H256" s="5" t="s">
        <v>40</v>
      </c>
      <c r="I256" s="5" t="s">
        <v>1313</v>
      </c>
      <c r="J256" s="5" t="s">
        <v>114</v>
      </c>
      <c r="K256" s="5" t="s">
        <v>1683</v>
      </c>
      <c r="L256" s="5"/>
      <c r="M256" s="5" t="s">
        <v>8</v>
      </c>
      <c r="N256" s="5" t="s">
        <v>80</v>
      </c>
      <c r="O256" s="5" t="str">
        <f>IF(B256="","",IFERROR(LOOKUP(2,1/('Call Log'!$C$2:$C$5000=B256),'Call Log'!$B$2:$B$5000),""))</f>
        <v/>
      </c>
      <c r="P256" s="5">
        <f>IF(B256="","",COUNTIFS('Call Log'!$C$2:$C$5000,B256,'Call Log'!$A$2:$A$5000,"&gt;="&amp;(TODAY()-WEEKDAY(TODAY(),2)+1)))</f>
        <v>0</v>
      </c>
      <c r="Q256" s="5">
        <f>IF(B256="","",COUNTIF('Call Log'!$C$2:$C$5000,B256))</f>
        <v>0</v>
      </c>
      <c r="R256" s="21" t="str">
        <f>IF(B256="","",IFERROR(IF(MAXIFS('Call Log'!$A$2:$A$5000,'Call Log'!$C$2:$C$5000,B256)=0,"",MAXIFS('Call Log'!$A$2:$A$5000,'Call Log'!$C$2:$C$5000,B256)),""))</f>
        <v/>
      </c>
      <c r="S256" s="5"/>
      <c r="T256" s="21"/>
      <c r="U256" s="21"/>
      <c r="V256" s="5"/>
      <c r="W256" s="20"/>
      <c r="X256" s="5"/>
      <c r="Y256" s="5"/>
      <c r="Z256" s="5" t="s">
        <v>132</v>
      </c>
      <c r="AA256" s="5" t="s">
        <v>1684</v>
      </c>
    </row>
    <row r="257" ht="15.0" customHeight="1">
      <c r="A257" s="5" t="s">
        <v>1685</v>
      </c>
      <c r="B257" s="5" t="s">
        <v>1686</v>
      </c>
      <c r="C257" s="5" t="s">
        <v>1687</v>
      </c>
      <c r="D257" s="5"/>
      <c r="E257" s="5"/>
      <c r="F257" s="20"/>
      <c r="G257" s="20"/>
      <c r="H257" s="5" t="s">
        <v>41</v>
      </c>
      <c r="I257" s="5" t="s">
        <v>422</v>
      </c>
      <c r="J257" s="5" t="s">
        <v>114</v>
      </c>
      <c r="K257" s="5" t="s">
        <v>1688</v>
      </c>
      <c r="L257" s="5"/>
      <c r="M257" s="5" t="s">
        <v>8</v>
      </c>
      <c r="N257" s="5" t="s">
        <v>80</v>
      </c>
      <c r="O257" s="5" t="str">
        <f>IF(B257="","",IFERROR(LOOKUP(2,1/('Call Log'!$C$2:$C$5000=B257),'Call Log'!$B$2:$B$5000),""))</f>
        <v/>
      </c>
      <c r="P257" s="5">
        <f>IF(B257="","",COUNTIFS('Call Log'!$C$2:$C$5000,B257,'Call Log'!$A$2:$A$5000,"&gt;="&amp;(TODAY()-WEEKDAY(TODAY(),2)+1)))</f>
        <v>0</v>
      </c>
      <c r="Q257" s="5">
        <f>IF(B257="","",COUNTIF('Call Log'!$C$2:$C$5000,B257))</f>
        <v>0</v>
      </c>
      <c r="R257" s="21" t="str">
        <f>IF(B257="","",IFERROR(IF(MAXIFS('Call Log'!$A$2:$A$5000,'Call Log'!$C$2:$C$5000,B257)=0,"",MAXIFS('Call Log'!$A$2:$A$5000,'Call Log'!$C$2:$C$5000,B257)),""))</f>
        <v/>
      </c>
      <c r="S257" s="5"/>
      <c r="T257" s="21"/>
      <c r="U257" s="21"/>
      <c r="V257" s="5"/>
      <c r="W257" s="20"/>
      <c r="X257" s="5"/>
      <c r="Y257" s="5"/>
      <c r="Z257" s="5" t="s">
        <v>132</v>
      </c>
      <c r="AA257" s="5" t="s">
        <v>1689</v>
      </c>
    </row>
    <row r="258" ht="15.0" customHeight="1">
      <c r="A258" s="5" t="s">
        <v>1690</v>
      </c>
      <c r="B258" s="5" t="s">
        <v>1691</v>
      </c>
      <c r="C258" s="5" t="s">
        <v>1692</v>
      </c>
      <c r="D258" s="5"/>
      <c r="E258" s="5">
        <v>5.0</v>
      </c>
      <c r="F258" s="20"/>
      <c r="G258" s="20"/>
      <c r="H258" s="5" t="s">
        <v>40</v>
      </c>
      <c r="I258" s="5" t="s">
        <v>865</v>
      </c>
      <c r="J258" s="5" t="s">
        <v>114</v>
      </c>
      <c r="K258" s="5" t="s">
        <v>1693</v>
      </c>
      <c r="L258" s="5"/>
      <c r="M258" s="5" t="s">
        <v>8</v>
      </c>
      <c r="N258" s="5" t="s">
        <v>80</v>
      </c>
      <c r="O258" s="5" t="str">
        <f>IF(B258="","",IFERROR(LOOKUP(2,1/('Call Log'!$C$2:$C$5000=B258),'Call Log'!$B$2:$B$5000),""))</f>
        <v/>
      </c>
      <c r="P258" s="5">
        <f>IF(B258="","",COUNTIFS('Call Log'!$C$2:$C$5000,B258,'Call Log'!$A$2:$A$5000,"&gt;="&amp;(TODAY()-WEEKDAY(TODAY(),2)+1)))</f>
        <v>0</v>
      </c>
      <c r="Q258" s="5">
        <f>IF(B258="","",COUNTIF('Call Log'!$C$2:$C$5000,B258))</f>
        <v>0</v>
      </c>
      <c r="R258" s="21" t="str">
        <f>IF(B258="","",IFERROR(IF(MAXIFS('Call Log'!$A$2:$A$5000,'Call Log'!$C$2:$C$5000,B258)=0,"",MAXIFS('Call Log'!$A$2:$A$5000,'Call Log'!$C$2:$C$5000,B258)),""))</f>
        <v/>
      </c>
      <c r="S258" s="5"/>
      <c r="T258" s="21"/>
      <c r="U258" s="21"/>
      <c r="V258" s="5"/>
      <c r="W258" s="20"/>
      <c r="X258" s="5"/>
      <c r="Y258" s="5"/>
      <c r="Z258" s="5" t="s">
        <v>132</v>
      </c>
      <c r="AA258" s="5" t="s">
        <v>1694</v>
      </c>
    </row>
    <row r="259" ht="15.0" customHeight="1">
      <c r="A259" s="5" t="s">
        <v>1695</v>
      </c>
      <c r="B259" s="5" t="s">
        <v>1696</v>
      </c>
      <c r="C259" s="5" t="s">
        <v>1697</v>
      </c>
      <c r="D259" s="5"/>
      <c r="E259" s="5">
        <v>38.0</v>
      </c>
      <c r="F259" s="20"/>
      <c r="G259" s="20"/>
      <c r="H259" s="5" t="s">
        <v>41</v>
      </c>
      <c r="I259" s="5" t="s">
        <v>175</v>
      </c>
      <c r="J259" s="5" t="s">
        <v>114</v>
      </c>
      <c r="K259" s="5" t="s">
        <v>1698</v>
      </c>
      <c r="L259" s="5"/>
      <c r="M259" s="5" t="s">
        <v>8</v>
      </c>
      <c r="N259" s="5" t="s">
        <v>80</v>
      </c>
      <c r="O259" s="5" t="str">
        <f>IF(B259="","",IFERROR(LOOKUP(2,1/('Call Log'!$C$2:$C$5000=B259),'Call Log'!$B$2:$B$5000),""))</f>
        <v/>
      </c>
      <c r="P259" s="5">
        <f>IF(B259="","",COUNTIFS('Call Log'!$C$2:$C$5000,B259,'Call Log'!$A$2:$A$5000,"&gt;="&amp;(TODAY()-WEEKDAY(TODAY(),2)+1)))</f>
        <v>0</v>
      </c>
      <c r="Q259" s="5">
        <f>IF(B259="","",COUNTIF('Call Log'!$C$2:$C$5000,B259))</f>
        <v>0</v>
      </c>
      <c r="R259" s="21" t="str">
        <f>IF(B259="","",IFERROR(IF(MAXIFS('Call Log'!$A$2:$A$5000,'Call Log'!$C$2:$C$5000,B259)=0,"",MAXIFS('Call Log'!$A$2:$A$5000,'Call Log'!$C$2:$C$5000,B259)),""))</f>
        <v/>
      </c>
      <c r="S259" s="5"/>
      <c r="T259" s="21"/>
      <c r="U259" s="21"/>
      <c r="V259" s="5"/>
      <c r="W259" s="20"/>
      <c r="X259" s="5"/>
      <c r="Y259" s="5"/>
      <c r="Z259" s="5" t="s">
        <v>178</v>
      </c>
      <c r="AA259" s="5" t="s">
        <v>1699</v>
      </c>
    </row>
    <row r="260" ht="15.0" customHeight="1">
      <c r="A260" s="5" t="s">
        <v>1700</v>
      </c>
      <c r="B260" s="5" t="s">
        <v>1701</v>
      </c>
      <c r="C260" s="5" t="s">
        <v>1702</v>
      </c>
      <c r="D260" s="5"/>
      <c r="E260" s="5">
        <v>5.0</v>
      </c>
      <c r="F260" s="20"/>
      <c r="G260" s="20"/>
      <c r="H260" s="5" t="s">
        <v>41</v>
      </c>
      <c r="I260" s="5" t="s">
        <v>184</v>
      </c>
      <c r="J260" s="5" t="s">
        <v>114</v>
      </c>
      <c r="K260" s="5" t="s">
        <v>1703</v>
      </c>
      <c r="L260" s="5"/>
      <c r="M260" s="5" t="s">
        <v>8</v>
      </c>
      <c r="N260" s="5" t="s">
        <v>80</v>
      </c>
      <c r="O260" s="5" t="str">
        <f>IF(B260="","",IFERROR(LOOKUP(2,1/('Call Log'!$C$2:$C$5000=B260),'Call Log'!$B$2:$B$5000),""))</f>
        <v/>
      </c>
      <c r="P260" s="5">
        <f>IF(B260="","",COUNTIFS('Call Log'!$C$2:$C$5000,B260,'Call Log'!$A$2:$A$5000,"&gt;="&amp;(TODAY()-WEEKDAY(TODAY(),2)+1)))</f>
        <v>0</v>
      </c>
      <c r="Q260" s="5">
        <f>IF(B260="","",COUNTIF('Call Log'!$C$2:$C$5000,B260))</f>
        <v>0</v>
      </c>
      <c r="R260" s="21" t="str">
        <f>IF(B260="","",IFERROR(IF(MAXIFS('Call Log'!$A$2:$A$5000,'Call Log'!$C$2:$C$5000,B260)=0,"",MAXIFS('Call Log'!$A$2:$A$5000,'Call Log'!$C$2:$C$5000,B260)),""))</f>
        <v/>
      </c>
      <c r="S260" s="5"/>
      <c r="T260" s="21"/>
      <c r="U260" s="21"/>
      <c r="V260" s="5"/>
      <c r="W260" s="20"/>
      <c r="X260" s="5"/>
      <c r="Y260" s="5"/>
      <c r="Z260" s="5" t="s">
        <v>132</v>
      </c>
      <c r="AA260" s="5" t="s">
        <v>1704</v>
      </c>
    </row>
    <row r="261" ht="15.0" customHeight="1">
      <c r="A261" s="5" t="s">
        <v>1705</v>
      </c>
      <c r="B261" s="5" t="s">
        <v>1706</v>
      </c>
      <c r="C261" s="5" t="s">
        <v>1707</v>
      </c>
      <c r="D261" s="5"/>
      <c r="E261" s="5">
        <v>30.0</v>
      </c>
      <c r="F261" s="20"/>
      <c r="G261" s="20"/>
      <c r="H261" s="5" t="s">
        <v>40</v>
      </c>
      <c r="I261" s="5" t="s">
        <v>594</v>
      </c>
      <c r="J261" s="5" t="s">
        <v>114</v>
      </c>
      <c r="K261" s="5" t="s">
        <v>1708</v>
      </c>
      <c r="L261" s="5"/>
      <c r="M261" s="5" t="s">
        <v>8</v>
      </c>
      <c r="N261" s="5" t="s">
        <v>80</v>
      </c>
      <c r="O261" s="5" t="str">
        <f>IF(B261="","",IFERROR(LOOKUP(2,1/('Call Log'!$C$2:$C$5000=B261),'Call Log'!$B$2:$B$5000),""))</f>
        <v/>
      </c>
      <c r="P261" s="5">
        <f>IF(B261="","",COUNTIFS('Call Log'!$C$2:$C$5000,B261,'Call Log'!$A$2:$A$5000,"&gt;="&amp;(TODAY()-WEEKDAY(TODAY(),2)+1)))</f>
        <v>0</v>
      </c>
      <c r="Q261" s="5">
        <f>IF(B261="","",COUNTIF('Call Log'!$C$2:$C$5000,B261))</f>
        <v>0</v>
      </c>
      <c r="R261" s="21" t="str">
        <f>IF(B261="","",IFERROR(IF(MAXIFS('Call Log'!$A$2:$A$5000,'Call Log'!$C$2:$C$5000,B261)=0,"",MAXIFS('Call Log'!$A$2:$A$5000,'Call Log'!$C$2:$C$5000,B261)),""))</f>
        <v/>
      </c>
      <c r="S261" s="5"/>
      <c r="T261" s="21"/>
      <c r="U261" s="21"/>
      <c r="V261" s="5"/>
      <c r="W261" s="20"/>
      <c r="X261" s="5"/>
      <c r="Y261" s="5"/>
      <c r="Z261" s="5" t="s">
        <v>132</v>
      </c>
      <c r="AA261" s="5" t="s">
        <v>1709</v>
      </c>
    </row>
    <row r="262" ht="15.0" customHeight="1">
      <c r="A262" s="5" t="s">
        <v>1710</v>
      </c>
      <c r="B262" s="5" t="s">
        <v>1711</v>
      </c>
      <c r="C262" s="5" t="s">
        <v>1712</v>
      </c>
      <c r="D262" s="5"/>
      <c r="E262" s="5">
        <v>30.0</v>
      </c>
      <c r="F262" s="20"/>
      <c r="G262" s="20"/>
      <c r="H262" s="5" t="s">
        <v>40</v>
      </c>
      <c r="I262" s="5" t="s">
        <v>357</v>
      </c>
      <c r="J262" s="5" t="s">
        <v>114</v>
      </c>
      <c r="K262" s="5" t="s">
        <v>1713</v>
      </c>
      <c r="L262" s="5"/>
      <c r="M262" s="5" t="s">
        <v>8</v>
      </c>
      <c r="N262" s="5" t="s">
        <v>80</v>
      </c>
      <c r="O262" s="5" t="str">
        <f>IF(B262="","",IFERROR(LOOKUP(2,1/('Call Log'!$C$2:$C$5000=B262),'Call Log'!$B$2:$B$5000),""))</f>
        <v/>
      </c>
      <c r="P262" s="5">
        <f>IF(B262="","",COUNTIFS('Call Log'!$C$2:$C$5000,B262,'Call Log'!$A$2:$A$5000,"&gt;="&amp;(TODAY()-WEEKDAY(TODAY(),2)+1)))</f>
        <v>0</v>
      </c>
      <c r="Q262" s="5">
        <f>IF(B262="","",COUNTIF('Call Log'!$C$2:$C$5000,B262))</f>
        <v>0</v>
      </c>
      <c r="R262" s="21" t="str">
        <f>IF(B262="","",IFERROR(IF(MAXIFS('Call Log'!$A$2:$A$5000,'Call Log'!$C$2:$C$5000,B262)=0,"",MAXIFS('Call Log'!$A$2:$A$5000,'Call Log'!$C$2:$C$5000,B262)),""))</f>
        <v/>
      </c>
      <c r="S262" s="5"/>
      <c r="T262" s="21"/>
      <c r="U262" s="21"/>
      <c r="V262" s="5"/>
      <c r="W262" s="20"/>
      <c r="X262" s="5"/>
      <c r="Y262" s="5"/>
      <c r="Z262" s="5" t="s">
        <v>132</v>
      </c>
      <c r="AA262" s="5" t="s">
        <v>1714</v>
      </c>
    </row>
    <row r="263" ht="15.0" customHeight="1">
      <c r="A263" s="5" t="s">
        <v>1715</v>
      </c>
      <c r="B263" s="5" t="s">
        <v>1716</v>
      </c>
      <c r="C263" s="5" t="s">
        <v>1717</v>
      </c>
      <c r="D263" s="5"/>
      <c r="E263" s="5">
        <v>4.0</v>
      </c>
      <c r="F263" s="20"/>
      <c r="G263" s="20"/>
      <c r="H263" s="5" t="s">
        <v>41</v>
      </c>
      <c r="I263" s="5" t="s">
        <v>370</v>
      </c>
      <c r="J263" s="5" t="s">
        <v>114</v>
      </c>
      <c r="K263" s="5" t="s">
        <v>1718</v>
      </c>
      <c r="L263" s="5" t="s">
        <v>1719</v>
      </c>
      <c r="M263" s="5" t="s">
        <v>8</v>
      </c>
      <c r="N263" s="5" t="s">
        <v>80</v>
      </c>
      <c r="O263" s="5" t="str">
        <f>IF(B263="","",IFERROR(LOOKUP(2,1/('Call Log'!$C$2:$C$5000=B263),'Call Log'!$B$2:$B$5000),""))</f>
        <v/>
      </c>
      <c r="P263" s="5">
        <f>IF(B263="","",COUNTIFS('Call Log'!$C$2:$C$5000,B263,'Call Log'!$A$2:$A$5000,"&gt;="&amp;(TODAY()-WEEKDAY(TODAY(),2)+1)))</f>
        <v>0</v>
      </c>
      <c r="Q263" s="5">
        <f>IF(B263="","",COUNTIF('Call Log'!$C$2:$C$5000,B263))</f>
        <v>0</v>
      </c>
      <c r="R263" s="21" t="str">
        <f>IF(B263="","",IFERROR(IF(MAXIFS('Call Log'!$A$2:$A$5000,'Call Log'!$C$2:$C$5000,B263)=0,"",MAXIFS('Call Log'!$A$2:$A$5000,'Call Log'!$C$2:$C$5000,B263)),""))</f>
        <v/>
      </c>
      <c r="S263" s="5"/>
      <c r="T263" s="21"/>
      <c r="U263" s="21"/>
      <c r="V263" s="5"/>
      <c r="W263" s="20"/>
      <c r="X263" s="5"/>
      <c r="Y263" s="5"/>
      <c r="Z263" s="5" t="s">
        <v>178</v>
      </c>
      <c r="AA263" s="5" t="s">
        <v>1720</v>
      </c>
    </row>
    <row r="264" ht="15.0" customHeight="1">
      <c r="A264" s="5" t="s">
        <v>1721</v>
      </c>
      <c r="B264" s="5" t="s">
        <v>1722</v>
      </c>
      <c r="C264" s="5" t="s">
        <v>1717</v>
      </c>
      <c r="D264" s="5"/>
      <c r="E264" s="5">
        <v>2.0</v>
      </c>
      <c r="F264" s="20"/>
      <c r="G264" s="20"/>
      <c r="H264" s="5" t="s">
        <v>40</v>
      </c>
      <c r="I264" s="5" t="s">
        <v>161</v>
      </c>
      <c r="J264" s="5" t="s">
        <v>114</v>
      </c>
      <c r="K264" s="5" t="s">
        <v>1723</v>
      </c>
      <c r="L264" s="5"/>
      <c r="M264" s="5" t="s">
        <v>8</v>
      </c>
      <c r="N264" s="5" t="s">
        <v>80</v>
      </c>
      <c r="O264" s="5" t="str">
        <f>IF(B264="","",IFERROR(LOOKUP(2,1/('Call Log'!$C$2:$C$5000=B264),'Call Log'!$B$2:$B$5000),""))</f>
        <v/>
      </c>
      <c r="P264" s="5">
        <f>IF(B264="","",COUNTIFS('Call Log'!$C$2:$C$5000,B264,'Call Log'!$A$2:$A$5000,"&gt;="&amp;(TODAY()-WEEKDAY(TODAY(),2)+1)))</f>
        <v>0</v>
      </c>
      <c r="Q264" s="5">
        <f>IF(B264="","",COUNTIF('Call Log'!$C$2:$C$5000,B264))</f>
        <v>0</v>
      </c>
      <c r="R264" s="21" t="str">
        <f>IF(B264="","",IFERROR(IF(MAXIFS('Call Log'!$A$2:$A$5000,'Call Log'!$C$2:$C$5000,B264)=0,"",MAXIFS('Call Log'!$A$2:$A$5000,'Call Log'!$C$2:$C$5000,B264)),""))</f>
        <v/>
      </c>
      <c r="S264" s="5"/>
      <c r="T264" s="21"/>
      <c r="U264" s="21"/>
      <c r="V264" s="5"/>
      <c r="W264" s="20"/>
      <c r="X264" s="5"/>
      <c r="Y264" s="5"/>
      <c r="Z264" s="5" t="s">
        <v>132</v>
      </c>
      <c r="AA264" s="5" t="s">
        <v>1724</v>
      </c>
    </row>
    <row r="265" ht="15.0" customHeight="1">
      <c r="A265" s="5" t="s">
        <v>1725</v>
      </c>
      <c r="B265" s="5" t="s">
        <v>1726</v>
      </c>
      <c r="C265" s="5" t="s">
        <v>376</v>
      </c>
      <c r="D265" s="5"/>
      <c r="E265" s="5">
        <v>2.0</v>
      </c>
      <c r="F265" s="20"/>
      <c r="G265" s="20"/>
      <c r="H265" s="5" t="s">
        <v>40</v>
      </c>
      <c r="I265" s="5" t="s">
        <v>154</v>
      </c>
      <c r="J265" s="5" t="s">
        <v>114</v>
      </c>
      <c r="K265" s="5" t="s">
        <v>1727</v>
      </c>
      <c r="L265" s="5"/>
      <c r="M265" s="5" t="s">
        <v>8</v>
      </c>
      <c r="N265" s="5" t="s">
        <v>80</v>
      </c>
      <c r="O265" s="5" t="str">
        <f>IF(B265="","",IFERROR(LOOKUP(2,1/('Call Log'!$C$2:$C$5000=B265),'Call Log'!$B$2:$B$5000),""))</f>
        <v/>
      </c>
      <c r="P265" s="5">
        <f>IF(B265="","",COUNTIFS('Call Log'!$C$2:$C$5000,B265,'Call Log'!$A$2:$A$5000,"&gt;="&amp;(TODAY()-WEEKDAY(TODAY(),2)+1)))</f>
        <v>0</v>
      </c>
      <c r="Q265" s="5">
        <f>IF(B265="","",COUNTIF('Call Log'!$C$2:$C$5000,B265))</f>
        <v>0</v>
      </c>
      <c r="R265" s="21" t="str">
        <f>IF(B265="","",IFERROR(IF(MAXIFS('Call Log'!$A$2:$A$5000,'Call Log'!$C$2:$C$5000,B265)=0,"",MAXIFS('Call Log'!$A$2:$A$5000,'Call Log'!$C$2:$C$5000,B265)),""))</f>
        <v/>
      </c>
      <c r="S265" s="5"/>
      <c r="T265" s="21"/>
      <c r="U265" s="21"/>
      <c r="V265" s="5"/>
      <c r="W265" s="20"/>
      <c r="X265" s="5"/>
      <c r="Y265" s="5"/>
      <c r="Z265" s="5" t="s">
        <v>178</v>
      </c>
      <c r="AA265" s="5" t="s">
        <v>1728</v>
      </c>
    </row>
    <row r="266" ht="15.0" customHeight="1">
      <c r="A266" s="5" t="s">
        <v>1729</v>
      </c>
      <c r="B266" s="5" t="s">
        <v>1730</v>
      </c>
      <c r="C266" s="5" t="s">
        <v>1731</v>
      </c>
      <c r="D266" s="5"/>
      <c r="E266" s="5"/>
      <c r="F266" s="20"/>
      <c r="G266" s="20"/>
      <c r="H266" s="5" t="s">
        <v>41</v>
      </c>
      <c r="I266" s="5" t="s">
        <v>231</v>
      </c>
      <c r="J266" s="5" t="s">
        <v>114</v>
      </c>
      <c r="K266" s="5" t="s">
        <v>1732</v>
      </c>
      <c r="L266" s="5"/>
      <c r="M266" s="5" t="s">
        <v>8</v>
      </c>
      <c r="N266" s="5" t="s">
        <v>80</v>
      </c>
      <c r="O266" s="5" t="str">
        <f>IF(B266="","",IFERROR(LOOKUP(2,1/('Call Log'!$C$2:$C$5000=B266),'Call Log'!$B$2:$B$5000),""))</f>
        <v/>
      </c>
      <c r="P266" s="5">
        <f>IF(B266="","",COUNTIFS('Call Log'!$C$2:$C$5000,B266,'Call Log'!$A$2:$A$5000,"&gt;="&amp;(TODAY()-WEEKDAY(TODAY(),2)+1)))</f>
        <v>0</v>
      </c>
      <c r="Q266" s="5">
        <f>IF(B266="","",COUNTIF('Call Log'!$C$2:$C$5000,B266))</f>
        <v>0</v>
      </c>
      <c r="R266" s="21" t="str">
        <f>IF(B266="","",IFERROR(IF(MAXIFS('Call Log'!$A$2:$A$5000,'Call Log'!$C$2:$C$5000,B266)=0,"",MAXIFS('Call Log'!$A$2:$A$5000,'Call Log'!$C$2:$C$5000,B266)),""))</f>
        <v/>
      </c>
      <c r="S266" s="5"/>
      <c r="T266" s="21"/>
      <c r="U266" s="21"/>
      <c r="V266" s="5"/>
      <c r="W266" s="20"/>
      <c r="X266" s="5"/>
      <c r="Y266" s="5"/>
      <c r="Z266" s="5" t="s">
        <v>132</v>
      </c>
      <c r="AA266" s="5" t="s">
        <v>1733</v>
      </c>
    </row>
    <row r="267" ht="15.0" customHeight="1">
      <c r="A267" s="5" t="s">
        <v>1734</v>
      </c>
      <c r="B267" s="5" t="s">
        <v>1735</v>
      </c>
      <c r="C267" s="5" t="s">
        <v>356</v>
      </c>
      <c r="D267" s="5"/>
      <c r="E267" s="5">
        <v>1.0</v>
      </c>
      <c r="F267" s="20"/>
      <c r="G267" s="20"/>
      <c r="H267" s="5" t="s">
        <v>41</v>
      </c>
      <c r="I267" s="5" t="s">
        <v>113</v>
      </c>
      <c r="J267" s="5" t="s">
        <v>114</v>
      </c>
      <c r="K267" s="5" t="s">
        <v>1736</v>
      </c>
      <c r="L267" s="5"/>
      <c r="M267" s="5" t="s">
        <v>8</v>
      </c>
      <c r="N267" s="5" t="s">
        <v>80</v>
      </c>
      <c r="O267" s="5" t="str">
        <f>IF(B267="","",IFERROR(LOOKUP(2,1/('Call Log'!$C$2:$C$5000=B267),'Call Log'!$B$2:$B$5000),""))</f>
        <v/>
      </c>
      <c r="P267" s="5">
        <f>IF(B267="","",COUNTIFS('Call Log'!$C$2:$C$5000,B267,'Call Log'!$A$2:$A$5000,"&gt;="&amp;(TODAY()-WEEKDAY(TODAY(),2)+1)))</f>
        <v>0</v>
      </c>
      <c r="Q267" s="5">
        <f>IF(B267="","",COUNTIF('Call Log'!$C$2:$C$5000,B267))</f>
        <v>0</v>
      </c>
      <c r="R267" s="21" t="str">
        <f>IF(B267="","",IFERROR(IF(MAXIFS('Call Log'!$A$2:$A$5000,'Call Log'!$C$2:$C$5000,B267)=0,"",MAXIFS('Call Log'!$A$2:$A$5000,'Call Log'!$C$2:$C$5000,B267)),""))</f>
        <v/>
      </c>
      <c r="S267" s="5"/>
      <c r="T267" s="21"/>
      <c r="U267" s="21"/>
      <c r="V267" s="5"/>
      <c r="W267" s="20"/>
      <c r="X267" s="5"/>
      <c r="Y267" s="5"/>
      <c r="Z267" s="5" t="s">
        <v>132</v>
      </c>
      <c r="AA267" s="5" t="s">
        <v>1737</v>
      </c>
    </row>
    <row r="268" ht="15.0" customHeight="1">
      <c r="A268" s="5" t="s">
        <v>1738</v>
      </c>
      <c r="B268" s="5" t="s">
        <v>1739</v>
      </c>
      <c r="C268" s="5" t="s">
        <v>1672</v>
      </c>
      <c r="D268" s="5"/>
      <c r="E268" s="5">
        <v>4.0</v>
      </c>
      <c r="F268" s="20"/>
      <c r="G268" s="20"/>
      <c r="H268" s="5" t="s">
        <v>40</v>
      </c>
      <c r="I268" s="5" t="s">
        <v>594</v>
      </c>
      <c r="J268" s="5" t="s">
        <v>114</v>
      </c>
      <c r="K268" s="5" t="s">
        <v>1740</v>
      </c>
      <c r="L268" s="5"/>
      <c r="M268" s="5" t="s">
        <v>8</v>
      </c>
      <c r="N268" s="5" t="s">
        <v>80</v>
      </c>
      <c r="O268" s="5" t="str">
        <f>IF(B268="","",IFERROR(LOOKUP(2,1/('Call Log'!$C$2:$C$5000=B268),'Call Log'!$B$2:$B$5000),""))</f>
        <v/>
      </c>
      <c r="P268" s="5">
        <f>IF(B268="","",COUNTIFS('Call Log'!$C$2:$C$5000,B268,'Call Log'!$A$2:$A$5000,"&gt;="&amp;(TODAY()-WEEKDAY(TODAY(),2)+1)))</f>
        <v>0</v>
      </c>
      <c r="Q268" s="5">
        <f>IF(B268="","",COUNTIF('Call Log'!$C$2:$C$5000,B268))</f>
        <v>0</v>
      </c>
      <c r="R268" s="21" t="str">
        <f>IF(B268="","",IFERROR(IF(MAXIFS('Call Log'!$A$2:$A$5000,'Call Log'!$C$2:$C$5000,B268)=0,"",MAXIFS('Call Log'!$A$2:$A$5000,'Call Log'!$C$2:$C$5000,B268)),""))</f>
        <v/>
      </c>
      <c r="S268" s="5"/>
      <c r="T268" s="21"/>
      <c r="U268" s="21"/>
      <c r="V268" s="5"/>
      <c r="W268" s="20"/>
      <c r="X268" s="5"/>
      <c r="Y268" s="5"/>
      <c r="Z268" s="5"/>
      <c r="AA268" s="5" t="s">
        <v>724</v>
      </c>
    </row>
    <row r="269" ht="15.0" customHeight="1">
      <c r="A269" s="5" t="s">
        <v>1741</v>
      </c>
      <c r="B269" s="5" t="s">
        <v>1742</v>
      </c>
      <c r="C269" s="5" t="s">
        <v>1743</v>
      </c>
      <c r="D269" s="5"/>
      <c r="E269" s="5">
        <v>6.0</v>
      </c>
      <c r="F269" s="20"/>
      <c r="G269" s="20"/>
      <c r="H269" s="5" t="s">
        <v>40</v>
      </c>
      <c r="I269" s="5" t="s">
        <v>1744</v>
      </c>
      <c r="J269" s="5" t="s">
        <v>114</v>
      </c>
      <c r="K269" s="5" t="s">
        <v>1745</v>
      </c>
      <c r="L269" s="5"/>
      <c r="M269" s="5" t="s">
        <v>8</v>
      </c>
      <c r="N269" s="5" t="s">
        <v>80</v>
      </c>
      <c r="O269" s="5" t="str">
        <f>IF(B269="","",IFERROR(LOOKUP(2,1/('Call Log'!$C$2:$C$5000=B269),'Call Log'!$B$2:$B$5000),""))</f>
        <v/>
      </c>
      <c r="P269" s="5">
        <f>IF(B269="","",COUNTIFS('Call Log'!$C$2:$C$5000,B269,'Call Log'!$A$2:$A$5000,"&gt;="&amp;(TODAY()-WEEKDAY(TODAY(),2)+1)))</f>
        <v>0</v>
      </c>
      <c r="Q269" s="5">
        <f>IF(B269="","",COUNTIF('Call Log'!$C$2:$C$5000,B269))</f>
        <v>0</v>
      </c>
      <c r="R269" s="21" t="str">
        <f>IF(B269="","",IFERROR(IF(MAXIFS('Call Log'!$A$2:$A$5000,'Call Log'!$C$2:$C$5000,B269)=0,"",MAXIFS('Call Log'!$A$2:$A$5000,'Call Log'!$C$2:$C$5000,B269)),""))</f>
        <v/>
      </c>
      <c r="S269" s="5"/>
      <c r="T269" s="21"/>
      <c r="U269" s="21"/>
      <c r="V269" s="5"/>
      <c r="W269" s="20"/>
      <c r="X269" s="5"/>
      <c r="Y269" s="5"/>
      <c r="Z269" s="5" t="s">
        <v>132</v>
      </c>
      <c r="AA269" s="5" t="s">
        <v>1746</v>
      </c>
    </row>
    <row r="270" ht="15.0" customHeight="1">
      <c r="A270" s="5" t="s">
        <v>1747</v>
      </c>
      <c r="B270" s="5" t="s">
        <v>1748</v>
      </c>
      <c r="C270" s="5" t="s">
        <v>1749</v>
      </c>
      <c r="D270" s="5"/>
      <c r="E270" s="5">
        <v>5.0</v>
      </c>
      <c r="F270" s="20"/>
      <c r="G270" s="20"/>
      <c r="H270" s="5" t="s">
        <v>43</v>
      </c>
      <c r="I270" s="5" t="s">
        <v>1055</v>
      </c>
      <c r="J270" s="5" t="s">
        <v>114</v>
      </c>
      <c r="K270" s="5" t="s">
        <v>1750</v>
      </c>
      <c r="L270" s="5" t="s">
        <v>1751</v>
      </c>
      <c r="M270" s="5" t="s">
        <v>8</v>
      </c>
      <c r="N270" s="5" t="s">
        <v>80</v>
      </c>
      <c r="O270" s="5" t="str">
        <f>IF(B270="","",IFERROR(LOOKUP(2,1/('Call Log'!$C$2:$C$5000=B270),'Call Log'!$B$2:$B$5000),""))</f>
        <v/>
      </c>
      <c r="P270" s="5">
        <f>IF(B270="","",COUNTIFS('Call Log'!$C$2:$C$5000,B270,'Call Log'!$A$2:$A$5000,"&gt;="&amp;(TODAY()-WEEKDAY(TODAY(),2)+1)))</f>
        <v>0</v>
      </c>
      <c r="Q270" s="5">
        <f>IF(B270="","",COUNTIF('Call Log'!$C$2:$C$5000,B270))</f>
        <v>0</v>
      </c>
      <c r="R270" s="21" t="str">
        <f>IF(B270="","",IFERROR(IF(MAXIFS('Call Log'!$A$2:$A$5000,'Call Log'!$C$2:$C$5000,B270)=0,"",MAXIFS('Call Log'!$A$2:$A$5000,'Call Log'!$C$2:$C$5000,B270)),""))</f>
        <v/>
      </c>
      <c r="S270" s="5"/>
      <c r="T270" s="21"/>
      <c r="U270" s="21"/>
      <c r="V270" s="5"/>
      <c r="W270" s="20"/>
      <c r="X270" s="5"/>
      <c r="Y270" s="5"/>
      <c r="Z270" s="5" t="s">
        <v>132</v>
      </c>
      <c r="AA270" s="5" t="s">
        <v>1752</v>
      </c>
    </row>
    <row r="271" ht="15.0" customHeight="1">
      <c r="A271" s="5" t="s">
        <v>1753</v>
      </c>
      <c r="B271" s="5" t="s">
        <v>1754</v>
      </c>
      <c r="C271" s="5" t="s">
        <v>1755</v>
      </c>
      <c r="D271" s="5"/>
      <c r="E271" s="5">
        <v>5.0</v>
      </c>
      <c r="F271" s="20"/>
      <c r="G271" s="20"/>
      <c r="H271" s="5" t="s">
        <v>40</v>
      </c>
      <c r="I271" s="5" t="s">
        <v>246</v>
      </c>
      <c r="J271" s="5" t="s">
        <v>114</v>
      </c>
      <c r="K271" s="5" t="s">
        <v>1756</v>
      </c>
      <c r="L271" s="5"/>
      <c r="M271" s="5" t="s">
        <v>8</v>
      </c>
      <c r="N271" s="5" t="s">
        <v>80</v>
      </c>
      <c r="O271" s="5" t="str">
        <f>IF(B271="","",IFERROR(LOOKUP(2,1/('Call Log'!$C$2:$C$5000=B271),'Call Log'!$B$2:$B$5000),""))</f>
        <v/>
      </c>
      <c r="P271" s="5">
        <f>IF(B271="","",COUNTIFS('Call Log'!$C$2:$C$5000,B271,'Call Log'!$A$2:$A$5000,"&gt;="&amp;(TODAY()-WEEKDAY(TODAY(),2)+1)))</f>
        <v>0</v>
      </c>
      <c r="Q271" s="5">
        <f>IF(B271="","",COUNTIF('Call Log'!$C$2:$C$5000,B271))</f>
        <v>0</v>
      </c>
      <c r="R271" s="21" t="str">
        <f>IF(B271="","",IFERROR(IF(MAXIFS('Call Log'!$A$2:$A$5000,'Call Log'!$C$2:$C$5000,B271)=0,"",MAXIFS('Call Log'!$A$2:$A$5000,'Call Log'!$C$2:$C$5000,B271)),""))</f>
        <v/>
      </c>
      <c r="S271" s="5"/>
      <c r="T271" s="21"/>
      <c r="U271" s="21"/>
      <c r="V271" s="5"/>
      <c r="W271" s="20"/>
      <c r="X271" s="5"/>
      <c r="Y271" s="5"/>
      <c r="Z271" s="5" t="s">
        <v>132</v>
      </c>
      <c r="AA271" s="5" t="s">
        <v>1757</v>
      </c>
    </row>
    <row r="272" ht="15.0" customHeight="1">
      <c r="A272" s="5" t="s">
        <v>1758</v>
      </c>
      <c r="B272" s="5" t="s">
        <v>1759</v>
      </c>
      <c r="C272" s="5" t="s">
        <v>1760</v>
      </c>
      <c r="D272" s="5"/>
      <c r="E272" s="5">
        <v>2.0</v>
      </c>
      <c r="F272" s="20"/>
      <c r="G272" s="20"/>
      <c r="H272" s="5" t="s">
        <v>40</v>
      </c>
      <c r="I272" s="5" t="s">
        <v>175</v>
      </c>
      <c r="J272" s="5" t="s">
        <v>114</v>
      </c>
      <c r="K272" s="5" t="s">
        <v>1761</v>
      </c>
      <c r="L272" s="5"/>
      <c r="M272" s="5" t="s">
        <v>8</v>
      </c>
      <c r="N272" s="5" t="s">
        <v>80</v>
      </c>
      <c r="O272" s="5" t="str">
        <f>IF(B272="","",IFERROR(LOOKUP(2,1/('Call Log'!$C$2:$C$5000=B272),'Call Log'!$B$2:$B$5000),""))</f>
        <v/>
      </c>
      <c r="P272" s="5">
        <f>IF(B272="","",COUNTIFS('Call Log'!$C$2:$C$5000,B272,'Call Log'!$A$2:$A$5000,"&gt;="&amp;(TODAY()-WEEKDAY(TODAY(),2)+1)))</f>
        <v>0</v>
      </c>
      <c r="Q272" s="5">
        <f>IF(B272="","",COUNTIF('Call Log'!$C$2:$C$5000,B272))</f>
        <v>0</v>
      </c>
      <c r="R272" s="21" t="str">
        <f>IF(B272="","",IFERROR(IF(MAXIFS('Call Log'!$A$2:$A$5000,'Call Log'!$C$2:$C$5000,B272)=0,"",MAXIFS('Call Log'!$A$2:$A$5000,'Call Log'!$C$2:$C$5000,B272)),""))</f>
        <v/>
      </c>
      <c r="S272" s="5"/>
      <c r="T272" s="21"/>
      <c r="U272" s="21"/>
      <c r="V272" s="5"/>
      <c r="W272" s="20"/>
      <c r="X272" s="5"/>
      <c r="Y272" s="5"/>
      <c r="Z272" s="5" t="s">
        <v>132</v>
      </c>
      <c r="AA272" s="5" t="s">
        <v>1762</v>
      </c>
    </row>
    <row r="273" ht="15.0" customHeight="1">
      <c r="A273" s="5" t="s">
        <v>1763</v>
      </c>
      <c r="B273" s="5" t="s">
        <v>1764</v>
      </c>
      <c r="C273" s="5" t="s">
        <v>1765</v>
      </c>
      <c r="D273" s="5"/>
      <c r="E273" s="5">
        <v>30.0</v>
      </c>
      <c r="F273" s="20"/>
      <c r="G273" s="20"/>
      <c r="H273" s="5" t="s">
        <v>43</v>
      </c>
      <c r="I273" s="5" t="s">
        <v>1093</v>
      </c>
      <c r="J273" s="5" t="s">
        <v>114</v>
      </c>
      <c r="K273" s="5" t="s">
        <v>1766</v>
      </c>
      <c r="L273" s="5" t="s">
        <v>1767</v>
      </c>
      <c r="M273" s="5" t="s">
        <v>8</v>
      </c>
      <c r="N273" s="5" t="s">
        <v>80</v>
      </c>
      <c r="O273" s="5" t="str">
        <f>IF(B273="","",IFERROR(LOOKUP(2,1/('Call Log'!$C$2:$C$5000=B273),'Call Log'!$B$2:$B$5000),""))</f>
        <v/>
      </c>
      <c r="P273" s="5">
        <f>IF(B273="","",COUNTIFS('Call Log'!$C$2:$C$5000,B273,'Call Log'!$A$2:$A$5000,"&gt;="&amp;(TODAY()-WEEKDAY(TODAY(),2)+1)))</f>
        <v>0</v>
      </c>
      <c r="Q273" s="5">
        <f>IF(B273="","",COUNTIF('Call Log'!$C$2:$C$5000,B273))</f>
        <v>0</v>
      </c>
      <c r="R273" s="21" t="str">
        <f>IF(B273="","",IFERROR(IF(MAXIFS('Call Log'!$A$2:$A$5000,'Call Log'!$C$2:$C$5000,B273)=0,"",MAXIFS('Call Log'!$A$2:$A$5000,'Call Log'!$C$2:$C$5000,B273)),""))</f>
        <v/>
      </c>
      <c r="S273" s="5"/>
      <c r="T273" s="21"/>
      <c r="U273" s="21"/>
      <c r="V273" s="5"/>
      <c r="W273" s="20"/>
      <c r="X273" s="5"/>
      <c r="Y273" s="5"/>
      <c r="Z273" s="5" t="s">
        <v>132</v>
      </c>
      <c r="AA273" s="5" t="s">
        <v>1768</v>
      </c>
    </row>
    <row r="274" ht="15.0" customHeight="1">
      <c r="A274" s="5" t="s">
        <v>1769</v>
      </c>
      <c r="B274" s="5" t="s">
        <v>1770</v>
      </c>
      <c r="C274" s="5" t="s">
        <v>1771</v>
      </c>
      <c r="D274" s="5"/>
      <c r="E274" s="5">
        <v>15.0</v>
      </c>
      <c r="F274" s="20"/>
      <c r="G274" s="20"/>
      <c r="H274" s="5" t="s">
        <v>40</v>
      </c>
      <c r="I274" s="5" t="s">
        <v>175</v>
      </c>
      <c r="J274" s="5" t="s">
        <v>114</v>
      </c>
      <c r="K274" s="5" t="s">
        <v>1772</v>
      </c>
      <c r="L274" s="5"/>
      <c r="M274" s="5" t="s">
        <v>8</v>
      </c>
      <c r="N274" s="5" t="s">
        <v>80</v>
      </c>
      <c r="O274" s="5" t="str">
        <f>IF(B274="","",IFERROR(LOOKUP(2,1/('Call Log'!$C$2:$C$5000=B274),'Call Log'!$B$2:$B$5000),""))</f>
        <v/>
      </c>
      <c r="P274" s="5">
        <f>IF(B274="","",COUNTIFS('Call Log'!$C$2:$C$5000,B274,'Call Log'!$A$2:$A$5000,"&gt;="&amp;(TODAY()-WEEKDAY(TODAY(),2)+1)))</f>
        <v>0</v>
      </c>
      <c r="Q274" s="5">
        <f>IF(B274="","",COUNTIF('Call Log'!$C$2:$C$5000,B274))</f>
        <v>0</v>
      </c>
      <c r="R274" s="21" t="str">
        <f>IF(B274="","",IFERROR(IF(MAXIFS('Call Log'!$A$2:$A$5000,'Call Log'!$C$2:$C$5000,B274)=0,"",MAXIFS('Call Log'!$A$2:$A$5000,'Call Log'!$C$2:$C$5000,B274)),""))</f>
        <v/>
      </c>
      <c r="S274" s="5"/>
      <c r="T274" s="21"/>
      <c r="U274" s="21"/>
      <c r="V274" s="5"/>
      <c r="W274" s="20"/>
      <c r="X274" s="5"/>
      <c r="Y274" s="5"/>
      <c r="Z274" s="5" t="s">
        <v>132</v>
      </c>
      <c r="AA274" s="5" t="s">
        <v>1773</v>
      </c>
    </row>
    <row r="275" ht="15.0" customHeight="1">
      <c r="A275" s="5" t="s">
        <v>1774</v>
      </c>
      <c r="B275" s="5" t="s">
        <v>1775</v>
      </c>
      <c r="C275" s="5" t="s">
        <v>1776</v>
      </c>
      <c r="D275" s="5"/>
      <c r="E275" s="5">
        <v>5.0</v>
      </c>
      <c r="F275" s="20"/>
      <c r="G275" s="20"/>
      <c r="H275" s="5" t="s">
        <v>41</v>
      </c>
      <c r="I275" s="5" t="s">
        <v>422</v>
      </c>
      <c r="J275" s="5" t="s">
        <v>114</v>
      </c>
      <c r="K275" s="5" t="s">
        <v>1777</v>
      </c>
      <c r="L275" s="5"/>
      <c r="M275" s="5" t="s">
        <v>8</v>
      </c>
      <c r="N275" s="5" t="s">
        <v>80</v>
      </c>
      <c r="O275" s="5" t="str">
        <f>IF(B275="","",IFERROR(LOOKUP(2,1/('Call Log'!$C$2:$C$5000=B275),'Call Log'!$B$2:$B$5000),""))</f>
        <v/>
      </c>
      <c r="P275" s="5">
        <f>IF(B275="","",COUNTIFS('Call Log'!$C$2:$C$5000,B275,'Call Log'!$A$2:$A$5000,"&gt;="&amp;(TODAY()-WEEKDAY(TODAY(),2)+1)))</f>
        <v>0</v>
      </c>
      <c r="Q275" s="5">
        <f>IF(B275="","",COUNTIF('Call Log'!$C$2:$C$5000,B275))</f>
        <v>0</v>
      </c>
      <c r="R275" s="21" t="str">
        <f>IF(B275="","",IFERROR(IF(MAXIFS('Call Log'!$A$2:$A$5000,'Call Log'!$C$2:$C$5000,B275)=0,"",MAXIFS('Call Log'!$A$2:$A$5000,'Call Log'!$C$2:$C$5000,B275)),""))</f>
        <v/>
      </c>
      <c r="S275" s="5"/>
      <c r="T275" s="21"/>
      <c r="U275" s="21"/>
      <c r="V275" s="5"/>
      <c r="W275" s="20"/>
      <c r="X275" s="5"/>
      <c r="Y275" s="5"/>
      <c r="Z275" s="5" t="s">
        <v>132</v>
      </c>
      <c r="AA275" s="5" t="s">
        <v>1778</v>
      </c>
    </row>
    <row r="276" ht="15.0" customHeight="1">
      <c r="A276" s="5" t="s">
        <v>1779</v>
      </c>
      <c r="B276" s="5" t="s">
        <v>1780</v>
      </c>
      <c r="C276" s="5" t="s">
        <v>1781</v>
      </c>
      <c r="D276" s="5"/>
      <c r="E276" s="5">
        <v>4.0</v>
      </c>
      <c r="F276" s="20"/>
      <c r="G276" s="20"/>
      <c r="H276" s="5" t="s">
        <v>41</v>
      </c>
      <c r="I276" s="5" t="s">
        <v>161</v>
      </c>
      <c r="J276" s="5" t="s">
        <v>114</v>
      </c>
      <c r="K276" s="5" t="s">
        <v>1782</v>
      </c>
      <c r="L276" s="5" t="s">
        <v>1719</v>
      </c>
      <c r="M276" s="5" t="s">
        <v>8</v>
      </c>
      <c r="N276" s="5" t="s">
        <v>80</v>
      </c>
      <c r="O276" s="5" t="str">
        <f>IF(B276="","",IFERROR(LOOKUP(2,1/('Call Log'!$C$2:$C$5000=B276),'Call Log'!$B$2:$B$5000),""))</f>
        <v/>
      </c>
      <c r="P276" s="5">
        <f>IF(B276="","",COUNTIFS('Call Log'!$C$2:$C$5000,B276,'Call Log'!$A$2:$A$5000,"&gt;="&amp;(TODAY()-WEEKDAY(TODAY(),2)+1)))</f>
        <v>0</v>
      </c>
      <c r="Q276" s="5">
        <f>IF(B276="","",COUNTIF('Call Log'!$C$2:$C$5000,B276))</f>
        <v>0</v>
      </c>
      <c r="R276" s="21" t="str">
        <f>IF(B276="","",IFERROR(IF(MAXIFS('Call Log'!$A$2:$A$5000,'Call Log'!$C$2:$C$5000,B276)=0,"",MAXIFS('Call Log'!$A$2:$A$5000,'Call Log'!$C$2:$C$5000,B276)),""))</f>
        <v/>
      </c>
      <c r="S276" s="5"/>
      <c r="T276" s="21"/>
      <c r="U276" s="21"/>
      <c r="V276" s="5"/>
      <c r="W276" s="20"/>
      <c r="X276" s="5"/>
      <c r="Y276" s="5"/>
      <c r="Z276" s="5"/>
      <c r="AA276" s="5" t="s">
        <v>724</v>
      </c>
    </row>
    <row r="277" ht="15.0" customHeight="1">
      <c r="A277" s="5" t="s">
        <v>1783</v>
      </c>
      <c r="B277" s="5" t="s">
        <v>1784</v>
      </c>
      <c r="C277" s="5" t="s">
        <v>1785</v>
      </c>
      <c r="D277" s="5"/>
      <c r="E277" s="5"/>
      <c r="F277" s="20"/>
      <c r="G277" s="20"/>
      <c r="H277" s="5" t="s">
        <v>40</v>
      </c>
      <c r="I277" s="5" t="s">
        <v>370</v>
      </c>
      <c r="J277" s="5" t="s">
        <v>114</v>
      </c>
      <c r="K277" s="5" t="s">
        <v>1786</v>
      </c>
      <c r="L277" s="5"/>
      <c r="M277" s="5" t="s">
        <v>8</v>
      </c>
      <c r="N277" s="5" t="s">
        <v>80</v>
      </c>
      <c r="O277" s="5" t="str">
        <f>IF(B277="","",IFERROR(LOOKUP(2,1/('Call Log'!$C$2:$C$5000=B277),'Call Log'!$B$2:$B$5000),""))</f>
        <v/>
      </c>
      <c r="P277" s="5">
        <f>IF(B277="","",COUNTIFS('Call Log'!$C$2:$C$5000,B277,'Call Log'!$A$2:$A$5000,"&gt;="&amp;(TODAY()-WEEKDAY(TODAY(),2)+1)))</f>
        <v>0</v>
      </c>
      <c r="Q277" s="5">
        <f>IF(B277="","",COUNTIF('Call Log'!$C$2:$C$5000,B277))</f>
        <v>0</v>
      </c>
      <c r="R277" s="21" t="str">
        <f>IF(B277="","",IFERROR(IF(MAXIFS('Call Log'!$A$2:$A$5000,'Call Log'!$C$2:$C$5000,B277)=0,"",MAXIFS('Call Log'!$A$2:$A$5000,'Call Log'!$C$2:$C$5000,B277)),""))</f>
        <v/>
      </c>
      <c r="S277" s="5"/>
      <c r="T277" s="21"/>
      <c r="U277" s="21"/>
      <c r="V277" s="5"/>
      <c r="W277" s="20"/>
      <c r="X277" s="5"/>
      <c r="Y277" s="5"/>
      <c r="Z277" s="5" t="s">
        <v>178</v>
      </c>
      <c r="AA277" s="5" t="s">
        <v>1787</v>
      </c>
    </row>
    <row r="278" ht="15.0" customHeight="1">
      <c r="A278" s="5" t="s">
        <v>1788</v>
      </c>
      <c r="B278" s="5" t="s">
        <v>1789</v>
      </c>
      <c r="C278" s="5" t="s">
        <v>1790</v>
      </c>
      <c r="D278" s="5"/>
      <c r="E278" s="5">
        <v>9.0</v>
      </c>
      <c r="F278" s="20"/>
      <c r="G278" s="20"/>
      <c r="H278" s="5" t="s">
        <v>41</v>
      </c>
      <c r="I278" s="5" t="s">
        <v>357</v>
      </c>
      <c r="J278" s="5" t="s">
        <v>114</v>
      </c>
      <c r="K278" s="5" t="s">
        <v>1791</v>
      </c>
      <c r="L278" s="5"/>
      <c r="M278" s="5" t="s">
        <v>8</v>
      </c>
      <c r="N278" s="5" t="s">
        <v>80</v>
      </c>
      <c r="O278" s="5" t="str">
        <f>IF(B278="","",IFERROR(LOOKUP(2,1/('Call Log'!$C$2:$C$5000=B278),'Call Log'!$B$2:$B$5000),""))</f>
        <v/>
      </c>
      <c r="P278" s="5">
        <f>IF(B278="","",COUNTIFS('Call Log'!$C$2:$C$5000,B278,'Call Log'!$A$2:$A$5000,"&gt;="&amp;(TODAY()-WEEKDAY(TODAY(),2)+1)))</f>
        <v>0</v>
      </c>
      <c r="Q278" s="5">
        <f>IF(B278="","",COUNTIF('Call Log'!$C$2:$C$5000,B278))</f>
        <v>0</v>
      </c>
      <c r="R278" s="21" t="str">
        <f>IF(B278="","",IFERROR(IF(MAXIFS('Call Log'!$A$2:$A$5000,'Call Log'!$C$2:$C$5000,B278)=0,"",MAXIFS('Call Log'!$A$2:$A$5000,'Call Log'!$C$2:$C$5000,B278)),""))</f>
        <v/>
      </c>
      <c r="S278" s="5"/>
      <c r="T278" s="21"/>
      <c r="U278" s="21"/>
      <c r="V278" s="5"/>
      <c r="W278" s="20"/>
      <c r="X278" s="5"/>
      <c r="Y278" s="5"/>
      <c r="Z278" s="5" t="s">
        <v>132</v>
      </c>
      <c r="AA278" s="5" t="s">
        <v>1792</v>
      </c>
    </row>
    <row r="279" ht="15.0" customHeight="1">
      <c r="A279" s="5" t="s">
        <v>1793</v>
      </c>
      <c r="B279" s="5" t="s">
        <v>1794</v>
      </c>
      <c r="C279" s="5" t="s">
        <v>1795</v>
      </c>
      <c r="D279" s="5"/>
      <c r="E279" s="5">
        <v>5.0</v>
      </c>
      <c r="F279" s="20"/>
      <c r="G279" s="20"/>
      <c r="H279" s="5" t="s">
        <v>40</v>
      </c>
      <c r="I279" s="5" t="s">
        <v>246</v>
      </c>
      <c r="J279" s="5" t="s">
        <v>114</v>
      </c>
      <c r="K279" s="5" t="s">
        <v>1796</v>
      </c>
      <c r="L279" s="5"/>
      <c r="M279" s="5" t="s">
        <v>8</v>
      </c>
      <c r="N279" s="5" t="s">
        <v>80</v>
      </c>
      <c r="O279" s="5" t="str">
        <f>IF(B279="","",IFERROR(LOOKUP(2,1/('Call Log'!$C$2:$C$5000=B279),'Call Log'!$B$2:$B$5000),""))</f>
        <v/>
      </c>
      <c r="P279" s="5">
        <f>IF(B279="","",COUNTIFS('Call Log'!$C$2:$C$5000,B279,'Call Log'!$A$2:$A$5000,"&gt;="&amp;(TODAY()-WEEKDAY(TODAY(),2)+1)))</f>
        <v>0</v>
      </c>
      <c r="Q279" s="5">
        <f>IF(B279="","",COUNTIF('Call Log'!$C$2:$C$5000,B279))</f>
        <v>0</v>
      </c>
      <c r="R279" s="21" t="str">
        <f>IF(B279="","",IFERROR(IF(MAXIFS('Call Log'!$A$2:$A$5000,'Call Log'!$C$2:$C$5000,B279)=0,"",MAXIFS('Call Log'!$A$2:$A$5000,'Call Log'!$C$2:$C$5000,B279)),""))</f>
        <v/>
      </c>
      <c r="S279" s="5"/>
      <c r="T279" s="21"/>
      <c r="U279" s="21"/>
      <c r="V279" s="5"/>
      <c r="W279" s="20"/>
      <c r="X279" s="5"/>
      <c r="Y279" s="5"/>
      <c r="Z279" s="5" t="s">
        <v>132</v>
      </c>
      <c r="AA279" s="5" t="s">
        <v>1797</v>
      </c>
    </row>
    <row r="280" ht="15.0" customHeight="1">
      <c r="A280" s="5" t="s">
        <v>1798</v>
      </c>
      <c r="B280" s="5" t="s">
        <v>1799</v>
      </c>
      <c r="C280" s="5" t="s">
        <v>1800</v>
      </c>
      <c r="D280" s="5"/>
      <c r="E280" s="5"/>
      <c r="F280" s="20"/>
      <c r="G280" s="20"/>
      <c r="H280" s="5" t="s">
        <v>41</v>
      </c>
      <c r="I280" s="5" t="s">
        <v>622</v>
      </c>
      <c r="J280" s="5" t="s">
        <v>114</v>
      </c>
      <c r="K280" s="5" t="s">
        <v>1801</v>
      </c>
      <c r="L280" s="5" t="s">
        <v>1802</v>
      </c>
      <c r="M280" s="5" t="s">
        <v>8</v>
      </c>
      <c r="N280" s="5" t="s">
        <v>80</v>
      </c>
      <c r="O280" s="5" t="str">
        <f>IF(B280="","",IFERROR(LOOKUP(2,1/('Call Log'!$C$2:$C$5000=B280),'Call Log'!$B$2:$B$5000),""))</f>
        <v/>
      </c>
      <c r="P280" s="5">
        <f>IF(B280="","",COUNTIFS('Call Log'!$C$2:$C$5000,B280,'Call Log'!$A$2:$A$5000,"&gt;="&amp;(TODAY()-WEEKDAY(TODAY(),2)+1)))</f>
        <v>0</v>
      </c>
      <c r="Q280" s="5">
        <f>IF(B280="","",COUNTIF('Call Log'!$C$2:$C$5000,B280))</f>
        <v>0</v>
      </c>
      <c r="R280" s="21" t="str">
        <f>IF(B280="","",IFERROR(IF(MAXIFS('Call Log'!$A$2:$A$5000,'Call Log'!$C$2:$C$5000,B280)=0,"",MAXIFS('Call Log'!$A$2:$A$5000,'Call Log'!$C$2:$C$5000,B280)),""))</f>
        <v/>
      </c>
      <c r="S280" s="5"/>
      <c r="T280" s="21"/>
      <c r="U280" s="21"/>
      <c r="V280" s="5"/>
      <c r="W280" s="20"/>
      <c r="X280" s="5"/>
      <c r="Y280" s="5"/>
      <c r="Z280" s="5" t="s">
        <v>132</v>
      </c>
      <c r="AA280" s="5" t="s">
        <v>1803</v>
      </c>
    </row>
    <row r="281" ht="15.0" customHeight="1">
      <c r="A281" s="5" t="s">
        <v>1804</v>
      </c>
      <c r="B281" s="5" t="s">
        <v>1805</v>
      </c>
      <c r="C281" s="5" t="s">
        <v>1806</v>
      </c>
      <c r="D281" s="5"/>
      <c r="E281" s="5"/>
      <c r="F281" s="20"/>
      <c r="G281" s="20"/>
      <c r="H281" s="5" t="s">
        <v>43</v>
      </c>
      <c r="I281" s="5" t="s">
        <v>422</v>
      </c>
      <c r="J281" s="5" t="s">
        <v>114</v>
      </c>
      <c r="K281" s="5" t="s">
        <v>1807</v>
      </c>
      <c r="L281" s="5" t="s">
        <v>1808</v>
      </c>
      <c r="M281" s="5" t="s">
        <v>8</v>
      </c>
      <c r="N281" s="5" t="s">
        <v>80</v>
      </c>
      <c r="O281" s="5" t="str">
        <f>IF(B281="","",IFERROR(LOOKUP(2,1/('Call Log'!$C$2:$C$5000=B281),'Call Log'!$B$2:$B$5000),""))</f>
        <v/>
      </c>
      <c r="P281" s="5">
        <f>IF(B281="","",COUNTIFS('Call Log'!$C$2:$C$5000,B281,'Call Log'!$A$2:$A$5000,"&gt;="&amp;(TODAY()-WEEKDAY(TODAY(),2)+1)))</f>
        <v>0</v>
      </c>
      <c r="Q281" s="5">
        <f>IF(B281="","",COUNTIF('Call Log'!$C$2:$C$5000,B281))</f>
        <v>0</v>
      </c>
      <c r="R281" s="21" t="str">
        <f>IF(B281="","",IFERROR(IF(MAXIFS('Call Log'!$A$2:$A$5000,'Call Log'!$C$2:$C$5000,B281)=0,"",MAXIFS('Call Log'!$A$2:$A$5000,'Call Log'!$C$2:$C$5000,B281)),""))</f>
        <v/>
      </c>
      <c r="S281" s="5"/>
      <c r="T281" s="21"/>
      <c r="U281" s="21"/>
      <c r="V281" s="5"/>
      <c r="W281" s="20"/>
      <c r="X281" s="5"/>
      <c r="Y281" s="5"/>
      <c r="Z281" s="5" t="s">
        <v>132</v>
      </c>
      <c r="AA281" s="5" t="s">
        <v>1809</v>
      </c>
    </row>
    <row r="282" ht="15.0" customHeight="1">
      <c r="A282" s="5" t="s">
        <v>1810</v>
      </c>
      <c r="B282" s="5" t="s">
        <v>1811</v>
      </c>
      <c r="C282" s="5" t="s">
        <v>1812</v>
      </c>
      <c r="D282" s="5"/>
      <c r="E282" s="5">
        <v>30.0</v>
      </c>
      <c r="F282" s="20"/>
      <c r="G282" s="20"/>
      <c r="H282" s="5" t="s">
        <v>40</v>
      </c>
      <c r="I282" s="5" t="s">
        <v>129</v>
      </c>
      <c r="J282" s="5" t="s">
        <v>114</v>
      </c>
      <c r="K282" s="5" t="s">
        <v>1813</v>
      </c>
      <c r="L282" s="5"/>
      <c r="M282" s="5" t="s">
        <v>8</v>
      </c>
      <c r="N282" s="5" t="s">
        <v>80</v>
      </c>
      <c r="O282" s="5" t="str">
        <f>IF(B282="","",IFERROR(LOOKUP(2,1/('Call Log'!$C$2:$C$5000=B282),'Call Log'!$B$2:$B$5000),""))</f>
        <v/>
      </c>
      <c r="P282" s="5">
        <f>IF(B282="","",COUNTIFS('Call Log'!$C$2:$C$5000,B282,'Call Log'!$A$2:$A$5000,"&gt;="&amp;(TODAY()-WEEKDAY(TODAY(),2)+1)))</f>
        <v>0</v>
      </c>
      <c r="Q282" s="5">
        <f>IF(B282="","",COUNTIF('Call Log'!$C$2:$C$5000,B282))</f>
        <v>0</v>
      </c>
      <c r="R282" s="21" t="str">
        <f>IF(B282="","",IFERROR(IF(MAXIFS('Call Log'!$A$2:$A$5000,'Call Log'!$C$2:$C$5000,B282)=0,"",MAXIFS('Call Log'!$A$2:$A$5000,'Call Log'!$C$2:$C$5000,B282)),""))</f>
        <v/>
      </c>
      <c r="S282" s="5"/>
      <c r="T282" s="21"/>
      <c r="U282" s="21"/>
      <c r="V282" s="5"/>
      <c r="W282" s="20"/>
      <c r="X282" s="5"/>
      <c r="Y282" s="5"/>
      <c r="Z282" s="5" t="s">
        <v>132</v>
      </c>
      <c r="AA282" s="5" t="s">
        <v>1814</v>
      </c>
    </row>
    <row r="283" ht="15.0" customHeight="1">
      <c r="A283" s="5" t="s">
        <v>1815</v>
      </c>
      <c r="B283" s="5" t="s">
        <v>1816</v>
      </c>
      <c r="C283" s="5" t="s">
        <v>1817</v>
      </c>
      <c r="D283" s="5"/>
      <c r="E283" s="5"/>
      <c r="F283" s="20"/>
      <c r="G283" s="20"/>
      <c r="H283" s="5" t="s">
        <v>41</v>
      </c>
      <c r="I283" s="5" t="s">
        <v>146</v>
      </c>
      <c r="J283" s="5" t="s">
        <v>114</v>
      </c>
      <c r="K283" s="5" t="s">
        <v>1818</v>
      </c>
      <c r="L283" s="5"/>
      <c r="M283" s="5" t="s">
        <v>8</v>
      </c>
      <c r="N283" s="5" t="s">
        <v>80</v>
      </c>
      <c r="O283" s="5" t="str">
        <f>IF(B283="","",IFERROR(LOOKUP(2,1/('Call Log'!$C$2:$C$5000=B283),'Call Log'!$B$2:$B$5000),""))</f>
        <v/>
      </c>
      <c r="P283" s="5">
        <f>IF(B283="","",COUNTIFS('Call Log'!$C$2:$C$5000,B283,'Call Log'!$A$2:$A$5000,"&gt;="&amp;(TODAY()-WEEKDAY(TODAY(),2)+1)))</f>
        <v>0</v>
      </c>
      <c r="Q283" s="5">
        <f>IF(B283="","",COUNTIF('Call Log'!$C$2:$C$5000,B283))</f>
        <v>0</v>
      </c>
      <c r="R283" s="21" t="str">
        <f>IF(B283="","",IFERROR(IF(MAXIFS('Call Log'!$A$2:$A$5000,'Call Log'!$C$2:$C$5000,B283)=0,"",MAXIFS('Call Log'!$A$2:$A$5000,'Call Log'!$C$2:$C$5000,B283)),""))</f>
        <v/>
      </c>
      <c r="S283" s="5"/>
      <c r="T283" s="21"/>
      <c r="U283" s="21"/>
      <c r="V283" s="5"/>
      <c r="W283" s="20"/>
      <c r="X283" s="5"/>
      <c r="Y283" s="5"/>
      <c r="Z283" s="5" t="s">
        <v>132</v>
      </c>
      <c r="AA283" s="5" t="s">
        <v>1819</v>
      </c>
    </row>
    <row r="284" ht="15.0" customHeight="1">
      <c r="A284" s="5" t="s">
        <v>1820</v>
      </c>
      <c r="B284" s="5" t="s">
        <v>1821</v>
      </c>
      <c r="C284" s="5" t="s">
        <v>1822</v>
      </c>
      <c r="D284" s="5"/>
      <c r="E284" s="5"/>
      <c r="F284" s="20"/>
      <c r="G284" s="20"/>
      <c r="H284" s="5" t="s">
        <v>40</v>
      </c>
      <c r="I284" s="5" t="s">
        <v>146</v>
      </c>
      <c r="J284" s="5" t="s">
        <v>114</v>
      </c>
      <c r="K284" s="5" t="s">
        <v>1823</v>
      </c>
      <c r="L284" s="5"/>
      <c r="M284" s="5" t="s">
        <v>8</v>
      </c>
      <c r="N284" s="5" t="s">
        <v>80</v>
      </c>
      <c r="O284" s="5" t="str">
        <f>IF(B284="","",IFERROR(LOOKUP(2,1/('Call Log'!$C$2:$C$5000=B284),'Call Log'!$B$2:$B$5000),""))</f>
        <v/>
      </c>
      <c r="P284" s="5">
        <f>IF(B284="","",COUNTIFS('Call Log'!$C$2:$C$5000,B284,'Call Log'!$A$2:$A$5000,"&gt;="&amp;(TODAY()-WEEKDAY(TODAY(),2)+1)))</f>
        <v>0</v>
      </c>
      <c r="Q284" s="5">
        <f>IF(B284="","",COUNTIF('Call Log'!$C$2:$C$5000,B284))</f>
        <v>0</v>
      </c>
      <c r="R284" s="21" t="str">
        <f>IF(B284="","",IFERROR(IF(MAXIFS('Call Log'!$A$2:$A$5000,'Call Log'!$C$2:$C$5000,B284)=0,"",MAXIFS('Call Log'!$A$2:$A$5000,'Call Log'!$C$2:$C$5000,B284)),""))</f>
        <v/>
      </c>
      <c r="S284" s="5"/>
      <c r="T284" s="21"/>
      <c r="U284" s="21"/>
      <c r="V284" s="5"/>
      <c r="W284" s="20"/>
      <c r="X284" s="5"/>
      <c r="Y284" s="5"/>
      <c r="Z284" s="5" t="s">
        <v>132</v>
      </c>
      <c r="AA284" s="5" t="s">
        <v>1824</v>
      </c>
    </row>
    <row r="285" ht="15.0" customHeight="1">
      <c r="A285" s="5" t="s">
        <v>1825</v>
      </c>
      <c r="B285" s="5" t="s">
        <v>1826</v>
      </c>
      <c r="C285" s="5" t="s">
        <v>1827</v>
      </c>
      <c r="D285" s="5"/>
      <c r="E285" s="5">
        <v>4.0</v>
      </c>
      <c r="F285" s="20"/>
      <c r="G285" s="20"/>
      <c r="H285" s="5" t="s">
        <v>40</v>
      </c>
      <c r="I285" s="5" t="s">
        <v>146</v>
      </c>
      <c r="J285" s="5" t="s">
        <v>114</v>
      </c>
      <c r="K285" s="5" t="s">
        <v>1828</v>
      </c>
      <c r="L285" s="5"/>
      <c r="M285" s="5" t="s">
        <v>8</v>
      </c>
      <c r="N285" s="5" t="s">
        <v>80</v>
      </c>
      <c r="O285" s="5" t="str">
        <f>IF(B285="","",IFERROR(LOOKUP(2,1/('Call Log'!$C$2:$C$5000=B285),'Call Log'!$B$2:$B$5000),""))</f>
        <v/>
      </c>
      <c r="P285" s="5">
        <f>IF(B285="","",COUNTIFS('Call Log'!$C$2:$C$5000,B285,'Call Log'!$A$2:$A$5000,"&gt;="&amp;(TODAY()-WEEKDAY(TODAY(),2)+1)))</f>
        <v>0</v>
      </c>
      <c r="Q285" s="5">
        <f>IF(B285="","",COUNTIF('Call Log'!$C$2:$C$5000,B285))</f>
        <v>0</v>
      </c>
      <c r="R285" s="21" t="str">
        <f>IF(B285="","",IFERROR(IF(MAXIFS('Call Log'!$A$2:$A$5000,'Call Log'!$C$2:$C$5000,B285)=0,"",MAXIFS('Call Log'!$A$2:$A$5000,'Call Log'!$C$2:$C$5000,B285)),""))</f>
        <v/>
      </c>
      <c r="S285" s="5"/>
      <c r="T285" s="21"/>
      <c r="U285" s="21"/>
      <c r="V285" s="5"/>
      <c r="W285" s="20"/>
      <c r="X285" s="5"/>
      <c r="Y285" s="5"/>
      <c r="Z285" s="5" t="s">
        <v>132</v>
      </c>
      <c r="AA285" s="5" t="s">
        <v>1829</v>
      </c>
    </row>
    <row r="286" ht="15.0" customHeight="1">
      <c r="A286" s="5" t="s">
        <v>1830</v>
      </c>
      <c r="B286" s="5" t="s">
        <v>1831</v>
      </c>
      <c r="C286" s="5" t="s">
        <v>1832</v>
      </c>
      <c r="D286" s="5"/>
      <c r="E286" s="5">
        <v>1.0</v>
      </c>
      <c r="F286" s="20"/>
      <c r="G286" s="20"/>
      <c r="H286" s="5" t="s">
        <v>40</v>
      </c>
      <c r="I286" s="5" t="s">
        <v>161</v>
      </c>
      <c r="J286" s="5" t="s">
        <v>114</v>
      </c>
      <c r="K286" s="5" t="s">
        <v>1833</v>
      </c>
      <c r="L286" s="5"/>
      <c r="M286" s="5" t="s">
        <v>8</v>
      </c>
      <c r="N286" s="5" t="s">
        <v>80</v>
      </c>
      <c r="O286" s="5" t="str">
        <f>IF(B286="","",IFERROR(LOOKUP(2,1/('Call Log'!$C$2:$C$5000=B286),'Call Log'!$B$2:$B$5000),""))</f>
        <v/>
      </c>
      <c r="P286" s="5">
        <f>IF(B286="","",COUNTIFS('Call Log'!$C$2:$C$5000,B286,'Call Log'!$A$2:$A$5000,"&gt;="&amp;(TODAY()-WEEKDAY(TODAY(),2)+1)))</f>
        <v>0</v>
      </c>
      <c r="Q286" s="5">
        <f>IF(B286="","",COUNTIF('Call Log'!$C$2:$C$5000,B286))</f>
        <v>0</v>
      </c>
      <c r="R286" s="21" t="str">
        <f>IF(B286="","",IFERROR(IF(MAXIFS('Call Log'!$A$2:$A$5000,'Call Log'!$C$2:$C$5000,B286)=0,"",MAXIFS('Call Log'!$A$2:$A$5000,'Call Log'!$C$2:$C$5000,B286)),""))</f>
        <v/>
      </c>
      <c r="S286" s="5"/>
      <c r="T286" s="21"/>
      <c r="U286" s="21"/>
      <c r="V286" s="5"/>
      <c r="W286" s="20"/>
      <c r="X286" s="5"/>
      <c r="Y286" s="5"/>
      <c r="Z286" s="5" t="s">
        <v>132</v>
      </c>
      <c r="AA286" s="5" t="s">
        <v>1834</v>
      </c>
    </row>
    <row r="287" ht="15.0" customHeight="1">
      <c r="A287" s="5" t="s">
        <v>1835</v>
      </c>
      <c r="B287" s="5" t="s">
        <v>1836</v>
      </c>
      <c r="C287" s="5" t="s">
        <v>1837</v>
      </c>
      <c r="D287" s="5"/>
      <c r="E287" s="5">
        <v>9.0</v>
      </c>
      <c r="F287" s="20"/>
      <c r="G287" s="20"/>
      <c r="H287" s="5" t="s">
        <v>43</v>
      </c>
      <c r="I287" s="5" t="s">
        <v>1320</v>
      </c>
      <c r="J287" s="5" t="s">
        <v>114</v>
      </c>
      <c r="K287" s="5" t="s">
        <v>1838</v>
      </c>
      <c r="L287" s="5"/>
      <c r="M287" s="5" t="s">
        <v>8</v>
      </c>
      <c r="N287" s="5" t="s">
        <v>80</v>
      </c>
      <c r="O287" s="5" t="str">
        <f>IF(B287="","",IFERROR(LOOKUP(2,1/('Call Log'!$C$2:$C$5000=B287),'Call Log'!$B$2:$B$5000),""))</f>
        <v/>
      </c>
      <c r="P287" s="5">
        <f>IF(B287="","",COUNTIFS('Call Log'!$C$2:$C$5000,B287,'Call Log'!$A$2:$A$5000,"&gt;="&amp;(TODAY()-WEEKDAY(TODAY(),2)+1)))</f>
        <v>0</v>
      </c>
      <c r="Q287" s="5">
        <f>IF(B287="","",COUNTIF('Call Log'!$C$2:$C$5000,B287))</f>
        <v>0</v>
      </c>
      <c r="R287" s="21" t="str">
        <f>IF(B287="","",IFERROR(IF(MAXIFS('Call Log'!$A$2:$A$5000,'Call Log'!$C$2:$C$5000,B287)=0,"",MAXIFS('Call Log'!$A$2:$A$5000,'Call Log'!$C$2:$C$5000,B287)),""))</f>
        <v/>
      </c>
      <c r="S287" s="5"/>
      <c r="T287" s="21"/>
      <c r="U287" s="21"/>
      <c r="V287" s="5"/>
      <c r="W287" s="20"/>
      <c r="X287" s="5"/>
      <c r="Y287" s="5"/>
      <c r="Z287" s="5" t="s">
        <v>132</v>
      </c>
      <c r="AA287" s="5" t="s">
        <v>1839</v>
      </c>
    </row>
    <row r="288" ht="15.0" customHeight="1">
      <c r="A288" s="5" t="s">
        <v>1840</v>
      </c>
      <c r="B288" s="5" t="s">
        <v>1841</v>
      </c>
      <c r="C288" s="5" t="s">
        <v>1842</v>
      </c>
      <c r="D288" s="5"/>
      <c r="E288" s="5"/>
      <c r="F288" s="20"/>
      <c r="G288" s="20"/>
      <c r="H288" s="5" t="s">
        <v>41</v>
      </c>
      <c r="I288" s="5" t="s">
        <v>161</v>
      </c>
      <c r="J288" s="5" t="s">
        <v>114</v>
      </c>
      <c r="K288" s="5" t="s">
        <v>1843</v>
      </c>
      <c r="L288" s="5" t="s">
        <v>1844</v>
      </c>
      <c r="M288" s="5" t="s">
        <v>8</v>
      </c>
      <c r="N288" s="5" t="s">
        <v>80</v>
      </c>
      <c r="O288" s="5" t="str">
        <f>IF(B288="","",IFERROR(LOOKUP(2,1/('Call Log'!$C$2:$C$5000=B288),'Call Log'!$B$2:$B$5000),""))</f>
        <v/>
      </c>
      <c r="P288" s="5">
        <f>IF(B288="","",COUNTIFS('Call Log'!$C$2:$C$5000,B288,'Call Log'!$A$2:$A$5000,"&gt;="&amp;(TODAY()-WEEKDAY(TODAY(),2)+1)))</f>
        <v>0</v>
      </c>
      <c r="Q288" s="5">
        <f>IF(B288="","",COUNTIF('Call Log'!$C$2:$C$5000,B288))</f>
        <v>0</v>
      </c>
      <c r="R288" s="21" t="str">
        <f>IF(B288="","",IFERROR(IF(MAXIFS('Call Log'!$A$2:$A$5000,'Call Log'!$C$2:$C$5000,B288)=0,"",MAXIFS('Call Log'!$A$2:$A$5000,'Call Log'!$C$2:$C$5000,B288)),""))</f>
        <v/>
      </c>
      <c r="S288" s="5"/>
      <c r="T288" s="21"/>
      <c r="U288" s="21"/>
      <c r="V288" s="5"/>
      <c r="W288" s="20"/>
      <c r="X288" s="5"/>
      <c r="Y288" s="5"/>
      <c r="Z288" s="5" t="s">
        <v>132</v>
      </c>
      <c r="AA288" s="5" t="s">
        <v>1845</v>
      </c>
    </row>
    <row r="289" ht="15.0" customHeight="1">
      <c r="A289" s="5" t="s">
        <v>1846</v>
      </c>
      <c r="B289" s="5" t="s">
        <v>1847</v>
      </c>
      <c r="C289" s="5" t="s">
        <v>1848</v>
      </c>
      <c r="D289" s="5"/>
      <c r="E289" s="5">
        <v>5.0</v>
      </c>
      <c r="F289" s="20"/>
      <c r="G289" s="20"/>
      <c r="H289" s="5" t="s">
        <v>41</v>
      </c>
      <c r="I289" s="5" t="s">
        <v>122</v>
      </c>
      <c r="J289" s="5" t="s">
        <v>114</v>
      </c>
      <c r="K289" s="5" t="s">
        <v>1849</v>
      </c>
      <c r="L289" s="5" t="s">
        <v>1850</v>
      </c>
      <c r="M289" s="5" t="s">
        <v>8</v>
      </c>
      <c r="N289" s="5" t="s">
        <v>80</v>
      </c>
      <c r="O289" s="5" t="str">
        <f>IF(B289="","",IFERROR(LOOKUP(2,1/('Call Log'!$C$2:$C$5000=B289),'Call Log'!$B$2:$B$5000),""))</f>
        <v/>
      </c>
      <c r="P289" s="5">
        <f>IF(B289="","",COUNTIFS('Call Log'!$C$2:$C$5000,B289,'Call Log'!$A$2:$A$5000,"&gt;="&amp;(TODAY()-WEEKDAY(TODAY(),2)+1)))</f>
        <v>0</v>
      </c>
      <c r="Q289" s="5">
        <f>IF(B289="","",COUNTIF('Call Log'!$C$2:$C$5000,B289))</f>
        <v>0</v>
      </c>
      <c r="R289" s="21" t="str">
        <f>IF(B289="","",IFERROR(IF(MAXIFS('Call Log'!$A$2:$A$5000,'Call Log'!$C$2:$C$5000,B289)=0,"",MAXIFS('Call Log'!$A$2:$A$5000,'Call Log'!$C$2:$C$5000,B289)),""))</f>
        <v/>
      </c>
      <c r="S289" s="5"/>
      <c r="T289" s="21"/>
      <c r="U289" s="21"/>
      <c r="V289" s="5"/>
      <c r="W289" s="20"/>
      <c r="X289" s="5"/>
      <c r="Y289" s="5"/>
      <c r="Z289" s="5" t="s">
        <v>178</v>
      </c>
      <c r="AA289" s="5" t="s">
        <v>1851</v>
      </c>
    </row>
    <row r="290" ht="15.0" customHeight="1">
      <c r="A290" s="5" t="s">
        <v>1852</v>
      </c>
      <c r="B290" s="5" t="s">
        <v>1853</v>
      </c>
      <c r="C290" s="5" t="s">
        <v>1854</v>
      </c>
      <c r="D290" s="5"/>
      <c r="E290" s="5">
        <v>1.0</v>
      </c>
      <c r="F290" s="20"/>
      <c r="G290" s="20"/>
      <c r="H290" s="5" t="s">
        <v>40</v>
      </c>
      <c r="I290" s="5" t="s">
        <v>122</v>
      </c>
      <c r="J290" s="5" t="s">
        <v>114</v>
      </c>
      <c r="K290" s="5" t="s">
        <v>1855</v>
      </c>
      <c r="L290" s="5"/>
      <c r="M290" s="5" t="s">
        <v>8</v>
      </c>
      <c r="N290" s="5" t="s">
        <v>80</v>
      </c>
      <c r="O290" s="5" t="str">
        <f>IF(B290="","",IFERROR(LOOKUP(2,1/('Call Log'!$C$2:$C$5000=B290),'Call Log'!$B$2:$B$5000),""))</f>
        <v/>
      </c>
      <c r="P290" s="5">
        <f>IF(B290="","",COUNTIFS('Call Log'!$C$2:$C$5000,B290,'Call Log'!$A$2:$A$5000,"&gt;="&amp;(TODAY()-WEEKDAY(TODAY(),2)+1)))</f>
        <v>0</v>
      </c>
      <c r="Q290" s="5">
        <f>IF(B290="","",COUNTIF('Call Log'!$C$2:$C$5000,B290))</f>
        <v>0</v>
      </c>
      <c r="R290" s="21" t="str">
        <f>IF(B290="","",IFERROR(IF(MAXIFS('Call Log'!$A$2:$A$5000,'Call Log'!$C$2:$C$5000,B290)=0,"",MAXIFS('Call Log'!$A$2:$A$5000,'Call Log'!$C$2:$C$5000,B290)),""))</f>
        <v/>
      </c>
      <c r="S290" s="5"/>
      <c r="T290" s="21"/>
      <c r="U290" s="21"/>
      <c r="V290" s="5"/>
      <c r="W290" s="20"/>
      <c r="X290" s="5"/>
      <c r="Y290" s="5"/>
      <c r="Z290" s="5" t="s">
        <v>132</v>
      </c>
      <c r="AA290" s="5" t="s">
        <v>1856</v>
      </c>
    </row>
    <row r="291" ht="15.0" customHeight="1">
      <c r="A291" s="5" t="s">
        <v>1857</v>
      </c>
      <c r="B291" s="5" t="s">
        <v>1858</v>
      </c>
      <c r="C291" s="5" t="s">
        <v>1859</v>
      </c>
      <c r="D291" s="5"/>
      <c r="E291" s="5">
        <v>5.0</v>
      </c>
      <c r="F291" s="20"/>
      <c r="G291" s="20"/>
      <c r="H291" s="5" t="s">
        <v>41</v>
      </c>
      <c r="I291" s="5" t="s">
        <v>370</v>
      </c>
      <c r="J291" s="5" t="s">
        <v>114</v>
      </c>
      <c r="K291" s="5" t="s">
        <v>1860</v>
      </c>
      <c r="L291" s="5" t="s">
        <v>1861</v>
      </c>
      <c r="M291" s="5" t="s">
        <v>8</v>
      </c>
      <c r="N291" s="5" t="s">
        <v>80</v>
      </c>
      <c r="O291" s="5" t="str">
        <f>IF(B291="","",IFERROR(LOOKUP(2,1/('Call Log'!$C$2:$C$5000=B291),'Call Log'!$B$2:$B$5000),""))</f>
        <v/>
      </c>
      <c r="P291" s="5">
        <f>IF(B291="","",COUNTIFS('Call Log'!$C$2:$C$5000,B291,'Call Log'!$A$2:$A$5000,"&gt;="&amp;(TODAY()-WEEKDAY(TODAY(),2)+1)))</f>
        <v>0</v>
      </c>
      <c r="Q291" s="5">
        <f>IF(B291="","",COUNTIF('Call Log'!$C$2:$C$5000,B291))</f>
        <v>0</v>
      </c>
      <c r="R291" s="21" t="str">
        <f>IF(B291="","",IFERROR(IF(MAXIFS('Call Log'!$A$2:$A$5000,'Call Log'!$C$2:$C$5000,B291)=0,"",MAXIFS('Call Log'!$A$2:$A$5000,'Call Log'!$C$2:$C$5000,B291)),""))</f>
        <v/>
      </c>
      <c r="S291" s="5"/>
      <c r="T291" s="21"/>
      <c r="U291" s="21"/>
      <c r="V291" s="5"/>
      <c r="W291" s="20"/>
      <c r="X291" s="5"/>
      <c r="Y291" s="5"/>
      <c r="Z291" s="5" t="s">
        <v>178</v>
      </c>
      <c r="AA291" s="5" t="s">
        <v>1862</v>
      </c>
    </row>
    <row r="292" ht="15.0" customHeight="1">
      <c r="A292" s="5" t="s">
        <v>1863</v>
      </c>
      <c r="B292" s="5" t="s">
        <v>1864</v>
      </c>
      <c r="C292" s="5" t="s">
        <v>1865</v>
      </c>
      <c r="D292" s="5"/>
      <c r="E292" s="5"/>
      <c r="F292" s="20"/>
      <c r="G292" s="20"/>
      <c r="H292" s="5" t="s">
        <v>40</v>
      </c>
      <c r="I292" s="5" t="s">
        <v>246</v>
      </c>
      <c r="J292" s="5" t="s">
        <v>114</v>
      </c>
      <c r="K292" s="5" t="s">
        <v>1866</v>
      </c>
      <c r="L292" s="5" t="s">
        <v>1867</v>
      </c>
      <c r="M292" s="5" t="s">
        <v>8</v>
      </c>
      <c r="N292" s="5" t="s">
        <v>80</v>
      </c>
      <c r="O292" s="5" t="str">
        <f>IF(B292="","",IFERROR(LOOKUP(2,1/('Call Log'!$C$2:$C$5000=B292),'Call Log'!$B$2:$B$5000),""))</f>
        <v/>
      </c>
      <c r="P292" s="5">
        <f>IF(B292="","",COUNTIFS('Call Log'!$C$2:$C$5000,B292,'Call Log'!$A$2:$A$5000,"&gt;="&amp;(TODAY()-WEEKDAY(TODAY(),2)+1)))</f>
        <v>0</v>
      </c>
      <c r="Q292" s="5">
        <f>IF(B292="","",COUNTIF('Call Log'!$C$2:$C$5000,B292))</f>
        <v>0</v>
      </c>
      <c r="R292" s="21" t="str">
        <f>IF(B292="","",IFERROR(IF(MAXIFS('Call Log'!$A$2:$A$5000,'Call Log'!$C$2:$C$5000,B292)=0,"",MAXIFS('Call Log'!$A$2:$A$5000,'Call Log'!$C$2:$C$5000,B292)),""))</f>
        <v/>
      </c>
      <c r="S292" s="5"/>
      <c r="T292" s="21"/>
      <c r="U292" s="21"/>
      <c r="V292" s="5"/>
      <c r="W292" s="20"/>
      <c r="X292" s="5"/>
      <c r="Y292" s="5"/>
      <c r="Z292" s="5" t="s">
        <v>132</v>
      </c>
      <c r="AA292" s="5" t="s">
        <v>1868</v>
      </c>
    </row>
    <row r="293" ht="15.0" customHeight="1">
      <c r="A293" s="5" t="s">
        <v>1869</v>
      </c>
      <c r="B293" s="5" t="s">
        <v>1870</v>
      </c>
      <c r="C293" s="5" t="s">
        <v>1871</v>
      </c>
      <c r="D293" s="5"/>
      <c r="E293" s="5"/>
      <c r="F293" s="20"/>
      <c r="G293" s="20"/>
      <c r="H293" s="5" t="s">
        <v>40</v>
      </c>
      <c r="I293" s="5" t="s">
        <v>113</v>
      </c>
      <c r="J293" s="5" t="s">
        <v>114</v>
      </c>
      <c r="K293" s="5" t="s">
        <v>1872</v>
      </c>
      <c r="L293" s="5"/>
      <c r="M293" s="5" t="s">
        <v>8</v>
      </c>
      <c r="N293" s="5" t="s">
        <v>80</v>
      </c>
      <c r="O293" s="5" t="str">
        <f>IF(B293="","",IFERROR(LOOKUP(2,1/('Call Log'!$C$2:$C$5000=B293),'Call Log'!$B$2:$B$5000),""))</f>
        <v/>
      </c>
      <c r="P293" s="5">
        <f>IF(B293="","",COUNTIFS('Call Log'!$C$2:$C$5000,B293,'Call Log'!$A$2:$A$5000,"&gt;="&amp;(TODAY()-WEEKDAY(TODAY(),2)+1)))</f>
        <v>0</v>
      </c>
      <c r="Q293" s="5">
        <f>IF(B293="","",COUNTIF('Call Log'!$C$2:$C$5000,B293))</f>
        <v>0</v>
      </c>
      <c r="R293" s="21" t="str">
        <f>IF(B293="","",IFERROR(IF(MAXIFS('Call Log'!$A$2:$A$5000,'Call Log'!$C$2:$C$5000,B293)=0,"",MAXIFS('Call Log'!$A$2:$A$5000,'Call Log'!$C$2:$C$5000,B293)),""))</f>
        <v/>
      </c>
      <c r="S293" s="5"/>
      <c r="T293" s="21"/>
      <c r="U293" s="21"/>
      <c r="V293" s="5"/>
      <c r="W293" s="20"/>
      <c r="X293" s="5"/>
      <c r="Y293" s="5"/>
      <c r="Z293" s="5" t="s">
        <v>132</v>
      </c>
      <c r="AA293" s="5" t="s">
        <v>1873</v>
      </c>
    </row>
    <row r="294" ht="15.0" customHeight="1">
      <c r="A294" s="5" t="s">
        <v>1874</v>
      </c>
      <c r="B294" s="5" t="s">
        <v>1875</v>
      </c>
      <c r="C294" s="5" t="s">
        <v>1876</v>
      </c>
      <c r="D294" s="5"/>
      <c r="E294" s="5"/>
      <c r="F294" s="20"/>
      <c r="G294" s="20"/>
      <c r="H294" s="5" t="s">
        <v>41</v>
      </c>
      <c r="I294" s="5" t="s">
        <v>175</v>
      </c>
      <c r="J294" s="5" t="s">
        <v>114</v>
      </c>
      <c r="K294" s="5" t="s">
        <v>1877</v>
      </c>
      <c r="L294" s="5"/>
      <c r="M294" s="5" t="s">
        <v>8</v>
      </c>
      <c r="N294" s="5" t="s">
        <v>80</v>
      </c>
      <c r="O294" s="5" t="str">
        <f>IF(B294="","",IFERROR(LOOKUP(2,1/('Call Log'!$C$2:$C$5000=B294),'Call Log'!$B$2:$B$5000),""))</f>
        <v/>
      </c>
      <c r="P294" s="5">
        <f>IF(B294="","",COUNTIFS('Call Log'!$C$2:$C$5000,B294,'Call Log'!$A$2:$A$5000,"&gt;="&amp;(TODAY()-WEEKDAY(TODAY(),2)+1)))</f>
        <v>0</v>
      </c>
      <c r="Q294" s="5">
        <f>IF(B294="","",COUNTIF('Call Log'!$C$2:$C$5000,B294))</f>
        <v>0</v>
      </c>
      <c r="R294" s="21" t="str">
        <f>IF(B294="","",IFERROR(IF(MAXIFS('Call Log'!$A$2:$A$5000,'Call Log'!$C$2:$C$5000,B294)=0,"",MAXIFS('Call Log'!$A$2:$A$5000,'Call Log'!$C$2:$C$5000,B294)),""))</f>
        <v/>
      </c>
      <c r="S294" s="5"/>
      <c r="T294" s="21"/>
      <c r="U294" s="21"/>
      <c r="V294" s="5"/>
      <c r="W294" s="20"/>
      <c r="X294" s="5"/>
      <c r="Y294" s="5"/>
      <c r="Z294" s="5" t="s">
        <v>178</v>
      </c>
      <c r="AA294" s="5" t="s">
        <v>1878</v>
      </c>
    </row>
    <row r="295" ht="15.0" customHeight="1">
      <c r="A295" s="5" t="s">
        <v>1879</v>
      </c>
      <c r="B295" s="5" t="s">
        <v>1880</v>
      </c>
      <c r="C295" s="5" t="s">
        <v>1881</v>
      </c>
      <c r="D295" s="5"/>
      <c r="E295" s="5"/>
      <c r="F295" s="20"/>
      <c r="G295" s="20"/>
      <c r="H295" s="5" t="s">
        <v>40</v>
      </c>
      <c r="I295" s="5" t="s">
        <v>357</v>
      </c>
      <c r="J295" s="5" t="s">
        <v>114</v>
      </c>
      <c r="K295" s="5" t="s">
        <v>1882</v>
      </c>
      <c r="L295" s="5" t="s">
        <v>1883</v>
      </c>
      <c r="M295" s="5" t="s">
        <v>8</v>
      </c>
      <c r="N295" s="5" t="s">
        <v>80</v>
      </c>
      <c r="O295" s="5" t="str">
        <f>IF(B295="","",IFERROR(LOOKUP(2,1/('Call Log'!$C$2:$C$5000=B295),'Call Log'!$B$2:$B$5000),""))</f>
        <v/>
      </c>
      <c r="P295" s="5">
        <f>IF(B295="","",COUNTIFS('Call Log'!$C$2:$C$5000,B295,'Call Log'!$A$2:$A$5000,"&gt;="&amp;(TODAY()-WEEKDAY(TODAY(),2)+1)))</f>
        <v>0</v>
      </c>
      <c r="Q295" s="5">
        <f>IF(B295="","",COUNTIF('Call Log'!$C$2:$C$5000,B295))</f>
        <v>0</v>
      </c>
      <c r="R295" s="21" t="str">
        <f>IF(B295="","",IFERROR(IF(MAXIFS('Call Log'!$A$2:$A$5000,'Call Log'!$C$2:$C$5000,B295)=0,"",MAXIFS('Call Log'!$A$2:$A$5000,'Call Log'!$C$2:$C$5000,B295)),""))</f>
        <v/>
      </c>
      <c r="S295" s="5"/>
      <c r="T295" s="21"/>
      <c r="U295" s="21"/>
      <c r="V295" s="5"/>
      <c r="W295" s="20"/>
      <c r="X295" s="5"/>
      <c r="Y295" s="5"/>
      <c r="Z295" s="5" t="s">
        <v>132</v>
      </c>
      <c r="AA295" s="5" t="s">
        <v>1884</v>
      </c>
    </row>
    <row r="296" ht="15.0" customHeight="1">
      <c r="A296" s="5" t="s">
        <v>1885</v>
      </c>
      <c r="B296" s="5" t="s">
        <v>1886</v>
      </c>
      <c r="C296" s="5" t="s">
        <v>1887</v>
      </c>
      <c r="D296" s="5"/>
      <c r="E296" s="5">
        <v>5.0</v>
      </c>
      <c r="F296" s="20"/>
      <c r="G296" s="20"/>
      <c r="H296" s="5" t="s">
        <v>41</v>
      </c>
      <c r="I296" s="5" t="s">
        <v>594</v>
      </c>
      <c r="J296" s="5" t="s">
        <v>114</v>
      </c>
      <c r="K296" s="5" t="s">
        <v>1888</v>
      </c>
      <c r="L296" s="5" t="s">
        <v>1889</v>
      </c>
      <c r="M296" s="5" t="s">
        <v>8</v>
      </c>
      <c r="N296" s="5" t="s">
        <v>80</v>
      </c>
      <c r="O296" s="5" t="str">
        <f>IF(B296="","",IFERROR(LOOKUP(2,1/('Call Log'!$C$2:$C$5000=B296),'Call Log'!$B$2:$B$5000),""))</f>
        <v/>
      </c>
      <c r="P296" s="5">
        <f>IF(B296="","",COUNTIFS('Call Log'!$C$2:$C$5000,B296,'Call Log'!$A$2:$A$5000,"&gt;="&amp;(TODAY()-WEEKDAY(TODAY(),2)+1)))</f>
        <v>0</v>
      </c>
      <c r="Q296" s="5">
        <f>IF(B296="","",COUNTIF('Call Log'!$C$2:$C$5000,B296))</f>
        <v>0</v>
      </c>
      <c r="R296" s="21" t="str">
        <f>IF(B296="","",IFERROR(IF(MAXIFS('Call Log'!$A$2:$A$5000,'Call Log'!$C$2:$C$5000,B296)=0,"",MAXIFS('Call Log'!$A$2:$A$5000,'Call Log'!$C$2:$C$5000,B296)),""))</f>
        <v/>
      </c>
      <c r="S296" s="5"/>
      <c r="T296" s="21"/>
      <c r="U296" s="21"/>
      <c r="V296" s="5"/>
      <c r="W296" s="20"/>
      <c r="X296" s="5"/>
      <c r="Y296" s="5"/>
      <c r="Z296" s="5" t="s">
        <v>132</v>
      </c>
      <c r="AA296" s="5" t="s">
        <v>1890</v>
      </c>
    </row>
    <row r="297" ht="15.0" customHeight="1">
      <c r="A297" s="5" t="s">
        <v>1891</v>
      </c>
      <c r="B297" s="5" t="s">
        <v>1892</v>
      </c>
      <c r="C297" s="5" t="s">
        <v>1893</v>
      </c>
      <c r="D297" s="5"/>
      <c r="E297" s="5"/>
      <c r="F297" s="20"/>
      <c r="G297" s="20"/>
      <c r="H297" s="5" t="s">
        <v>41</v>
      </c>
      <c r="I297" s="5" t="s">
        <v>175</v>
      </c>
      <c r="J297" s="5" t="s">
        <v>114</v>
      </c>
      <c r="K297" s="5" t="s">
        <v>1894</v>
      </c>
      <c r="L297" s="5"/>
      <c r="M297" s="5" t="s">
        <v>8</v>
      </c>
      <c r="N297" s="5" t="s">
        <v>80</v>
      </c>
      <c r="O297" s="5" t="str">
        <f>IF(B297="","",IFERROR(LOOKUP(2,1/('Call Log'!$C$2:$C$5000=B297),'Call Log'!$B$2:$B$5000),""))</f>
        <v/>
      </c>
      <c r="P297" s="5">
        <f>IF(B297="","",COUNTIFS('Call Log'!$C$2:$C$5000,B297,'Call Log'!$A$2:$A$5000,"&gt;="&amp;(TODAY()-WEEKDAY(TODAY(),2)+1)))</f>
        <v>0</v>
      </c>
      <c r="Q297" s="5">
        <f>IF(B297="","",COUNTIF('Call Log'!$C$2:$C$5000,B297))</f>
        <v>0</v>
      </c>
      <c r="R297" s="21" t="str">
        <f>IF(B297="","",IFERROR(IF(MAXIFS('Call Log'!$A$2:$A$5000,'Call Log'!$C$2:$C$5000,B297)=0,"",MAXIFS('Call Log'!$A$2:$A$5000,'Call Log'!$C$2:$C$5000,B297)),""))</f>
        <v/>
      </c>
      <c r="S297" s="5"/>
      <c r="T297" s="21"/>
      <c r="U297" s="21"/>
      <c r="V297" s="5"/>
      <c r="W297" s="20"/>
      <c r="X297" s="5"/>
      <c r="Y297" s="5"/>
      <c r="Z297" s="5" t="s">
        <v>132</v>
      </c>
      <c r="AA297" s="5" t="s">
        <v>1895</v>
      </c>
    </row>
    <row r="298" ht="15.0" customHeight="1">
      <c r="A298" s="5" t="s">
        <v>1896</v>
      </c>
      <c r="B298" s="5" t="s">
        <v>1897</v>
      </c>
      <c r="C298" s="5" t="s">
        <v>1898</v>
      </c>
      <c r="D298" s="5"/>
      <c r="E298" s="5">
        <v>4.0</v>
      </c>
      <c r="F298" s="20"/>
      <c r="G298" s="20"/>
      <c r="H298" s="5" t="s">
        <v>41</v>
      </c>
      <c r="I298" s="5" t="s">
        <v>154</v>
      </c>
      <c r="J298" s="5" t="s">
        <v>114</v>
      </c>
      <c r="K298" s="5" t="s">
        <v>1899</v>
      </c>
      <c r="L298" s="5" t="s">
        <v>1900</v>
      </c>
      <c r="M298" s="5" t="s">
        <v>8</v>
      </c>
      <c r="N298" s="5" t="s">
        <v>80</v>
      </c>
      <c r="O298" s="5" t="str">
        <f>IF(B298="","",IFERROR(LOOKUP(2,1/('Call Log'!$C$2:$C$5000=B298),'Call Log'!$B$2:$B$5000),""))</f>
        <v/>
      </c>
      <c r="P298" s="5">
        <f>IF(B298="","",COUNTIFS('Call Log'!$C$2:$C$5000,B298,'Call Log'!$A$2:$A$5000,"&gt;="&amp;(TODAY()-WEEKDAY(TODAY(),2)+1)))</f>
        <v>0</v>
      </c>
      <c r="Q298" s="5">
        <f>IF(B298="","",COUNTIF('Call Log'!$C$2:$C$5000,B298))</f>
        <v>0</v>
      </c>
      <c r="R298" s="21" t="str">
        <f>IF(B298="","",IFERROR(IF(MAXIFS('Call Log'!$A$2:$A$5000,'Call Log'!$C$2:$C$5000,B298)=0,"",MAXIFS('Call Log'!$A$2:$A$5000,'Call Log'!$C$2:$C$5000,B298)),""))</f>
        <v/>
      </c>
      <c r="S298" s="5"/>
      <c r="T298" s="21"/>
      <c r="U298" s="21"/>
      <c r="V298" s="5"/>
      <c r="W298" s="20"/>
      <c r="X298" s="5"/>
      <c r="Y298" s="5"/>
      <c r="Z298" s="5" t="s">
        <v>132</v>
      </c>
      <c r="AA298" s="5" t="s">
        <v>1901</v>
      </c>
    </row>
    <row r="299" ht="15.0" customHeight="1">
      <c r="A299" s="5" t="s">
        <v>1902</v>
      </c>
      <c r="B299" s="5" t="s">
        <v>1903</v>
      </c>
      <c r="C299" s="5" t="s">
        <v>1904</v>
      </c>
      <c r="D299" s="5"/>
      <c r="E299" s="5"/>
      <c r="F299" s="20"/>
      <c r="G299" s="20"/>
      <c r="H299" s="5" t="s">
        <v>40</v>
      </c>
      <c r="I299" s="5" t="s">
        <v>146</v>
      </c>
      <c r="J299" s="5" t="s">
        <v>114</v>
      </c>
      <c r="K299" s="5" t="s">
        <v>1905</v>
      </c>
      <c r="L299" s="5"/>
      <c r="M299" s="5" t="s">
        <v>8</v>
      </c>
      <c r="N299" s="5" t="s">
        <v>80</v>
      </c>
      <c r="O299" s="5" t="str">
        <f>IF(B299="","",IFERROR(LOOKUP(2,1/('Call Log'!$C$2:$C$5000=B299),'Call Log'!$B$2:$B$5000),""))</f>
        <v/>
      </c>
      <c r="P299" s="5">
        <f>IF(B299="","",COUNTIFS('Call Log'!$C$2:$C$5000,B299,'Call Log'!$A$2:$A$5000,"&gt;="&amp;(TODAY()-WEEKDAY(TODAY(),2)+1)))</f>
        <v>0</v>
      </c>
      <c r="Q299" s="5">
        <f>IF(B299="","",COUNTIF('Call Log'!$C$2:$C$5000,B299))</f>
        <v>0</v>
      </c>
      <c r="R299" s="21" t="str">
        <f>IF(B299="","",IFERROR(IF(MAXIFS('Call Log'!$A$2:$A$5000,'Call Log'!$C$2:$C$5000,B299)=0,"",MAXIFS('Call Log'!$A$2:$A$5000,'Call Log'!$C$2:$C$5000,B299)),""))</f>
        <v/>
      </c>
      <c r="S299" s="5"/>
      <c r="T299" s="21"/>
      <c r="U299" s="21"/>
      <c r="V299" s="5"/>
      <c r="W299" s="20"/>
      <c r="X299" s="5"/>
      <c r="Y299" s="5"/>
      <c r="Z299" s="5" t="s">
        <v>132</v>
      </c>
      <c r="AA299" s="5" t="s">
        <v>1906</v>
      </c>
    </row>
    <row r="300" ht="15.0" customHeight="1">
      <c r="A300" s="5" t="s">
        <v>1907</v>
      </c>
      <c r="B300" s="5" t="s">
        <v>1908</v>
      </c>
      <c r="C300" s="5" t="s">
        <v>1909</v>
      </c>
      <c r="D300" s="5"/>
      <c r="E300" s="5"/>
      <c r="F300" s="20"/>
      <c r="G300" s="20"/>
      <c r="H300" s="5" t="s">
        <v>41</v>
      </c>
      <c r="I300" s="5" t="s">
        <v>146</v>
      </c>
      <c r="J300" s="5" t="s">
        <v>114</v>
      </c>
      <c r="K300" s="5" t="s">
        <v>1910</v>
      </c>
      <c r="L300" s="5"/>
      <c r="M300" s="5" t="s">
        <v>8</v>
      </c>
      <c r="N300" s="5" t="s">
        <v>80</v>
      </c>
      <c r="O300" s="5" t="str">
        <f>IF(B300="","",IFERROR(LOOKUP(2,1/('Call Log'!$C$2:$C$5000=B300),'Call Log'!$B$2:$B$5000),""))</f>
        <v/>
      </c>
      <c r="P300" s="5">
        <f>IF(B300="","",COUNTIFS('Call Log'!$C$2:$C$5000,B300,'Call Log'!$A$2:$A$5000,"&gt;="&amp;(TODAY()-WEEKDAY(TODAY(),2)+1)))</f>
        <v>0</v>
      </c>
      <c r="Q300" s="5">
        <f>IF(B300="","",COUNTIF('Call Log'!$C$2:$C$5000,B300))</f>
        <v>0</v>
      </c>
      <c r="R300" s="21" t="str">
        <f>IF(B300="","",IFERROR(IF(MAXIFS('Call Log'!$A$2:$A$5000,'Call Log'!$C$2:$C$5000,B300)=0,"",MAXIFS('Call Log'!$A$2:$A$5000,'Call Log'!$C$2:$C$5000,B300)),""))</f>
        <v/>
      </c>
      <c r="S300" s="5"/>
      <c r="T300" s="21"/>
      <c r="U300" s="21"/>
      <c r="V300" s="5"/>
      <c r="W300" s="20"/>
      <c r="X300" s="5"/>
      <c r="Y300" s="5"/>
      <c r="Z300" s="5" t="s">
        <v>132</v>
      </c>
      <c r="AA300" s="5" t="s">
        <v>1911</v>
      </c>
    </row>
    <row r="301" ht="15.0" customHeight="1">
      <c r="A301" s="5" t="s">
        <v>1912</v>
      </c>
      <c r="B301" s="5" t="s">
        <v>1913</v>
      </c>
      <c r="C301" s="5" t="s">
        <v>1914</v>
      </c>
      <c r="D301" s="5"/>
      <c r="E301" s="5">
        <v>5.0</v>
      </c>
      <c r="F301" s="20"/>
      <c r="G301" s="20"/>
      <c r="H301" s="5" t="s">
        <v>41</v>
      </c>
      <c r="I301" s="5" t="s">
        <v>370</v>
      </c>
      <c r="J301" s="5" t="s">
        <v>114</v>
      </c>
      <c r="K301" s="5" t="s">
        <v>1915</v>
      </c>
      <c r="L301" s="5"/>
      <c r="M301" s="5" t="s">
        <v>8</v>
      </c>
      <c r="N301" s="5" t="s">
        <v>80</v>
      </c>
      <c r="O301" s="5" t="str">
        <f>IF(B301="","",IFERROR(LOOKUP(2,1/('Call Log'!$C$2:$C$5000=B301),'Call Log'!$B$2:$B$5000),""))</f>
        <v/>
      </c>
      <c r="P301" s="5">
        <f>IF(B301="","",COUNTIFS('Call Log'!$C$2:$C$5000,B301,'Call Log'!$A$2:$A$5000,"&gt;="&amp;(TODAY()-WEEKDAY(TODAY(),2)+1)))</f>
        <v>0</v>
      </c>
      <c r="Q301" s="5">
        <f>IF(B301="","",COUNTIF('Call Log'!$C$2:$C$5000,B301))</f>
        <v>0</v>
      </c>
      <c r="R301" s="21" t="str">
        <f>IF(B301="","",IFERROR(IF(MAXIFS('Call Log'!$A$2:$A$5000,'Call Log'!$C$2:$C$5000,B301)=0,"",MAXIFS('Call Log'!$A$2:$A$5000,'Call Log'!$C$2:$C$5000,B301)),""))</f>
        <v/>
      </c>
      <c r="S301" s="5"/>
      <c r="T301" s="21"/>
      <c r="U301" s="21"/>
      <c r="V301" s="5"/>
      <c r="W301" s="20"/>
      <c r="X301" s="5"/>
      <c r="Y301" s="5"/>
      <c r="Z301" s="5" t="s">
        <v>132</v>
      </c>
      <c r="AA301" s="5" t="s">
        <v>1916</v>
      </c>
    </row>
    <row r="302" ht="15.0" customHeight="1">
      <c r="A302" s="5" t="s">
        <v>1917</v>
      </c>
      <c r="B302" s="5" t="s">
        <v>1918</v>
      </c>
      <c r="C302" s="5" t="s">
        <v>1919</v>
      </c>
      <c r="D302" s="5"/>
      <c r="E302" s="5">
        <v>1.0</v>
      </c>
      <c r="F302" s="20"/>
      <c r="G302" s="20"/>
      <c r="H302" s="5" t="s">
        <v>41</v>
      </c>
      <c r="I302" s="5" t="s">
        <v>547</v>
      </c>
      <c r="J302" s="5" t="s">
        <v>114</v>
      </c>
      <c r="K302" s="5" t="s">
        <v>1920</v>
      </c>
      <c r="L302" s="5"/>
      <c r="M302" s="5" t="s">
        <v>8</v>
      </c>
      <c r="N302" s="5" t="s">
        <v>80</v>
      </c>
      <c r="O302" s="5" t="str">
        <f>IF(B302="","",IFERROR(LOOKUP(2,1/('Call Log'!$C$2:$C$5000=B302),'Call Log'!$B$2:$B$5000),""))</f>
        <v/>
      </c>
      <c r="P302" s="5">
        <f>IF(B302="","",COUNTIFS('Call Log'!$C$2:$C$5000,B302,'Call Log'!$A$2:$A$5000,"&gt;="&amp;(TODAY()-WEEKDAY(TODAY(),2)+1)))</f>
        <v>0</v>
      </c>
      <c r="Q302" s="5">
        <f>IF(B302="","",COUNTIF('Call Log'!$C$2:$C$5000,B302))</f>
        <v>0</v>
      </c>
      <c r="R302" s="21" t="str">
        <f>IF(B302="","",IFERROR(IF(MAXIFS('Call Log'!$A$2:$A$5000,'Call Log'!$C$2:$C$5000,B302)=0,"",MAXIFS('Call Log'!$A$2:$A$5000,'Call Log'!$C$2:$C$5000,B302)),""))</f>
        <v/>
      </c>
      <c r="S302" s="5"/>
      <c r="T302" s="21"/>
      <c r="U302" s="21"/>
      <c r="V302" s="5"/>
      <c r="W302" s="20"/>
      <c r="X302" s="5"/>
      <c r="Y302" s="5"/>
      <c r="Z302" s="5" t="s">
        <v>132</v>
      </c>
      <c r="AA302" s="5" t="s">
        <v>1921</v>
      </c>
    </row>
    <row r="303" ht="15.0" customHeight="1">
      <c r="A303" s="5" t="s">
        <v>1922</v>
      </c>
      <c r="B303" s="5" t="s">
        <v>1923</v>
      </c>
      <c r="C303" s="5" t="s">
        <v>1924</v>
      </c>
      <c r="D303" s="5"/>
      <c r="E303" s="5"/>
      <c r="F303" s="20"/>
      <c r="G303" s="20"/>
      <c r="H303" s="5" t="s">
        <v>41</v>
      </c>
      <c r="I303" s="5" t="s">
        <v>246</v>
      </c>
      <c r="J303" s="5" t="s">
        <v>114</v>
      </c>
      <c r="K303" s="5" t="s">
        <v>1925</v>
      </c>
      <c r="L303" s="5"/>
      <c r="M303" s="5" t="s">
        <v>8</v>
      </c>
      <c r="N303" s="5" t="s">
        <v>80</v>
      </c>
      <c r="O303" s="5" t="str">
        <f>IF(B303="","",IFERROR(LOOKUP(2,1/('Call Log'!$C$2:$C$5000=B303),'Call Log'!$B$2:$B$5000),""))</f>
        <v/>
      </c>
      <c r="P303" s="5">
        <f>IF(B303="","",COUNTIFS('Call Log'!$C$2:$C$5000,B303,'Call Log'!$A$2:$A$5000,"&gt;="&amp;(TODAY()-WEEKDAY(TODAY(),2)+1)))</f>
        <v>0</v>
      </c>
      <c r="Q303" s="5">
        <f>IF(B303="","",COUNTIF('Call Log'!$C$2:$C$5000,B303))</f>
        <v>0</v>
      </c>
      <c r="R303" s="21" t="str">
        <f>IF(B303="","",IFERROR(IF(MAXIFS('Call Log'!$A$2:$A$5000,'Call Log'!$C$2:$C$5000,B303)=0,"",MAXIFS('Call Log'!$A$2:$A$5000,'Call Log'!$C$2:$C$5000,B303)),""))</f>
        <v/>
      </c>
      <c r="S303" s="5"/>
      <c r="T303" s="21"/>
      <c r="U303" s="21"/>
      <c r="V303" s="5"/>
      <c r="W303" s="20"/>
      <c r="X303" s="5"/>
      <c r="Y303" s="5"/>
      <c r="Z303" s="5" t="s">
        <v>132</v>
      </c>
      <c r="AA303" s="5" t="s">
        <v>1926</v>
      </c>
    </row>
    <row r="304" ht="15.0" customHeight="1">
      <c r="A304" s="5" t="s">
        <v>1927</v>
      </c>
      <c r="B304" s="5" t="s">
        <v>1928</v>
      </c>
      <c r="C304" s="5" t="s">
        <v>1929</v>
      </c>
      <c r="D304" s="5"/>
      <c r="E304" s="5"/>
      <c r="F304" s="20"/>
      <c r="G304" s="20"/>
      <c r="H304" s="5" t="s">
        <v>41</v>
      </c>
      <c r="I304" s="5" t="s">
        <v>370</v>
      </c>
      <c r="J304" s="5" t="s">
        <v>114</v>
      </c>
      <c r="K304" s="5" t="s">
        <v>1930</v>
      </c>
      <c r="L304" s="5" t="s">
        <v>1931</v>
      </c>
      <c r="M304" s="5" t="s">
        <v>8</v>
      </c>
      <c r="N304" s="5" t="s">
        <v>80</v>
      </c>
      <c r="O304" s="5" t="str">
        <f>IF(B304="","",IFERROR(LOOKUP(2,1/('Call Log'!$C$2:$C$5000=B304),'Call Log'!$B$2:$B$5000),""))</f>
        <v/>
      </c>
      <c r="P304" s="5">
        <f>IF(B304="","",COUNTIFS('Call Log'!$C$2:$C$5000,B304,'Call Log'!$A$2:$A$5000,"&gt;="&amp;(TODAY()-WEEKDAY(TODAY(),2)+1)))</f>
        <v>0</v>
      </c>
      <c r="Q304" s="5">
        <f>IF(B304="","",COUNTIF('Call Log'!$C$2:$C$5000,B304))</f>
        <v>0</v>
      </c>
      <c r="R304" s="21" t="str">
        <f>IF(B304="","",IFERROR(IF(MAXIFS('Call Log'!$A$2:$A$5000,'Call Log'!$C$2:$C$5000,B304)=0,"",MAXIFS('Call Log'!$A$2:$A$5000,'Call Log'!$C$2:$C$5000,B304)),""))</f>
        <v/>
      </c>
      <c r="S304" s="5"/>
      <c r="T304" s="21"/>
      <c r="U304" s="21"/>
      <c r="V304" s="5"/>
      <c r="W304" s="20"/>
      <c r="X304" s="5"/>
      <c r="Y304" s="5"/>
      <c r="Z304" s="5" t="s">
        <v>178</v>
      </c>
      <c r="AA304" s="5" t="s">
        <v>1932</v>
      </c>
    </row>
    <row r="305" ht="15.0" customHeight="1">
      <c r="A305" s="5" t="s">
        <v>1933</v>
      </c>
      <c r="B305" s="5" t="s">
        <v>1934</v>
      </c>
      <c r="C305" s="5" t="s">
        <v>1935</v>
      </c>
      <c r="D305" s="5"/>
      <c r="E305" s="5"/>
      <c r="F305" s="20"/>
      <c r="G305" s="20"/>
      <c r="H305" s="5" t="s">
        <v>41</v>
      </c>
      <c r="I305" s="5" t="s">
        <v>184</v>
      </c>
      <c r="J305" s="5" t="s">
        <v>114</v>
      </c>
      <c r="K305" s="5" t="s">
        <v>1936</v>
      </c>
      <c r="L305" s="5" t="s">
        <v>1937</v>
      </c>
      <c r="M305" s="5" t="s">
        <v>8</v>
      </c>
      <c r="N305" s="5" t="s">
        <v>80</v>
      </c>
      <c r="O305" s="5" t="str">
        <f>IF(B305="","",IFERROR(LOOKUP(2,1/('Call Log'!$C$2:$C$5000=B305),'Call Log'!$B$2:$B$5000),""))</f>
        <v/>
      </c>
      <c r="P305" s="5">
        <f>IF(B305="","",COUNTIFS('Call Log'!$C$2:$C$5000,B305,'Call Log'!$A$2:$A$5000,"&gt;="&amp;(TODAY()-WEEKDAY(TODAY(),2)+1)))</f>
        <v>0</v>
      </c>
      <c r="Q305" s="5">
        <f>IF(B305="","",COUNTIF('Call Log'!$C$2:$C$5000,B305))</f>
        <v>0</v>
      </c>
      <c r="R305" s="21" t="str">
        <f>IF(B305="","",IFERROR(IF(MAXIFS('Call Log'!$A$2:$A$5000,'Call Log'!$C$2:$C$5000,B305)=0,"",MAXIFS('Call Log'!$A$2:$A$5000,'Call Log'!$C$2:$C$5000,B305)),""))</f>
        <v/>
      </c>
      <c r="S305" s="5"/>
      <c r="T305" s="21"/>
      <c r="U305" s="21"/>
      <c r="V305" s="5"/>
      <c r="W305" s="20"/>
      <c r="X305" s="5"/>
      <c r="Y305" s="5"/>
      <c r="Z305" s="5" t="s">
        <v>132</v>
      </c>
      <c r="AA305" s="5" t="s">
        <v>1938</v>
      </c>
    </row>
    <row r="306" ht="15.0" customHeight="1">
      <c r="A306" s="5" t="s">
        <v>1939</v>
      </c>
      <c r="B306" s="5" t="s">
        <v>1940</v>
      </c>
      <c r="C306" s="5" t="s">
        <v>1941</v>
      </c>
      <c r="D306" s="5"/>
      <c r="E306" s="5">
        <v>3.0</v>
      </c>
      <c r="F306" s="20"/>
      <c r="G306" s="20"/>
      <c r="H306" s="5" t="s">
        <v>40</v>
      </c>
      <c r="I306" s="5" t="s">
        <v>865</v>
      </c>
      <c r="J306" s="5" t="s">
        <v>114</v>
      </c>
      <c r="K306" s="5" t="s">
        <v>1942</v>
      </c>
      <c r="L306" s="5" t="s">
        <v>1943</v>
      </c>
      <c r="M306" s="5" t="s">
        <v>8</v>
      </c>
      <c r="N306" s="5" t="s">
        <v>80</v>
      </c>
      <c r="O306" s="5" t="str">
        <f>IF(B306="","",IFERROR(LOOKUP(2,1/('Call Log'!$C$2:$C$5000=B306),'Call Log'!$B$2:$B$5000),""))</f>
        <v/>
      </c>
      <c r="P306" s="5">
        <f>IF(B306="","",COUNTIFS('Call Log'!$C$2:$C$5000,B306,'Call Log'!$A$2:$A$5000,"&gt;="&amp;(TODAY()-WEEKDAY(TODAY(),2)+1)))</f>
        <v>0</v>
      </c>
      <c r="Q306" s="5">
        <f>IF(B306="","",COUNTIF('Call Log'!$C$2:$C$5000,B306))</f>
        <v>0</v>
      </c>
      <c r="R306" s="21" t="str">
        <f>IF(B306="","",IFERROR(IF(MAXIFS('Call Log'!$A$2:$A$5000,'Call Log'!$C$2:$C$5000,B306)=0,"",MAXIFS('Call Log'!$A$2:$A$5000,'Call Log'!$C$2:$C$5000,B306)),""))</f>
        <v/>
      </c>
      <c r="S306" s="5"/>
      <c r="T306" s="21"/>
      <c r="U306" s="21"/>
      <c r="V306" s="5"/>
      <c r="W306" s="20"/>
      <c r="X306" s="5"/>
      <c r="Y306" s="5"/>
      <c r="Z306" s="5" t="s">
        <v>132</v>
      </c>
      <c r="AA306" s="5" t="s">
        <v>1944</v>
      </c>
    </row>
    <row r="307" ht="15.0" customHeight="1">
      <c r="A307" s="5" t="s">
        <v>1945</v>
      </c>
      <c r="B307" s="5" t="s">
        <v>1946</v>
      </c>
      <c r="C307" s="5" t="s">
        <v>1947</v>
      </c>
      <c r="D307" s="5"/>
      <c r="E307" s="5"/>
      <c r="F307" s="20"/>
      <c r="G307" s="20"/>
      <c r="H307" s="5" t="s">
        <v>41</v>
      </c>
      <c r="I307" s="5" t="s">
        <v>184</v>
      </c>
      <c r="J307" s="5" t="s">
        <v>114</v>
      </c>
      <c r="K307" s="5" t="s">
        <v>1948</v>
      </c>
      <c r="L307" s="5"/>
      <c r="M307" s="5" t="s">
        <v>8</v>
      </c>
      <c r="N307" s="5" t="s">
        <v>80</v>
      </c>
      <c r="O307" s="5" t="str">
        <f>IF(B307="","",IFERROR(LOOKUP(2,1/('Call Log'!$C$2:$C$5000=B307),'Call Log'!$B$2:$B$5000),""))</f>
        <v/>
      </c>
      <c r="P307" s="5">
        <f>IF(B307="","",COUNTIFS('Call Log'!$C$2:$C$5000,B307,'Call Log'!$A$2:$A$5000,"&gt;="&amp;(TODAY()-WEEKDAY(TODAY(),2)+1)))</f>
        <v>0</v>
      </c>
      <c r="Q307" s="5">
        <f>IF(B307="","",COUNTIF('Call Log'!$C$2:$C$5000,B307))</f>
        <v>0</v>
      </c>
      <c r="R307" s="21" t="str">
        <f>IF(B307="","",IFERROR(IF(MAXIFS('Call Log'!$A$2:$A$5000,'Call Log'!$C$2:$C$5000,B307)=0,"",MAXIFS('Call Log'!$A$2:$A$5000,'Call Log'!$C$2:$C$5000,B307)),""))</f>
        <v/>
      </c>
      <c r="S307" s="5"/>
      <c r="T307" s="21"/>
      <c r="U307" s="21"/>
      <c r="V307" s="5"/>
      <c r="W307" s="20"/>
      <c r="X307" s="5"/>
      <c r="Y307" s="5"/>
      <c r="Z307" s="5" t="s">
        <v>132</v>
      </c>
      <c r="AA307" s="5" t="s">
        <v>1949</v>
      </c>
    </row>
    <row r="308" ht="15.0" customHeight="1">
      <c r="A308" s="5" t="s">
        <v>1950</v>
      </c>
      <c r="B308" s="5" t="s">
        <v>1951</v>
      </c>
      <c r="C308" s="5" t="s">
        <v>1952</v>
      </c>
      <c r="D308" s="5"/>
      <c r="E308" s="5">
        <v>10.0</v>
      </c>
      <c r="F308" s="20"/>
      <c r="G308" s="20"/>
      <c r="H308" s="5" t="s">
        <v>40</v>
      </c>
      <c r="I308" s="5" t="s">
        <v>154</v>
      </c>
      <c r="J308" s="5" t="s">
        <v>114</v>
      </c>
      <c r="K308" s="5" t="s">
        <v>1953</v>
      </c>
      <c r="L308" s="5"/>
      <c r="M308" s="5" t="s">
        <v>8</v>
      </c>
      <c r="N308" s="5" t="s">
        <v>80</v>
      </c>
      <c r="O308" s="5" t="str">
        <f>IF(B308="","",IFERROR(LOOKUP(2,1/('Call Log'!$C$2:$C$5000=B308),'Call Log'!$B$2:$B$5000),""))</f>
        <v/>
      </c>
      <c r="P308" s="5">
        <f>IF(B308="","",COUNTIFS('Call Log'!$C$2:$C$5000,B308,'Call Log'!$A$2:$A$5000,"&gt;="&amp;(TODAY()-WEEKDAY(TODAY(),2)+1)))</f>
        <v>0</v>
      </c>
      <c r="Q308" s="5">
        <f>IF(B308="","",COUNTIF('Call Log'!$C$2:$C$5000,B308))</f>
        <v>0</v>
      </c>
      <c r="R308" s="21" t="str">
        <f>IF(B308="","",IFERROR(IF(MAXIFS('Call Log'!$A$2:$A$5000,'Call Log'!$C$2:$C$5000,B308)=0,"",MAXIFS('Call Log'!$A$2:$A$5000,'Call Log'!$C$2:$C$5000,B308)),""))</f>
        <v/>
      </c>
      <c r="S308" s="5"/>
      <c r="T308" s="21"/>
      <c r="U308" s="21"/>
      <c r="V308" s="5"/>
      <c r="W308" s="20"/>
      <c r="X308" s="5"/>
      <c r="Y308" s="5"/>
      <c r="Z308" s="5" t="s">
        <v>132</v>
      </c>
      <c r="AA308" s="5" t="s">
        <v>1954</v>
      </c>
    </row>
    <row r="309" ht="15.0" customHeight="1">
      <c r="A309" s="5" t="s">
        <v>1955</v>
      </c>
      <c r="B309" s="5" t="s">
        <v>1956</v>
      </c>
      <c r="C309" s="5" t="s">
        <v>1957</v>
      </c>
      <c r="D309" s="5"/>
      <c r="E309" s="5">
        <v>18.0</v>
      </c>
      <c r="F309" s="20"/>
      <c r="G309" s="20"/>
      <c r="H309" s="5" t="s">
        <v>40</v>
      </c>
      <c r="I309" s="5" t="s">
        <v>161</v>
      </c>
      <c r="J309" s="5" t="s">
        <v>114</v>
      </c>
      <c r="K309" s="5" t="s">
        <v>1958</v>
      </c>
      <c r="L309" s="5" t="s">
        <v>1959</v>
      </c>
      <c r="M309" s="5" t="s">
        <v>8</v>
      </c>
      <c r="N309" s="5" t="s">
        <v>80</v>
      </c>
      <c r="O309" s="5" t="str">
        <f>IF(B309="","",IFERROR(LOOKUP(2,1/('Call Log'!$C$2:$C$5000=B309),'Call Log'!$B$2:$B$5000),""))</f>
        <v/>
      </c>
      <c r="P309" s="5">
        <f>IF(B309="","",COUNTIFS('Call Log'!$C$2:$C$5000,B309,'Call Log'!$A$2:$A$5000,"&gt;="&amp;(TODAY()-WEEKDAY(TODAY(),2)+1)))</f>
        <v>0</v>
      </c>
      <c r="Q309" s="5">
        <f>IF(B309="","",COUNTIF('Call Log'!$C$2:$C$5000,B309))</f>
        <v>0</v>
      </c>
      <c r="R309" s="21" t="str">
        <f>IF(B309="","",IFERROR(IF(MAXIFS('Call Log'!$A$2:$A$5000,'Call Log'!$C$2:$C$5000,B309)=0,"",MAXIFS('Call Log'!$A$2:$A$5000,'Call Log'!$C$2:$C$5000,B309)),""))</f>
        <v/>
      </c>
      <c r="S309" s="5"/>
      <c r="T309" s="21"/>
      <c r="U309" s="21"/>
      <c r="V309" s="5"/>
      <c r="W309" s="20"/>
      <c r="X309" s="5"/>
      <c r="Y309" s="5"/>
      <c r="Z309" s="5" t="s">
        <v>132</v>
      </c>
      <c r="AA309" s="5" t="s">
        <v>1960</v>
      </c>
    </row>
    <row r="310" ht="15.0" customHeight="1">
      <c r="A310" s="5" t="s">
        <v>1961</v>
      </c>
      <c r="B310" s="5" t="s">
        <v>1962</v>
      </c>
      <c r="C310" s="5" t="s">
        <v>1963</v>
      </c>
      <c r="D310" s="5"/>
      <c r="E310" s="5"/>
      <c r="F310" s="20"/>
      <c r="G310" s="20"/>
      <c r="H310" s="5" t="s">
        <v>40</v>
      </c>
      <c r="I310" s="5" t="s">
        <v>146</v>
      </c>
      <c r="J310" s="5" t="s">
        <v>114</v>
      </c>
      <c r="K310" s="5" t="s">
        <v>1964</v>
      </c>
      <c r="L310" s="5"/>
      <c r="M310" s="5" t="s">
        <v>8</v>
      </c>
      <c r="N310" s="5" t="s">
        <v>80</v>
      </c>
      <c r="O310" s="5" t="str">
        <f>IF(B310="","",IFERROR(LOOKUP(2,1/('Call Log'!$C$2:$C$5000=B310),'Call Log'!$B$2:$B$5000),""))</f>
        <v/>
      </c>
      <c r="P310" s="5">
        <f>IF(B310="","",COUNTIFS('Call Log'!$C$2:$C$5000,B310,'Call Log'!$A$2:$A$5000,"&gt;="&amp;(TODAY()-WEEKDAY(TODAY(),2)+1)))</f>
        <v>0</v>
      </c>
      <c r="Q310" s="5">
        <f>IF(B310="","",COUNTIF('Call Log'!$C$2:$C$5000,B310))</f>
        <v>0</v>
      </c>
      <c r="R310" s="21" t="str">
        <f>IF(B310="","",IFERROR(IF(MAXIFS('Call Log'!$A$2:$A$5000,'Call Log'!$C$2:$C$5000,B310)=0,"",MAXIFS('Call Log'!$A$2:$A$5000,'Call Log'!$C$2:$C$5000,B310)),""))</f>
        <v/>
      </c>
      <c r="S310" s="5"/>
      <c r="T310" s="21"/>
      <c r="U310" s="21"/>
      <c r="V310" s="5"/>
      <c r="W310" s="20"/>
      <c r="X310" s="5"/>
      <c r="Y310" s="5"/>
      <c r="Z310" s="5" t="s">
        <v>132</v>
      </c>
      <c r="AA310" s="5" t="s">
        <v>1965</v>
      </c>
    </row>
    <row r="311" ht="15.0" customHeight="1">
      <c r="A311" s="5" t="s">
        <v>1966</v>
      </c>
      <c r="B311" s="5" t="s">
        <v>1967</v>
      </c>
      <c r="C311" s="5" t="s">
        <v>1968</v>
      </c>
      <c r="D311" s="5"/>
      <c r="E311" s="5"/>
      <c r="F311" s="20"/>
      <c r="G311" s="20"/>
      <c r="H311" s="5" t="s">
        <v>41</v>
      </c>
      <c r="I311" s="5" t="s">
        <v>246</v>
      </c>
      <c r="J311" s="5" t="s">
        <v>114</v>
      </c>
      <c r="K311" s="5" t="s">
        <v>1969</v>
      </c>
      <c r="L311" s="5"/>
      <c r="M311" s="5" t="s">
        <v>8</v>
      </c>
      <c r="N311" s="5" t="s">
        <v>80</v>
      </c>
      <c r="O311" s="5" t="str">
        <f>IF(B311="","",IFERROR(LOOKUP(2,1/('Call Log'!$C$2:$C$5000=B311),'Call Log'!$B$2:$B$5000),""))</f>
        <v/>
      </c>
      <c r="P311" s="5">
        <f>IF(B311="","",COUNTIFS('Call Log'!$C$2:$C$5000,B311,'Call Log'!$A$2:$A$5000,"&gt;="&amp;(TODAY()-WEEKDAY(TODAY(),2)+1)))</f>
        <v>0</v>
      </c>
      <c r="Q311" s="5">
        <f>IF(B311="","",COUNTIF('Call Log'!$C$2:$C$5000,B311))</f>
        <v>0</v>
      </c>
      <c r="R311" s="21" t="str">
        <f>IF(B311="","",IFERROR(IF(MAXIFS('Call Log'!$A$2:$A$5000,'Call Log'!$C$2:$C$5000,B311)=0,"",MAXIFS('Call Log'!$A$2:$A$5000,'Call Log'!$C$2:$C$5000,B311)),""))</f>
        <v/>
      </c>
      <c r="S311" s="5"/>
      <c r="T311" s="21"/>
      <c r="U311" s="21"/>
      <c r="V311" s="5"/>
      <c r="W311" s="20"/>
      <c r="X311" s="5"/>
      <c r="Y311" s="5"/>
      <c r="Z311" s="5" t="s">
        <v>132</v>
      </c>
      <c r="AA311" s="5" t="s">
        <v>1970</v>
      </c>
    </row>
    <row r="312" ht="15.0" customHeight="1">
      <c r="A312" s="5" t="s">
        <v>1971</v>
      </c>
      <c r="B312" s="5" t="s">
        <v>1972</v>
      </c>
      <c r="C312" s="5" t="s">
        <v>1973</v>
      </c>
      <c r="D312" s="5"/>
      <c r="E312" s="5">
        <v>11.0</v>
      </c>
      <c r="F312" s="20"/>
      <c r="G312" s="20"/>
      <c r="H312" s="5" t="s">
        <v>40</v>
      </c>
      <c r="I312" s="5" t="s">
        <v>161</v>
      </c>
      <c r="J312" s="5" t="s">
        <v>114</v>
      </c>
      <c r="K312" s="5" t="s">
        <v>1974</v>
      </c>
      <c r="L312" s="5"/>
      <c r="M312" s="5" t="s">
        <v>8</v>
      </c>
      <c r="N312" s="5" t="s">
        <v>80</v>
      </c>
      <c r="O312" s="5" t="str">
        <f>IF(B312="","",IFERROR(LOOKUP(2,1/('Call Log'!$C$2:$C$5000=B312),'Call Log'!$B$2:$B$5000),""))</f>
        <v/>
      </c>
      <c r="P312" s="5">
        <f>IF(B312="","",COUNTIFS('Call Log'!$C$2:$C$5000,B312,'Call Log'!$A$2:$A$5000,"&gt;="&amp;(TODAY()-WEEKDAY(TODAY(),2)+1)))</f>
        <v>0</v>
      </c>
      <c r="Q312" s="5">
        <f>IF(B312="","",COUNTIF('Call Log'!$C$2:$C$5000,B312))</f>
        <v>0</v>
      </c>
      <c r="R312" s="21" t="str">
        <f>IF(B312="","",IFERROR(IF(MAXIFS('Call Log'!$A$2:$A$5000,'Call Log'!$C$2:$C$5000,B312)=0,"",MAXIFS('Call Log'!$A$2:$A$5000,'Call Log'!$C$2:$C$5000,B312)),""))</f>
        <v/>
      </c>
      <c r="S312" s="5"/>
      <c r="T312" s="21"/>
      <c r="U312" s="21"/>
      <c r="V312" s="5"/>
      <c r="W312" s="20"/>
      <c r="X312" s="5"/>
      <c r="Y312" s="5"/>
      <c r="Z312" s="5" t="s">
        <v>132</v>
      </c>
      <c r="AA312" s="5" t="s">
        <v>1975</v>
      </c>
    </row>
    <row r="313" ht="15.0" customHeight="1">
      <c r="A313" s="5" t="s">
        <v>1976</v>
      </c>
      <c r="B313" s="5" t="s">
        <v>1977</v>
      </c>
      <c r="C313" s="5" t="s">
        <v>1978</v>
      </c>
      <c r="D313" s="5"/>
      <c r="E313" s="5">
        <v>3.0</v>
      </c>
      <c r="F313" s="20"/>
      <c r="G313" s="20"/>
      <c r="H313" s="5" t="s">
        <v>43</v>
      </c>
      <c r="I313" s="5" t="s">
        <v>175</v>
      </c>
      <c r="J313" s="5" t="s">
        <v>114</v>
      </c>
      <c r="K313" s="5" t="s">
        <v>1979</v>
      </c>
      <c r="L313" s="5"/>
      <c r="M313" s="5" t="s">
        <v>8</v>
      </c>
      <c r="N313" s="5" t="s">
        <v>80</v>
      </c>
      <c r="O313" s="5" t="str">
        <f>IF(B313="","",IFERROR(LOOKUP(2,1/('Call Log'!$C$2:$C$5000=B313),'Call Log'!$B$2:$B$5000),""))</f>
        <v/>
      </c>
      <c r="P313" s="5">
        <f>IF(B313="","",COUNTIFS('Call Log'!$C$2:$C$5000,B313,'Call Log'!$A$2:$A$5000,"&gt;="&amp;(TODAY()-WEEKDAY(TODAY(),2)+1)))</f>
        <v>0</v>
      </c>
      <c r="Q313" s="5">
        <f>IF(B313="","",COUNTIF('Call Log'!$C$2:$C$5000,B313))</f>
        <v>0</v>
      </c>
      <c r="R313" s="21" t="str">
        <f>IF(B313="","",IFERROR(IF(MAXIFS('Call Log'!$A$2:$A$5000,'Call Log'!$C$2:$C$5000,B313)=0,"",MAXIFS('Call Log'!$A$2:$A$5000,'Call Log'!$C$2:$C$5000,B313)),""))</f>
        <v/>
      </c>
      <c r="S313" s="5"/>
      <c r="T313" s="21"/>
      <c r="U313" s="21"/>
      <c r="V313" s="5"/>
      <c r="W313" s="20"/>
      <c r="X313" s="5"/>
      <c r="Y313" s="5"/>
      <c r="Z313" s="5" t="s">
        <v>132</v>
      </c>
      <c r="AA313" s="5" t="s">
        <v>1980</v>
      </c>
    </row>
    <row r="314" ht="15.0" customHeight="1">
      <c r="A314" s="5" t="s">
        <v>1981</v>
      </c>
      <c r="B314" s="5" t="s">
        <v>1982</v>
      </c>
      <c r="C314" s="5" t="s">
        <v>1983</v>
      </c>
      <c r="D314" s="5"/>
      <c r="E314" s="5">
        <v>2.0</v>
      </c>
      <c r="F314" s="20"/>
      <c r="G314" s="20"/>
      <c r="H314" s="5" t="s">
        <v>43</v>
      </c>
      <c r="I314" s="5" t="s">
        <v>721</v>
      </c>
      <c r="J314" s="5" t="s">
        <v>114</v>
      </c>
      <c r="K314" s="5" t="s">
        <v>1984</v>
      </c>
      <c r="L314" s="5"/>
      <c r="M314" s="5" t="s">
        <v>8</v>
      </c>
      <c r="N314" s="5" t="s">
        <v>80</v>
      </c>
      <c r="O314" s="5" t="str">
        <f>IF(B314="","",IFERROR(LOOKUP(2,1/('Call Log'!$C$2:$C$5000=B314),'Call Log'!$B$2:$B$5000),""))</f>
        <v/>
      </c>
      <c r="P314" s="5">
        <f>IF(B314="","",COUNTIFS('Call Log'!$C$2:$C$5000,B314,'Call Log'!$A$2:$A$5000,"&gt;="&amp;(TODAY()-WEEKDAY(TODAY(),2)+1)))</f>
        <v>0</v>
      </c>
      <c r="Q314" s="5">
        <f>IF(B314="","",COUNTIF('Call Log'!$C$2:$C$5000,B314))</f>
        <v>0</v>
      </c>
      <c r="R314" s="21" t="str">
        <f>IF(B314="","",IFERROR(IF(MAXIFS('Call Log'!$A$2:$A$5000,'Call Log'!$C$2:$C$5000,B314)=0,"",MAXIFS('Call Log'!$A$2:$A$5000,'Call Log'!$C$2:$C$5000,B314)),""))</f>
        <v/>
      </c>
      <c r="S314" s="5"/>
      <c r="T314" s="21"/>
      <c r="U314" s="21"/>
      <c r="V314" s="5"/>
      <c r="W314" s="20"/>
      <c r="X314" s="5"/>
      <c r="Y314" s="5"/>
      <c r="Z314" s="5" t="s">
        <v>132</v>
      </c>
      <c r="AA314" s="5" t="s">
        <v>1985</v>
      </c>
    </row>
    <row r="315" ht="15.0" customHeight="1">
      <c r="A315" s="5" t="s">
        <v>1986</v>
      </c>
      <c r="B315" s="5" t="s">
        <v>1987</v>
      </c>
      <c r="C315" s="5" t="s">
        <v>1988</v>
      </c>
      <c r="D315" s="5"/>
      <c r="E315" s="5">
        <v>6.0</v>
      </c>
      <c r="F315" s="20"/>
      <c r="G315" s="20"/>
      <c r="H315" s="5" t="s">
        <v>40</v>
      </c>
      <c r="I315" s="5" t="s">
        <v>175</v>
      </c>
      <c r="J315" s="5" t="s">
        <v>114</v>
      </c>
      <c r="K315" s="5" t="s">
        <v>1989</v>
      </c>
      <c r="L315" s="5"/>
      <c r="M315" s="5" t="s">
        <v>8</v>
      </c>
      <c r="N315" s="5" t="s">
        <v>80</v>
      </c>
      <c r="O315" s="5" t="str">
        <f>IF(B315="","",IFERROR(LOOKUP(2,1/('Call Log'!$C$2:$C$5000=B315),'Call Log'!$B$2:$B$5000),""))</f>
        <v/>
      </c>
      <c r="P315" s="5">
        <f>IF(B315="","",COUNTIFS('Call Log'!$C$2:$C$5000,B315,'Call Log'!$A$2:$A$5000,"&gt;="&amp;(TODAY()-WEEKDAY(TODAY(),2)+1)))</f>
        <v>0</v>
      </c>
      <c r="Q315" s="5">
        <f>IF(B315="","",COUNTIF('Call Log'!$C$2:$C$5000,B315))</f>
        <v>0</v>
      </c>
      <c r="R315" s="21" t="str">
        <f>IF(B315="","",IFERROR(IF(MAXIFS('Call Log'!$A$2:$A$5000,'Call Log'!$C$2:$C$5000,B315)=0,"",MAXIFS('Call Log'!$A$2:$A$5000,'Call Log'!$C$2:$C$5000,B315)),""))</f>
        <v/>
      </c>
      <c r="S315" s="5"/>
      <c r="T315" s="21"/>
      <c r="U315" s="21"/>
      <c r="V315" s="5"/>
      <c r="W315" s="20"/>
      <c r="X315" s="5"/>
      <c r="Y315" s="5"/>
      <c r="Z315" s="5" t="s">
        <v>132</v>
      </c>
      <c r="AA315" s="5" t="s">
        <v>1990</v>
      </c>
    </row>
    <row r="316" ht="15.0" customHeight="1">
      <c r="A316" s="5" t="s">
        <v>1991</v>
      </c>
      <c r="B316" s="5" t="s">
        <v>1992</v>
      </c>
      <c r="C316" s="5" t="s">
        <v>1993</v>
      </c>
      <c r="D316" s="5"/>
      <c r="E316" s="5">
        <v>17.0</v>
      </c>
      <c r="F316" s="20"/>
      <c r="G316" s="20"/>
      <c r="H316" s="5" t="s">
        <v>40</v>
      </c>
      <c r="I316" s="5" t="s">
        <v>246</v>
      </c>
      <c r="J316" s="5" t="s">
        <v>114</v>
      </c>
      <c r="K316" s="5" t="s">
        <v>1994</v>
      </c>
      <c r="L316" s="5" t="s">
        <v>1995</v>
      </c>
      <c r="M316" s="5" t="s">
        <v>8</v>
      </c>
      <c r="N316" s="5" t="s">
        <v>80</v>
      </c>
      <c r="O316" s="5" t="str">
        <f>IF(B316="","",IFERROR(LOOKUP(2,1/('Call Log'!$C$2:$C$5000=B316),'Call Log'!$B$2:$B$5000),""))</f>
        <v/>
      </c>
      <c r="P316" s="5">
        <f>IF(B316="","",COUNTIFS('Call Log'!$C$2:$C$5000,B316,'Call Log'!$A$2:$A$5000,"&gt;="&amp;(TODAY()-WEEKDAY(TODAY(),2)+1)))</f>
        <v>0</v>
      </c>
      <c r="Q316" s="5">
        <f>IF(B316="","",COUNTIF('Call Log'!$C$2:$C$5000,B316))</f>
        <v>0</v>
      </c>
      <c r="R316" s="21" t="str">
        <f>IF(B316="","",IFERROR(IF(MAXIFS('Call Log'!$A$2:$A$5000,'Call Log'!$C$2:$C$5000,B316)=0,"",MAXIFS('Call Log'!$A$2:$A$5000,'Call Log'!$C$2:$C$5000,B316)),""))</f>
        <v/>
      </c>
      <c r="S316" s="5"/>
      <c r="T316" s="21"/>
      <c r="U316" s="21"/>
      <c r="V316" s="5"/>
      <c r="W316" s="20"/>
      <c r="X316" s="5"/>
      <c r="Y316" s="5"/>
      <c r="Z316" s="5" t="s">
        <v>132</v>
      </c>
      <c r="AA316" s="5" t="s">
        <v>1996</v>
      </c>
    </row>
    <row r="317" ht="15.0" customHeight="1">
      <c r="A317" s="5" t="s">
        <v>1997</v>
      </c>
      <c r="B317" s="5" t="s">
        <v>1998</v>
      </c>
      <c r="C317" s="5" t="s">
        <v>1999</v>
      </c>
      <c r="D317" s="5"/>
      <c r="E317" s="5"/>
      <c r="F317" s="20"/>
      <c r="G317" s="20"/>
      <c r="H317" s="5" t="s">
        <v>41</v>
      </c>
      <c r="I317" s="5" t="s">
        <v>370</v>
      </c>
      <c r="J317" s="5" t="s">
        <v>114</v>
      </c>
      <c r="K317" s="5" t="s">
        <v>2000</v>
      </c>
      <c r="L317" s="5"/>
      <c r="M317" s="5" t="s">
        <v>8</v>
      </c>
      <c r="N317" s="5" t="s">
        <v>80</v>
      </c>
      <c r="O317" s="5" t="str">
        <f>IF(B317="","",IFERROR(LOOKUP(2,1/('Call Log'!$C$2:$C$5000=B317),'Call Log'!$B$2:$B$5000),""))</f>
        <v/>
      </c>
      <c r="P317" s="5">
        <f>IF(B317="","",COUNTIFS('Call Log'!$C$2:$C$5000,B317,'Call Log'!$A$2:$A$5000,"&gt;="&amp;(TODAY()-WEEKDAY(TODAY(),2)+1)))</f>
        <v>0</v>
      </c>
      <c r="Q317" s="5">
        <f>IF(B317="","",COUNTIF('Call Log'!$C$2:$C$5000,B317))</f>
        <v>0</v>
      </c>
      <c r="R317" s="21" t="str">
        <f>IF(B317="","",IFERROR(IF(MAXIFS('Call Log'!$A$2:$A$5000,'Call Log'!$C$2:$C$5000,B317)=0,"",MAXIFS('Call Log'!$A$2:$A$5000,'Call Log'!$C$2:$C$5000,B317)),""))</f>
        <v/>
      </c>
      <c r="S317" s="5"/>
      <c r="T317" s="21"/>
      <c r="U317" s="21"/>
      <c r="V317" s="5"/>
      <c r="W317" s="20"/>
      <c r="X317" s="5"/>
      <c r="Y317" s="5"/>
      <c r="Z317" s="5" t="s">
        <v>178</v>
      </c>
      <c r="AA317" s="5" t="s">
        <v>2001</v>
      </c>
    </row>
    <row r="318" ht="15.0" customHeight="1">
      <c r="A318" s="5" t="s">
        <v>2002</v>
      </c>
      <c r="B318" s="5" t="s">
        <v>2003</v>
      </c>
      <c r="C318" s="5" t="s">
        <v>2004</v>
      </c>
      <c r="D318" s="5"/>
      <c r="E318" s="5">
        <v>6.0</v>
      </c>
      <c r="F318" s="20"/>
      <c r="G318" s="20"/>
      <c r="H318" s="5" t="s">
        <v>41</v>
      </c>
      <c r="I318" s="5" t="s">
        <v>175</v>
      </c>
      <c r="J318" s="5" t="s">
        <v>114</v>
      </c>
      <c r="K318" s="5" t="s">
        <v>2005</v>
      </c>
      <c r="L318" s="5" t="s">
        <v>2006</v>
      </c>
      <c r="M318" s="5" t="s">
        <v>8</v>
      </c>
      <c r="N318" s="5" t="s">
        <v>80</v>
      </c>
      <c r="O318" s="5" t="str">
        <f>IF(B318="","",IFERROR(LOOKUP(2,1/('Call Log'!$C$2:$C$5000=B318),'Call Log'!$B$2:$B$5000),""))</f>
        <v/>
      </c>
      <c r="P318" s="5">
        <f>IF(B318="","",COUNTIFS('Call Log'!$C$2:$C$5000,B318,'Call Log'!$A$2:$A$5000,"&gt;="&amp;(TODAY()-WEEKDAY(TODAY(),2)+1)))</f>
        <v>0</v>
      </c>
      <c r="Q318" s="5">
        <f>IF(B318="","",COUNTIF('Call Log'!$C$2:$C$5000,B318))</f>
        <v>0</v>
      </c>
      <c r="R318" s="21" t="str">
        <f>IF(B318="","",IFERROR(IF(MAXIFS('Call Log'!$A$2:$A$5000,'Call Log'!$C$2:$C$5000,B318)=0,"",MAXIFS('Call Log'!$A$2:$A$5000,'Call Log'!$C$2:$C$5000,B318)),""))</f>
        <v/>
      </c>
      <c r="S318" s="5"/>
      <c r="T318" s="21"/>
      <c r="U318" s="21"/>
      <c r="V318" s="5"/>
      <c r="W318" s="20"/>
      <c r="X318" s="5"/>
      <c r="Y318" s="5"/>
      <c r="Z318" s="5" t="s">
        <v>178</v>
      </c>
      <c r="AA318" s="5" t="s">
        <v>2007</v>
      </c>
    </row>
    <row r="319" ht="15.0" customHeight="1">
      <c r="A319" s="5" t="s">
        <v>2008</v>
      </c>
      <c r="B319" s="5" t="s">
        <v>2009</v>
      </c>
      <c r="C319" s="5" t="s">
        <v>2010</v>
      </c>
      <c r="D319" s="5"/>
      <c r="E319" s="5"/>
      <c r="F319" s="20"/>
      <c r="G319" s="20"/>
      <c r="H319" s="5" t="s">
        <v>41</v>
      </c>
      <c r="I319" s="5" t="s">
        <v>146</v>
      </c>
      <c r="J319" s="5" t="s">
        <v>114</v>
      </c>
      <c r="K319" s="5" t="s">
        <v>2011</v>
      </c>
      <c r="L319" s="5"/>
      <c r="M319" s="5" t="s">
        <v>8</v>
      </c>
      <c r="N319" s="5" t="s">
        <v>80</v>
      </c>
      <c r="O319" s="5" t="str">
        <f>IF(B319="","",IFERROR(LOOKUP(2,1/('Call Log'!$C$2:$C$5000=B319),'Call Log'!$B$2:$B$5000),""))</f>
        <v/>
      </c>
      <c r="P319" s="5">
        <f>IF(B319="","",COUNTIFS('Call Log'!$C$2:$C$5000,B319,'Call Log'!$A$2:$A$5000,"&gt;="&amp;(TODAY()-WEEKDAY(TODAY(),2)+1)))</f>
        <v>0</v>
      </c>
      <c r="Q319" s="5">
        <f>IF(B319="","",COUNTIF('Call Log'!$C$2:$C$5000,B319))</f>
        <v>0</v>
      </c>
      <c r="R319" s="21" t="str">
        <f>IF(B319="","",IFERROR(IF(MAXIFS('Call Log'!$A$2:$A$5000,'Call Log'!$C$2:$C$5000,B319)=0,"",MAXIFS('Call Log'!$A$2:$A$5000,'Call Log'!$C$2:$C$5000,B319)),""))</f>
        <v/>
      </c>
      <c r="S319" s="5"/>
      <c r="T319" s="21"/>
      <c r="U319" s="21"/>
      <c r="V319" s="5"/>
      <c r="W319" s="20"/>
      <c r="X319" s="5"/>
      <c r="Y319" s="5"/>
      <c r="Z319" s="5" t="s">
        <v>132</v>
      </c>
      <c r="AA319" s="5" t="s">
        <v>2012</v>
      </c>
    </row>
    <row r="320" ht="15.0" customHeight="1">
      <c r="A320" s="5" t="s">
        <v>2013</v>
      </c>
      <c r="B320" s="5" t="s">
        <v>2014</v>
      </c>
      <c r="C320" s="5" t="s">
        <v>2015</v>
      </c>
      <c r="D320" s="5"/>
      <c r="E320" s="5">
        <v>17.0</v>
      </c>
      <c r="F320" s="20"/>
      <c r="G320" s="20"/>
      <c r="H320" s="5" t="s">
        <v>40</v>
      </c>
      <c r="I320" s="5" t="s">
        <v>2016</v>
      </c>
      <c r="J320" s="5" t="s">
        <v>114</v>
      </c>
      <c r="K320" s="5" t="s">
        <v>2017</v>
      </c>
      <c r="L320" s="5" t="s">
        <v>2018</v>
      </c>
      <c r="M320" s="5" t="s">
        <v>8</v>
      </c>
      <c r="N320" s="5" t="s">
        <v>80</v>
      </c>
      <c r="O320" s="5" t="str">
        <f>IF(B320="","",IFERROR(LOOKUP(2,1/('Call Log'!$C$2:$C$5000=B320),'Call Log'!$B$2:$B$5000),""))</f>
        <v/>
      </c>
      <c r="P320" s="5">
        <f>IF(B320="","",COUNTIFS('Call Log'!$C$2:$C$5000,B320,'Call Log'!$A$2:$A$5000,"&gt;="&amp;(TODAY()-WEEKDAY(TODAY(),2)+1)))</f>
        <v>0</v>
      </c>
      <c r="Q320" s="5">
        <f>IF(B320="","",COUNTIF('Call Log'!$C$2:$C$5000,B320))</f>
        <v>0</v>
      </c>
      <c r="R320" s="21" t="str">
        <f>IF(B320="","",IFERROR(IF(MAXIFS('Call Log'!$A$2:$A$5000,'Call Log'!$C$2:$C$5000,B320)=0,"",MAXIFS('Call Log'!$A$2:$A$5000,'Call Log'!$C$2:$C$5000,B320)),""))</f>
        <v/>
      </c>
      <c r="S320" s="5"/>
      <c r="T320" s="21"/>
      <c r="U320" s="21"/>
      <c r="V320" s="5"/>
      <c r="W320" s="20"/>
      <c r="X320" s="5"/>
      <c r="Y320" s="5"/>
      <c r="Z320" s="5" t="s">
        <v>132</v>
      </c>
      <c r="AA320" s="5" t="s">
        <v>2019</v>
      </c>
    </row>
    <row r="321" ht="15.0" customHeight="1">
      <c r="A321" s="5" t="s">
        <v>2020</v>
      </c>
      <c r="B321" s="5" t="s">
        <v>2021</v>
      </c>
      <c r="C321" s="5" t="s">
        <v>2022</v>
      </c>
      <c r="D321" s="5"/>
      <c r="E321" s="5">
        <v>2.0</v>
      </c>
      <c r="F321" s="20"/>
      <c r="G321" s="20"/>
      <c r="H321" s="5" t="s">
        <v>41</v>
      </c>
      <c r="I321" s="5" t="s">
        <v>146</v>
      </c>
      <c r="J321" s="5" t="s">
        <v>114</v>
      </c>
      <c r="K321" s="5" t="s">
        <v>2023</v>
      </c>
      <c r="L321" s="5"/>
      <c r="M321" s="5" t="s">
        <v>8</v>
      </c>
      <c r="N321" s="5" t="s">
        <v>80</v>
      </c>
      <c r="O321" s="5" t="str">
        <f>IF(B321="","",IFERROR(LOOKUP(2,1/('Call Log'!$C$2:$C$5000=B321),'Call Log'!$B$2:$B$5000),""))</f>
        <v/>
      </c>
      <c r="P321" s="5">
        <f>IF(B321="","",COUNTIFS('Call Log'!$C$2:$C$5000,B321,'Call Log'!$A$2:$A$5000,"&gt;="&amp;(TODAY()-WEEKDAY(TODAY(),2)+1)))</f>
        <v>0</v>
      </c>
      <c r="Q321" s="5">
        <f>IF(B321="","",COUNTIF('Call Log'!$C$2:$C$5000,B321))</f>
        <v>0</v>
      </c>
      <c r="R321" s="21" t="str">
        <f>IF(B321="","",IFERROR(IF(MAXIFS('Call Log'!$A$2:$A$5000,'Call Log'!$C$2:$C$5000,B321)=0,"",MAXIFS('Call Log'!$A$2:$A$5000,'Call Log'!$C$2:$C$5000,B321)),""))</f>
        <v/>
      </c>
      <c r="S321" s="5"/>
      <c r="T321" s="21"/>
      <c r="U321" s="21"/>
      <c r="V321" s="5"/>
      <c r="W321" s="20"/>
      <c r="X321" s="5"/>
      <c r="Y321" s="5"/>
      <c r="Z321" s="5" t="s">
        <v>132</v>
      </c>
      <c r="AA321" s="5" t="s">
        <v>2024</v>
      </c>
    </row>
    <row r="322" ht="15.0" customHeight="1">
      <c r="A322" s="5" t="s">
        <v>2025</v>
      </c>
      <c r="B322" s="5" t="s">
        <v>2026</v>
      </c>
      <c r="C322" s="5" t="s">
        <v>2027</v>
      </c>
      <c r="D322" s="5"/>
      <c r="E322" s="5"/>
      <c r="F322" s="20"/>
      <c r="G322" s="20"/>
      <c r="H322" s="5" t="s">
        <v>41</v>
      </c>
      <c r="I322" s="5" t="s">
        <v>667</v>
      </c>
      <c r="J322" s="5" t="s">
        <v>114</v>
      </c>
      <c r="K322" s="5" t="s">
        <v>2028</v>
      </c>
      <c r="L322" s="5" t="s">
        <v>2029</v>
      </c>
      <c r="M322" s="5" t="s">
        <v>8</v>
      </c>
      <c r="N322" s="5" t="s">
        <v>80</v>
      </c>
      <c r="O322" s="5" t="str">
        <f>IF(B322="","",IFERROR(LOOKUP(2,1/('Call Log'!$C$2:$C$5000=B322),'Call Log'!$B$2:$B$5000),""))</f>
        <v/>
      </c>
      <c r="P322" s="5">
        <f>IF(B322="","",COUNTIFS('Call Log'!$C$2:$C$5000,B322,'Call Log'!$A$2:$A$5000,"&gt;="&amp;(TODAY()-WEEKDAY(TODAY(),2)+1)))</f>
        <v>0</v>
      </c>
      <c r="Q322" s="5">
        <f>IF(B322="","",COUNTIF('Call Log'!$C$2:$C$5000,B322))</f>
        <v>0</v>
      </c>
      <c r="R322" s="21" t="str">
        <f>IF(B322="","",IFERROR(IF(MAXIFS('Call Log'!$A$2:$A$5000,'Call Log'!$C$2:$C$5000,B322)=0,"",MAXIFS('Call Log'!$A$2:$A$5000,'Call Log'!$C$2:$C$5000,B322)),""))</f>
        <v/>
      </c>
      <c r="S322" s="5"/>
      <c r="T322" s="21"/>
      <c r="U322" s="21"/>
      <c r="V322" s="5"/>
      <c r="W322" s="20"/>
      <c r="X322" s="5"/>
      <c r="Y322" s="5"/>
      <c r="Z322" s="5" t="s">
        <v>132</v>
      </c>
      <c r="AA322" s="5" t="s">
        <v>2030</v>
      </c>
    </row>
    <row r="323" ht="15.0" customHeight="1">
      <c r="A323" s="5" t="s">
        <v>2031</v>
      </c>
      <c r="B323" s="5" t="s">
        <v>2032</v>
      </c>
      <c r="C323" s="5" t="s">
        <v>2033</v>
      </c>
      <c r="D323" s="5"/>
      <c r="E323" s="5">
        <v>3.0</v>
      </c>
      <c r="F323" s="20"/>
      <c r="G323" s="20"/>
      <c r="H323" s="5" t="s">
        <v>41</v>
      </c>
      <c r="I323" s="5" t="s">
        <v>122</v>
      </c>
      <c r="J323" s="5" t="s">
        <v>114</v>
      </c>
      <c r="K323" s="5" t="s">
        <v>2034</v>
      </c>
      <c r="L323" s="5"/>
      <c r="M323" s="5" t="s">
        <v>8</v>
      </c>
      <c r="N323" s="5" t="s">
        <v>80</v>
      </c>
      <c r="O323" s="5" t="str">
        <f>IF(B323="","",IFERROR(LOOKUP(2,1/('Call Log'!$C$2:$C$5000=B323),'Call Log'!$B$2:$B$5000),""))</f>
        <v/>
      </c>
      <c r="P323" s="5">
        <f>IF(B323="","",COUNTIFS('Call Log'!$C$2:$C$5000,B323,'Call Log'!$A$2:$A$5000,"&gt;="&amp;(TODAY()-WEEKDAY(TODAY(),2)+1)))</f>
        <v>0</v>
      </c>
      <c r="Q323" s="5">
        <f>IF(B323="","",COUNTIF('Call Log'!$C$2:$C$5000,B323))</f>
        <v>0</v>
      </c>
      <c r="R323" s="21" t="str">
        <f>IF(B323="","",IFERROR(IF(MAXIFS('Call Log'!$A$2:$A$5000,'Call Log'!$C$2:$C$5000,B323)=0,"",MAXIFS('Call Log'!$A$2:$A$5000,'Call Log'!$C$2:$C$5000,B323)),""))</f>
        <v/>
      </c>
      <c r="S323" s="5"/>
      <c r="T323" s="21"/>
      <c r="U323" s="21"/>
      <c r="V323" s="5"/>
      <c r="W323" s="20"/>
      <c r="X323" s="5"/>
      <c r="Y323" s="5"/>
      <c r="Z323" s="5" t="s">
        <v>178</v>
      </c>
      <c r="AA323" s="5" t="s">
        <v>2035</v>
      </c>
    </row>
    <row r="324" ht="15.0" customHeight="1">
      <c r="A324" s="5" t="s">
        <v>2036</v>
      </c>
      <c r="B324" s="5" t="s">
        <v>2037</v>
      </c>
      <c r="C324" s="5" t="s">
        <v>2038</v>
      </c>
      <c r="D324" s="5"/>
      <c r="E324" s="5"/>
      <c r="F324" s="20"/>
      <c r="G324" s="20"/>
      <c r="H324" s="5" t="s">
        <v>41</v>
      </c>
      <c r="I324" s="5" t="s">
        <v>175</v>
      </c>
      <c r="J324" s="5" t="s">
        <v>114</v>
      </c>
      <c r="K324" s="5" t="s">
        <v>2039</v>
      </c>
      <c r="L324" s="5"/>
      <c r="M324" s="5" t="s">
        <v>8</v>
      </c>
      <c r="N324" s="5" t="s">
        <v>80</v>
      </c>
      <c r="O324" s="5" t="str">
        <f>IF(B324="","",IFERROR(LOOKUP(2,1/('Call Log'!$C$2:$C$5000=B324),'Call Log'!$B$2:$B$5000),""))</f>
        <v/>
      </c>
      <c r="P324" s="5">
        <f>IF(B324="","",COUNTIFS('Call Log'!$C$2:$C$5000,B324,'Call Log'!$A$2:$A$5000,"&gt;="&amp;(TODAY()-WEEKDAY(TODAY(),2)+1)))</f>
        <v>0</v>
      </c>
      <c r="Q324" s="5">
        <f>IF(B324="","",COUNTIF('Call Log'!$C$2:$C$5000,B324))</f>
        <v>0</v>
      </c>
      <c r="R324" s="21" t="str">
        <f>IF(B324="","",IFERROR(IF(MAXIFS('Call Log'!$A$2:$A$5000,'Call Log'!$C$2:$C$5000,B324)=0,"",MAXIFS('Call Log'!$A$2:$A$5000,'Call Log'!$C$2:$C$5000,B324)),""))</f>
        <v/>
      </c>
      <c r="S324" s="5"/>
      <c r="T324" s="21"/>
      <c r="U324" s="21"/>
      <c r="V324" s="5"/>
      <c r="W324" s="20"/>
      <c r="X324" s="5"/>
      <c r="Y324" s="5"/>
      <c r="Z324" s="5" t="s">
        <v>132</v>
      </c>
      <c r="AA324" s="5" t="s">
        <v>2040</v>
      </c>
    </row>
    <row r="325" ht="15.0" customHeight="1">
      <c r="A325" s="5" t="s">
        <v>2041</v>
      </c>
      <c r="B325" s="5" t="s">
        <v>2042</v>
      </c>
      <c r="C325" s="5" t="s">
        <v>2043</v>
      </c>
      <c r="D325" s="5"/>
      <c r="E325" s="5"/>
      <c r="F325" s="20"/>
      <c r="G325" s="20"/>
      <c r="H325" s="5" t="s">
        <v>40</v>
      </c>
      <c r="I325" s="5" t="s">
        <v>904</v>
      </c>
      <c r="J325" s="5" t="s">
        <v>114</v>
      </c>
      <c r="K325" s="5" t="s">
        <v>2044</v>
      </c>
      <c r="L325" s="5"/>
      <c r="M325" s="5" t="s">
        <v>8</v>
      </c>
      <c r="N325" s="5" t="s">
        <v>80</v>
      </c>
      <c r="O325" s="5" t="str">
        <f>IF(B325="","",IFERROR(LOOKUP(2,1/('Call Log'!$C$2:$C$5000=B325),'Call Log'!$B$2:$B$5000),""))</f>
        <v/>
      </c>
      <c r="P325" s="5">
        <f>IF(B325="","",COUNTIFS('Call Log'!$C$2:$C$5000,B325,'Call Log'!$A$2:$A$5000,"&gt;="&amp;(TODAY()-WEEKDAY(TODAY(),2)+1)))</f>
        <v>0</v>
      </c>
      <c r="Q325" s="5">
        <f>IF(B325="","",COUNTIF('Call Log'!$C$2:$C$5000,B325))</f>
        <v>0</v>
      </c>
      <c r="R325" s="21" t="str">
        <f>IF(B325="","",IFERROR(IF(MAXIFS('Call Log'!$A$2:$A$5000,'Call Log'!$C$2:$C$5000,B325)=0,"",MAXIFS('Call Log'!$A$2:$A$5000,'Call Log'!$C$2:$C$5000,B325)),""))</f>
        <v/>
      </c>
      <c r="S325" s="5"/>
      <c r="T325" s="21"/>
      <c r="U325" s="21"/>
      <c r="V325" s="5"/>
      <c r="W325" s="20"/>
      <c r="X325" s="5"/>
      <c r="Y325" s="5"/>
      <c r="Z325" s="5" t="s">
        <v>132</v>
      </c>
      <c r="AA325" s="5" t="s">
        <v>2045</v>
      </c>
    </row>
    <row r="326" ht="15.0" customHeight="1">
      <c r="A326" s="5" t="s">
        <v>2046</v>
      </c>
      <c r="B326" s="5" t="s">
        <v>2047</v>
      </c>
      <c r="C326" s="5" t="s">
        <v>2048</v>
      </c>
      <c r="D326" s="5"/>
      <c r="E326" s="5">
        <v>1.0</v>
      </c>
      <c r="F326" s="20"/>
      <c r="G326" s="20"/>
      <c r="H326" s="5" t="s">
        <v>41</v>
      </c>
      <c r="I326" s="5" t="s">
        <v>146</v>
      </c>
      <c r="J326" s="5" t="s">
        <v>114</v>
      </c>
      <c r="K326" s="5" t="s">
        <v>2049</v>
      </c>
      <c r="L326" s="5"/>
      <c r="M326" s="5" t="s">
        <v>8</v>
      </c>
      <c r="N326" s="5" t="s">
        <v>80</v>
      </c>
      <c r="O326" s="5" t="str">
        <f>IF(B326="","",IFERROR(LOOKUP(2,1/('Call Log'!$C$2:$C$5000=B326),'Call Log'!$B$2:$B$5000),""))</f>
        <v/>
      </c>
      <c r="P326" s="5">
        <f>IF(B326="","",COUNTIFS('Call Log'!$C$2:$C$5000,B326,'Call Log'!$A$2:$A$5000,"&gt;="&amp;(TODAY()-WEEKDAY(TODAY(),2)+1)))</f>
        <v>0</v>
      </c>
      <c r="Q326" s="5">
        <f>IF(B326="","",COUNTIF('Call Log'!$C$2:$C$5000,B326))</f>
        <v>0</v>
      </c>
      <c r="R326" s="21" t="str">
        <f>IF(B326="","",IFERROR(IF(MAXIFS('Call Log'!$A$2:$A$5000,'Call Log'!$C$2:$C$5000,B326)=0,"",MAXIFS('Call Log'!$A$2:$A$5000,'Call Log'!$C$2:$C$5000,B326)),""))</f>
        <v/>
      </c>
      <c r="S326" s="5"/>
      <c r="T326" s="21"/>
      <c r="U326" s="21"/>
      <c r="V326" s="5"/>
      <c r="W326" s="20"/>
      <c r="X326" s="5"/>
      <c r="Y326" s="5"/>
      <c r="Z326" s="5" t="s">
        <v>132</v>
      </c>
      <c r="AA326" s="5" t="s">
        <v>2050</v>
      </c>
    </row>
    <row r="327" ht="15.0" customHeight="1">
      <c r="A327" s="5" t="s">
        <v>2051</v>
      </c>
      <c r="B327" s="5" t="s">
        <v>2052</v>
      </c>
      <c r="C327" s="5" t="s">
        <v>2053</v>
      </c>
      <c r="D327" s="5"/>
      <c r="E327" s="5">
        <v>27.0</v>
      </c>
      <c r="F327" s="20"/>
      <c r="G327" s="20"/>
      <c r="H327" s="5" t="s">
        <v>40</v>
      </c>
      <c r="I327" s="5" t="s">
        <v>146</v>
      </c>
      <c r="J327" s="5" t="s">
        <v>114</v>
      </c>
      <c r="K327" s="5" t="s">
        <v>2054</v>
      </c>
      <c r="L327" s="5"/>
      <c r="M327" s="5" t="s">
        <v>8</v>
      </c>
      <c r="N327" s="5" t="s">
        <v>80</v>
      </c>
      <c r="O327" s="5" t="str">
        <f>IF(B327="","",IFERROR(LOOKUP(2,1/('Call Log'!$C$2:$C$5000=B327),'Call Log'!$B$2:$B$5000),""))</f>
        <v/>
      </c>
      <c r="P327" s="5">
        <f>IF(B327="","",COUNTIFS('Call Log'!$C$2:$C$5000,B327,'Call Log'!$A$2:$A$5000,"&gt;="&amp;(TODAY()-WEEKDAY(TODAY(),2)+1)))</f>
        <v>0</v>
      </c>
      <c r="Q327" s="5">
        <f>IF(B327="","",COUNTIF('Call Log'!$C$2:$C$5000,B327))</f>
        <v>0</v>
      </c>
      <c r="R327" s="21" t="str">
        <f>IF(B327="","",IFERROR(IF(MAXIFS('Call Log'!$A$2:$A$5000,'Call Log'!$C$2:$C$5000,B327)=0,"",MAXIFS('Call Log'!$A$2:$A$5000,'Call Log'!$C$2:$C$5000,B327)),""))</f>
        <v/>
      </c>
      <c r="S327" s="5"/>
      <c r="T327" s="21"/>
      <c r="U327" s="21"/>
      <c r="V327" s="5"/>
      <c r="W327" s="20"/>
      <c r="X327" s="5"/>
      <c r="Y327" s="5"/>
      <c r="Z327" s="5" t="s">
        <v>132</v>
      </c>
      <c r="AA327" s="5" t="s">
        <v>2055</v>
      </c>
    </row>
    <row r="328" ht="15.0" customHeight="1">
      <c r="A328" s="5" t="s">
        <v>2056</v>
      </c>
      <c r="B328" s="5" t="s">
        <v>2057</v>
      </c>
      <c r="C328" s="5" t="s">
        <v>2058</v>
      </c>
      <c r="D328" s="5"/>
      <c r="E328" s="5"/>
      <c r="F328" s="20"/>
      <c r="G328" s="20"/>
      <c r="H328" s="5" t="s">
        <v>41</v>
      </c>
      <c r="I328" s="5" t="s">
        <v>2059</v>
      </c>
      <c r="J328" s="5" t="s">
        <v>114</v>
      </c>
      <c r="K328" s="5" t="s">
        <v>2060</v>
      </c>
      <c r="L328" s="5"/>
      <c r="M328" s="5" t="s">
        <v>8</v>
      </c>
      <c r="N328" s="5" t="s">
        <v>80</v>
      </c>
      <c r="O328" s="5" t="str">
        <f>IF(B328="","",IFERROR(LOOKUP(2,1/('Call Log'!$C$2:$C$5000=B328),'Call Log'!$B$2:$B$5000),""))</f>
        <v/>
      </c>
      <c r="P328" s="5">
        <f>IF(B328="","",COUNTIFS('Call Log'!$C$2:$C$5000,B328,'Call Log'!$A$2:$A$5000,"&gt;="&amp;(TODAY()-WEEKDAY(TODAY(),2)+1)))</f>
        <v>0</v>
      </c>
      <c r="Q328" s="5">
        <f>IF(B328="","",COUNTIF('Call Log'!$C$2:$C$5000,B328))</f>
        <v>0</v>
      </c>
      <c r="R328" s="21" t="str">
        <f>IF(B328="","",IFERROR(IF(MAXIFS('Call Log'!$A$2:$A$5000,'Call Log'!$C$2:$C$5000,B328)=0,"",MAXIFS('Call Log'!$A$2:$A$5000,'Call Log'!$C$2:$C$5000,B328)),""))</f>
        <v/>
      </c>
      <c r="S328" s="5"/>
      <c r="T328" s="21"/>
      <c r="U328" s="21"/>
      <c r="V328" s="5"/>
      <c r="W328" s="20"/>
      <c r="X328" s="5"/>
      <c r="Y328" s="5"/>
      <c r="Z328" s="5" t="s">
        <v>132</v>
      </c>
      <c r="AA328" s="5" t="s">
        <v>2061</v>
      </c>
    </row>
    <row r="329" ht="15.0" customHeight="1">
      <c r="A329" s="5" t="s">
        <v>2062</v>
      </c>
      <c r="B329" s="5" t="s">
        <v>2063</v>
      </c>
      <c r="C329" s="5" t="s">
        <v>2064</v>
      </c>
      <c r="D329" s="5"/>
      <c r="E329" s="5">
        <v>6.0</v>
      </c>
      <c r="F329" s="20"/>
      <c r="G329" s="20"/>
      <c r="H329" s="5" t="s">
        <v>40</v>
      </c>
      <c r="I329" s="5" t="s">
        <v>246</v>
      </c>
      <c r="J329" s="5" t="s">
        <v>114</v>
      </c>
      <c r="K329" s="5" t="s">
        <v>2065</v>
      </c>
      <c r="L329" s="5" t="s">
        <v>2066</v>
      </c>
      <c r="M329" s="5" t="s">
        <v>8</v>
      </c>
      <c r="N329" s="5" t="s">
        <v>80</v>
      </c>
      <c r="O329" s="5" t="str">
        <f>IF(B329="","",IFERROR(LOOKUP(2,1/('Call Log'!$C$2:$C$5000=B329),'Call Log'!$B$2:$B$5000),""))</f>
        <v/>
      </c>
      <c r="P329" s="5">
        <f>IF(B329="","",COUNTIFS('Call Log'!$C$2:$C$5000,B329,'Call Log'!$A$2:$A$5000,"&gt;="&amp;(TODAY()-WEEKDAY(TODAY(),2)+1)))</f>
        <v>0</v>
      </c>
      <c r="Q329" s="5">
        <f>IF(B329="","",COUNTIF('Call Log'!$C$2:$C$5000,B329))</f>
        <v>0</v>
      </c>
      <c r="R329" s="21" t="str">
        <f>IF(B329="","",IFERROR(IF(MAXIFS('Call Log'!$A$2:$A$5000,'Call Log'!$C$2:$C$5000,B329)=0,"",MAXIFS('Call Log'!$A$2:$A$5000,'Call Log'!$C$2:$C$5000,B329)),""))</f>
        <v/>
      </c>
      <c r="S329" s="5"/>
      <c r="T329" s="21"/>
      <c r="U329" s="21"/>
      <c r="V329" s="5"/>
      <c r="W329" s="20"/>
      <c r="X329" s="5"/>
      <c r="Y329" s="5"/>
      <c r="Z329" s="5" t="s">
        <v>132</v>
      </c>
      <c r="AA329" s="5" t="s">
        <v>2067</v>
      </c>
    </row>
    <row r="330" ht="15.0" customHeight="1">
      <c r="A330" s="5" t="s">
        <v>2068</v>
      </c>
      <c r="B330" s="5" t="s">
        <v>2069</v>
      </c>
      <c r="C330" s="5" t="s">
        <v>2070</v>
      </c>
      <c r="D330" s="5"/>
      <c r="E330" s="5"/>
      <c r="F330" s="20"/>
      <c r="G330" s="20"/>
      <c r="H330" s="5" t="s">
        <v>41</v>
      </c>
      <c r="I330" s="5" t="s">
        <v>422</v>
      </c>
      <c r="J330" s="5" t="s">
        <v>114</v>
      </c>
      <c r="K330" s="5" t="s">
        <v>2071</v>
      </c>
      <c r="L330" s="5"/>
      <c r="M330" s="5" t="s">
        <v>8</v>
      </c>
      <c r="N330" s="5" t="s">
        <v>80</v>
      </c>
      <c r="O330" s="5" t="str">
        <f>IF(B330="","",IFERROR(LOOKUP(2,1/('Call Log'!$C$2:$C$5000=B330),'Call Log'!$B$2:$B$5000),""))</f>
        <v/>
      </c>
      <c r="P330" s="5">
        <f>IF(B330="","",COUNTIFS('Call Log'!$C$2:$C$5000,B330,'Call Log'!$A$2:$A$5000,"&gt;="&amp;(TODAY()-WEEKDAY(TODAY(),2)+1)))</f>
        <v>0</v>
      </c>
      <c r="Q330" s="5">
        <f>IF(B330="","",COUNTIF('Call Log'!$C$2:$C$5000,B330))</f>
        <v>0</v>
      </c>
      <c r="R330" s="21" t="str">
        <f>IF(B330="","",IFERROR(IF(MAXIFS('Call Log'!$A$2:$A$5000,'Call Log'!$C$2:$C$5000,B330)=0,"",MAXIFS('Call Log'!$A$2:$A$5000,'Call Log'!$C$2:$C$5000,B330)),""))</f>
        <v/>
      </c>
      <c r="S330" s="5"/>
      <c r="T330" s="21"/>
      <c r="U330" s="21"/>
      <c r="V330" s="5"/>
      <c r="W330" s="20"/>
      <c r="X330" s="5"/>
      <c r="Y330" s="5"/>
      <c r="Z330" s="5" t="s">
        <v>132</v>
      </c>
      <c r="AA330" s="5" t="s">
        <v>2072</v>
      </c>
    </row>
    <row r="331" ht="15.0" customHeight="1">
      <c r="A331" s="5" t="s">
        <v>2073</v>
      </c>
      <c r="B331" s="5" t="s">
        <v>2074</v>
      </c>
      <c r="C331" s="5" t="s">
        <v>579</v>
      </c>
      <c r="D331" s="5"/>
      <c r="E331" s="5"/>
      <c r="F331" s="20"/>
      <c r="G331" s="20"/>
      <c r="H331" s="5" t="s">
        <v>41</v>
      </c>
      <c r="I331" s="5" t="s">
        <v>122</v>
      </c>
      <c r="J331" s="5" t="s">
        <v>114</v>
      </c>
      <c r="K331" s="5" t="s">
        <v>2075</v>
      </c>
      <c r="L331" s="5"/>
      <c r="M331" s="5" t="s">
        <v>8</v>
      </c>
      <c r="N331" s="5" t="s">
        <v>80</v>
      </c>
      <c r="O331" s="5" t="str">
        <f>IF(B331="","",IFERROR(LOOKUP(2,1/('Call Log'!$C$2:$C$5000=B331),'Call Log'!$B$2:$B$5000),""))</f>
        <v/>
      </c>
      <c r="P331" s="5">
        <f>IF(B331="","",COUNTIFS('Call Log'!$C$2:$C$5000,B331,'Call Log'!$A$2:$A$5000,"&gt;="&amp;(TODAY()-WEEKDAY(TODAY(),2)+1)))</f>
        <v>0</v>
      </c>
      <c r="Q331" s="5">
        <f>IF(B331="","",COUNTIF('Call Log'!$C$2:$C$5000,B331))</f>
        <v>0</v>
      </c>
      <c r="R331" s="21" t="str">
        <f>IF(B331="","",IFERROR(IF(MAXIFS('Call Log'!$A$2:$A$5000,'Call Log'!$C$2:$C$5000,B331)=0,"",MAXIFS('Call Log'!$A$2:$A$5000,'Call Log'!$C$2:$C$5000,B331)),""))</f>
        <v/>
      </c>
      <c r="S331" s="5"/>
      <c r="T331" s="21"/>
      <c r="U331" s="21"/>
      <c r="V331" s="5"/>
      <c r="W331" s="20"/>
      <c r="X331" s="5"/>
      <c r="Y331" s="5"/>
      <c r="Z331" s="5" t="s">
        <v>178</v>
      </c>
      <c r="AA331" s="5" t="s">
        <v>2076</v>
      </c>
    </row>
    <row r="332" ht="15.0" customHeight="1">
      <c r="A332" s="5" t="s">
        <v>2077</v>
      </c>
      <c r="B332" s="5" t="s">
        <v>2078</v>
      </c>
      <c r="C332" s="5" t="s">
        <v>2079</v>
      </c>
      <c r="D332" s="5"/>
      <c r="E332" s="5"/>
      <c r="F332" s="20"/>
      <c r="G332" s="20"/>
      <c r="H332" s="5" t="s">
        <v>40</v>
      </c>
      <c r="I332" s="5" t="s">
        <v>113</v>
      </c>
      <c r="J332" s="5" t="s">
        <v>114</v>
      </c>
      <c r="K332" s="5" t="s">
        <v>2080</v>
      </c>
      <c r="L332" s="5"/>
      <c r="M332" s="5" t="s">
        <v>8</v>
      </c>
      <c r="N332" s="5" t="s">
        <v>80</v>
      </c>
      <c r="O332" s="5" t="str">
        <f>IF(B332="","",IFERROR(LOOKUP(2,1/('Call Log'!$C$2:$C$5000=B332),'Call Log'!$B$2:$B$5000),""))</f>
        <v/>
      </c>
      <c r="P332" s="5">
        <f>IF(B332="","",COUNTIFS('Call Log'!$C$2:$C$5000,B332,'Call Log'!$A$2:$A$5000,"&gt;="&amp;(TODAY()-WEEKDAY(TODAY(),2)+1)))</f>
        <v>0</v>
      </c>
      <c r="Q332" s="5">
        <f>IF(B332="","",COUNTIF('Call Log'!$C$2:$C$5000,B332))</f>
        <v>0</v>
      </c>
      <c r="R332" s="21" t="str">
        <f>IF(B332="","",IFERROR(IF(MAXIFS('Call Log'!$A$2:$A$5000,'Call Log'!$C$2:$C$5000,B332)=0,"",MAXIFS('Call Log'!$A$2:$A$5000,'Call Log'!$C$2:$C$5000,B332)),""))</f>
        <v/>
      </c>
      <c r="S332" s="5"/>
      <c r="T332" s="21"/>
      <c r="U332" s="21"/>
      <c r="V332" s="5"/>
      <c r="W332" s="20"/>
      <c r="X332" s="5"/>
      <c r="Y332" s="5"/>
      <c r="Z332" s="5" t="s">
        <v>132</v>
      </c>
      <c r="AA332" s="5" t="s">
        <v>2081</v>
      </c>
    </row>
    <row r="333" ht="15.0" customHeight="1">
      <c r="A333" s="5" t="s">
        <v>2082</v>
      </c>
      <c r="B333" s="5" t="s">
        <v>2083</v>
      </c>
      <c r="C333" s="5" t="s">
        <v>2084</v>
      </c>
      <c r="D333" s="5"/>
      <c r="E333" s="5">
        <v>3.0</v>
      </c>
      <c r="F333" s="20"/>
      <c r="G333" s="20"/>
      <c r="H333" s="5" t="s">
        <v>41</v>
      </c>
      <c r="I333" s="5" t="s">
        <v>213</v>
      </c>
      <c r="J333" s="5" t="s">
        <v>114</v>
      </c>
      <c r="K333" s="5" t="s">
        <v>2085</v>
      </c>
      <c r="L333" s="5"/>
      <c r="M333" s="5" t="s">
        <v>8</v>
      </c>
      <c r="N333" s="5" t="s">
        <v>80</v>
      </c>
      <c r="O333" s="5" t="str">
        <f>IF(B333="","",IFERROR(LOOKUP(2,1/('Call Log'!$C$2:$C$5000=B333),'Call Log'!$B$2:$B$5000),""))</f>
        <v/>
      </c>
      <c r="P333" s="5">
        <f>IF(B333="","",COUNTIFS('Call Log'!$C$2:$C$5000,B333,'Call Log'!$A$2:$A$5000,"&gt;="&amp;(TODAY()-WEEKDAY(TODAY(),2)+1)))</f>
        <v>0</v>
      </c>
      <c r="Q333" s="5">
        <f>IF(B333="","",COUNTIF('Call Log'!$C$2:$C$5000,B333))</f>
        <v>0</v>
      </c>
      <c r="R333" s="21" t="str">
        <f>IF(B333="","",IFERROR(IF(MAXIFS('Call Log'!$A$2:$A$5000,'Call Log'!$C$2:$C$5000,B333)=0,"",MAXIFS('Call Log'!$A$2:$A$5000,'Call Log'!$C$2:$C$5000,B333)),""))</f>
        <v/>
      </c>
      <c r="S333" s="5"/>
      <c r="T333" s="21"/>
      <c r="U333" s="21"/>
      <c r="V333" s="5"/>
      <c r="W333" s="20"/>
      <c r="X333" s="5"/>
      <c r="Y333" s="5"/>
      <c r="Z333" s="5" t="s">
        <v>132</v>
      </c>
      <c r="AA333" s="5" t="s">
        <v>2086</v>
      </c>
    </row>
    <row r="334" ht="15.0" customHeight="1">
      <c r="A334" s="5" t="s">
        <v>2087</v>
      </c>
      <c r="B334" s="5" t="s">
        <v>2088</v>
      </c>
      <c r="C334" s="5" t="s">
        <v>2089</v>
      </c>
      <c r="D334" s="5"/>
      <c r="E334" s="5">
        <v>20.0</v>
      </c>
      <c r="F334" s="20"/>
      <c r="G334" s="20"/>
      <c r="H334" s="5" t="s">
        <v>40</v>
      </c>
      <c r="I334" s="5" t="s">
        <v>1048</v>
      </c>
      <c r="J334" s="5" t="s">
        <v>114</v>
      </c>
      <c r="K334" s="5" t="s">
        <v>2090</v>
      </c>
      <c r="L334" s="5"/>
      <c r="M334" s="5" t="s">
        <v>8</v>
      </c>
      <c r="N334" s="5" t="s">
        <v>80</v>
      </c>
      <c r="O334" s="5" t="str">
        <f>IF(B334="","",IFERROR(LOOKUP(2,1/('Call Log'!$C$2:$C$5000=B334),'Call Log'!$B$2:$B$5000),""))</f>
        <v/>
      </c>
      <c r="P334" s="5">
        <f>IF(B334="","",COUNTIFS('Call Log'!$C$2:$C$5000,B334,'Call Log'!$A$2:$A$5000,"&gt;="&amp;(TODAY()-WEEKDAY(TODAY(),2)+1)))</f>
        <v>0</v>
      </c>
      <c r="Q334" s="5">
        <f>IF(B334="","",COUNTIF('Call Log'!$C$2:$C$5000,B334))</f>
        <v>0</v>
      </c>
      <c r="R334" s="21" t="str">
        <f>IF(B334="","",IFERROR(IF(MAXIFS('Call Log'!$A$2:$A$5000,'Call Log'!$C$2:$C$5000,B334)=0,"",MAXIFS('Call Log'!$A$2:$A$5000,'Call Log'!$C$2:$C$5000,B334)),""))</f>
        <v/>
      </c>
      <c r="S334" s="5"/>
      <c r="T334" s="21"/>
      <c r="U334" s="21"/>
      <c r="V334" s="5"/>
      <c r="W334" s="20"/>
      <c r="X334" s="5"/>
      <c r="Y334" s="5"/>
      <c r="Z334" s="5" t="s">
        <v>132</v>
      </c>
      <c r="AA334" s="5" t="s">
        <v>2091</v>
      </c>
    </row>
    <row r="335" ht="15.0" customHeight="1">
      <c r="A335" s="5" t="s">
        <v>2092</v>
      </c>
      <c r="B335" s="5" t="s">
        <v>2093</v>
      </c>
      <c r="C335" s="5" t="s">
        <v>2094</v>
      </c>
      <c r="D335" s="5"/>
      <c r="E335" s="5"/>
      <c r="F335" s="20"/>
      <c r="G335" s="20"/>
      <c r="H335" s="5" t="s">
        <v>40</v>
      </c>
      <c r="I335" s="5" t="s">
        <v>594</v>
      </c>
      <c r="J335" s="5" t="s">
        <v>114</v>
      </c>
      <c r="K335" s="5" t="s">
        <v>2095</v>
      </c>
      <c r="L335" s="5"/>
      <c r="M335" s="5" t="s">
        <v>8</v>
      </c>
      <c r="N335" s="5" t="s">
        <v>80</v>
      </c>
      <c r="O335" s="5" t="str">
        <f>IF(B335="","",IFERROR(LOOKUP(2,1/('Call Log'!$C$2:$C$5000=B335),'Call Log'!$B$2:$B$5000),""))</f>
        <v/>
      </c>
      <c r="P335" s="5">
        <f>IF(B335="","",COUNTIFS('Call Log'!$C$2:$C$5000,B335,'Call Log'!$A$2:$A$5000,"&gt;="&amp;(TODAY()-WEEKDAY(TODAY(),2)+1)))</f>
        <v>0</v>
      </c>
      <c r="Q335" s="5">
        <f>IF(B335="","",COUNTIF('Call Log'!$C$2:$C$5000,B335))</f>
        <v>0</v>
      </c>
      <c r="R335" s="21" t="str">
        <f>IF(B335="","",IFERROR(IF(MAXIFS('Call Log'!$A$2:$A$5000,'Call Log'!$C$2:$C$5000,B335)=0,"",MAXIFS('Call Log'!$A$2:$A$5000,'Call Log'!$C$2:$C$5000,B335)),""))</f>
        <v/>
      </c>
      <c r="S335" s="5"/>
      <c r="T335" s="21"/>
      <c r="U335" s="21"/>
      <c r="V335" s="5"/>
      <c r="W335" s="20"/>
      <c r="X335" s="5"/>
      <c r="Y335" s="5"/>
      <c r="Z335" s="5" t="s">
        <v>132</v>
      </c>
      <c r="AA335" s="5" t="s">
        <v>2096</v>
      </c>
    </row>
    <row r="336" ht="15.0" customHeight="1">
      <c r="A336" s="5" t="s">
        <v>2097</v>
      </c>
      <c r="B336" s="5" t="s">
        <v>2098</v>
      </c>
      <c r="C336" s="5" t="s">
        <v>2099</v>
      </c>
      <c r="D336" s="5"/>
      <c r="E336" s="5">
        <v>13.0</v>
      </c>
      <c r="F336" s="20"/>
      <c r="G336" s="20"/>
      <c r="H336" s="5" t="s">
        <v>40</v>
      </c>
      <c r="I336" s="5" t="s">
        <v>129</v>
      </c>
      <c r="J336" s="5" t="s">
        <v>114</v>
      </c>
      <c r="K336" s="5" t="s">
        <v>2100</v>
      </c>
      <c r="L336" s="5"/>
      <c r="M336" s="5" t="s">
        <v>8</v>
      </c>
      <c r="N336" s="5" t="s">
        <v>80</v>
      </c>
      <c r="O336" s="5" t="str">
        <f>IF(B336="","",IFERROR(LOOKUP(2,1/('Call Log'!$C$2:$C$5000=B336),'Call Log'!$B$2:$B$5000),""))</f>
        <v/>
      </c>
      <c r="P336" s="5">
        <f>IF(B336="","",COUNTIFS('Call Log'!$C$2:$C$5000,B336,'Call Log'!$A$2:$A$5000,"&gt;="&amp;(TODAY()-WEEKDAY(TODAY(),2)+1)))</f>
        <v>0</v>
      </c>
      <c r="Q336" s="5">
        <f>IF(B336="","",COUNTIF('Call Log'!$C$2:$C$5000,B336))</f>
        <v>0</v>
      </c>
      <c r="R336" s="21" t="str">
        <f>IF(B336="","",IFERROR(IF(MAXIFS('Call Log'!$A$2:$A$5000,'Call Log'!$C$2:$C$5000,B336)=0,"",MAXIFS('Call Log'!$A$2:$A$5000,'Call Log'!$C$2:$C$5000,B336)),""))</f>
        <v/>
      </c>
      <c r="S336" s="5"/>
      <c r="T336" s="21"/>
      <c r="U336" s="21"/>
      <c r="V336" s="5"/>
      <c r="W336" s="20"/>
      <c r="X336" s="5"/>
      <c r="Y336" s="5"/>
      <c r="Z336" s="5" t="s">
        <v>132</v>
      </c>
      <c r="AA336" s="5" t="s">
        <v>2101</v>
      </c>
    </row>
    <row r="337" ht="15.0" customHeight="1">
      <c r="A337" s="5" t="s">
        <v>2102</v>
      </c>
      <c r="B337" s="5" t="s">
        <v>2103</v>
      </c>
      <c r="C337" s="5" t="s">
        <v>2104</v>
      </c>
      <c r="D337" s="5"/>
      <c r="E337" s="5"/>
      <c r="F337" s="20"/>
      <c r="G337" s="20"/>
      <c r="H337" s="5" t="s">
        <v>41</v>
      </c>
      <c r="I337" s="5" t="s">
        <v>129</v>
      </c>
      <c r="J337" s="5" t="s">
        <v>114</v>
      </c>
      <c r="K337" s="5" t="s">
        <v>2105</v>
      </c>
      <c r="L337" s="5"/>
      <c r="M337" s="5" t="s">
        <v>8</v>
      </c>
      <c r="N337" s="5" t="s">
        <v>80</v>
      </c>
      <c r="O337" s="5" t="str">
        <f>IF(B337="","",IFERROR(LOOKUP(2,1/('Call Log'!$C$2:$C$5000=B337),'Call Log'!$B$2:$B$5000),""))</f>
        <v/>
      </c>
      <c r="P337" s="5">
        <f>IF(B337="","",COUNTIFS('Call Log'!$C$2:$C$5000,B337,'Call Log'!$A$2:$A$5000,"&gt;="&amp;(TODAY()-WEEKDAY(TODAY(),2)+1)))</f>
        <v>0</v>
      </c>
      <c r="Q337" s="5">
        <f>IF(B337="","",COUNTIF('Call Log'!$C$2:$C$5000,B337))</f>
        <v>0</v>
      </c>
      <c r="R337" s="21" t="str">
        <f>IF(B337="","",IFERROR(IF(MAXIFS('Call Log'!$A$2:$A$5000,'Call Log'!$C$2:$C$5000,B337)=0,"",MAXIFS('Call Log'!$A$2:$A$5000,'Call Log'!$C$2:$C$5000,B337)),""))</f>
        <v/>
      </c>
      <c r="S337" s="5"/>
      <c r="T337" s="21"/>
      <c r="U337" s="21"/>
      <c r="V337" s="5"/>
      <c r="W337" s="20"/>
      <c r="X337" s="5"/>
      <c r="Y337" s="5"/>
      <c r="Z337" s="5" t="s">
        <v>132</v>
      </c>
      <c r="AA337" s="5" t="s">
        <v>2106</v>
      </c>
    </row>
    <row r="338" ht="15.0" customHeight="1">
      <c r="A338" s="5" t="s">
        <v>2107</v>
      </c>
      <c r="B338" s="5" t="s">
        <v>2108</v>
      </c>
      <c r="C338" s="5" t="s">
        <v>2109</v>
      </c>
      <c r="D338" s="5"/>
      <c r="E338" s="5"/>
      <c r="F338" s="20"/>
      <c r="G338" s="20"/>
      <c r="H338" s="5" t="s">
        <v>40</v>
      </c>
      <c r="I338" s="5" t="s">
        <v>857</v>
      </c>
      <c r="J338" s="5" t="s">
        <v>114</v>
      </c>
      <c r="K338" s="5" t="s">
        <v>2110</v>
      </c>
      <c r="L338" s="5" t="s">
        <v>2111</v>
      </c>
      <c r="M338" s="5" t="s">
        <v>8</v>
      </c>
      <c r="N338" s="5" t="s">
        <v>80</v>
      </c>
      <c r="O338" s="5" t="str">
        <f>IF(B338="","",IFERROR(LOOKUP(2,1/('Call Log'!$C$2:$C$5000=B338),'Call Log'!$B$2:$B$5000),""))</f>
        <v/>
      </c>
      <c r="P338" s="5">
        <f>IF(B338="","",COUNTIFS('Call Log'!$C$2:$C$5000,B338,'Call Log'!$A$2:$A$5000,"&gt;="&amp;(TODAY()-WEEKDAY(TODAY(),2)+1)))</f>
        <v>0</v>
      </c>
      <c r="Q338" s="5">
        <f>IF(B338="","",COUNTIF('Call Log'!$C$2:$C$5000,B338))</f>
        <v>0</v>
      </c>
      <c r="R338" s="21" t="str">
        <f>IF(B338="","",IFERROR(IF(MAXIFS('Call Log'!$A$2:$A$5000,'Call Log'!$C$2:$C$5000,B338)=0,"",MAXIFS('Call Log'!$A$2:$A$5000,'Call Log'!$C$2:$C$5000,B338)),""))</f>
        <v/>
      </c>
      <c r="S338" s="5"/>
      <c r="T338" s="21"/>
      <c r="U338" s="21"/>
      <c r="V338" s="5"/>
      <c r="W338" s="20"/>
      <c r="X338" s="5"/>
      <c r="Y338" s="5"/>
      <c r="Z338" s="5" t="s">
        <v>132</v>
      </c>
      <c r="AA338" s="5" t="s">
        <v>2112</v>
      </c>
    </row>
    <row r="339" ht="15.0" customHeight="1">
      <c r="A339" s="5" t="s">
        <v>2113</v>
      </c>
      <c r="B339" s="5" t="s">
        <v>2114</v>
      </c>
      <c r="C339" s="5" t="s">
        <v>2115</v>
      </c>
      <c r="D339" s="5"/>
      <c r="E339" s="5"/>
      <c r="F339" s="20"/>
      <c r="G339" s="20"/>
      <c r="H339" s="5" t="s">
        <v>41</v>
      </c>
      <c r="I339" s="5" t="s">
        <v>1590</v>
      </c>
      <c r="J339" s="5" t="s">
        <v>114</v>
      </c>
      <c r="K339" s="5" t="s">
        <v>2116</v>
      </c>
      <c r="L339" s="5"/>
      <c r="M339" s="5" t="s">
        <v>8</v>
      </c>
      <c r="N339" s="5" t="s">
        <v>80</v>
      </c>
      <c r="O339" s="5" t="str">
        <f>IF(B339="","",IFERROR(LOOKUP(2,1/('Call Log'!$C$2:$C$5000=B339),'Call Log'!$B$2:$B$5000),""))</f>
        <v/>
      </c>
      <c r="P339" s="5">
        <f>IF(B339="","",COUNTIFS('Call Log'!$C$2:$C$5000,B339,'Call Log'!$A$2:$A$5000,"&gt;="&amp;(TODAY()-WEEKDAY(TODAY(),2)+1)))</f>
        <v>0</v>
      </c>
      <c r="Q339" s="5">
        <f>IF(B339="","",COUNTIF('Call Log'!$C$2:$C$5000,B339))</f>
        <v>0</v>
      </c>
      <c r="R339" s="21" t="str">
        <f>IF(B339="","",IFERROR(IF(MAXIFS('Call Log'!$A$2:$A$5000,'Call Log'!$C$2:$C$5000,B339)=0,"",MAXIFS('Call Log'!$A$2:$A$5000,'Call Log'!$C$2:$C$5000,B339)),""))</f>
        <v/>
      </c>
      <c r="S339" s="5"/>
      <c r="T339" s="21"/>
      <c r="U339" s="21"/>
      <c r="V339" s="5"/>
      <c r="W339" s="20"/>
      <c r="X339" s="5"/>
      <c r="Y339" s="5"/>
      <c r="Z339" s="5" t="s">
        <v>132</v>
      </c>
      <c r="AA339" s="5" t="s">
        <v>2117</v>
      </c>
    </row>
    <row r="340" ht="15.0" customHeight="1">
      <c r="A340" s="5" t="s">
        <v>2118</v>
      </c>
      <c r="B340" s="5" t="s">
        <v>2119</v>
      </c>
      <c r="C340" s="5" t="s">
        <v>2120</v>
      </c>
      <c r="D340" s="5"/>
      <c r="E340" s="5"/>
      <c r="F340" s="20"/>
      <c r="G340" s="20"/>
      <c r="H340" s="5" t="s">
        <v>40</v>
      </c>
      <c r="I340" s="5" t="s">
        <v>422</v>
      </c>
      <c r="J340" s="5" t="s">
        <v>114</v>
      </c>
      <c r="K340" s="5" t="s">
        <v>2121</v>
      </c>
      <c r="L340" s="5"/>
      <c r="M340" s="5" t="s">
        <v>8</v>
      </c>
      <c r="N340" s="5" t="s">
        <v>80</v>
      </c>
      <c r="O340" s="5" t="str">
        <f>IF(B340="","",IFERROR(LOOKUP(2,1/('Call Log'!$C$2:$C$5000=B340),'Call Log'!$B$2:$B$5000),""))</f>
        <v/>
      </c>
      <c r="P340" s="5">
        <f>IF(B340="","",COUNTIFS('Call Log'!$C$2:$C$5000,B340,'Call Log'!$A$2:$A$5000,"&gt;="&amp;(TODAY()-WEEKDAY(TODAY(),2)+1)))</f>
        <v>0</v>
      </c>
      <c r="Q340" s="5">
        <f>IF(B340="","",COUNTIF('Call Log'!$C$2:$C$5000,B340))</f>
        <v>0</v>
      </c>
      <c r="R340" s="21" t="str">
        <f>IF(B340="","",IFERROR(IF(MAXIFS('Call Log'!$A$2:$A$5000,'Call Log'!$C$2:$C$5000,B340)=0,"",MAXIFS('Call Log'!$A$2:$A$5000,'Call Log'!$C$2:$C$5000,B340)),""))</f>
        <v/>
      </c>
      <c r="S340" s="5"/>
      <c r="T340" s="21"/>
      <c r="U340" s="21"/>
      <c r="V340" s="5"/>
      <c r="W340" s="20"/>
      <c r="X340" s="5"/>
      <c r="Y340" s="5"/>
      <c r="Z340" s="5" t="s">
        <v>132</v>
      </c>
      <c r="AA340" s="5" t="s">
        <v>2122</v>
      </c>
    </row>
    <row r="341" ht="15.0" customHeight="1">
      <c r="A341" s="5" t="s">
        <v>2123</v>
      </c>
      <c r="B341" s="5" t="s">
        <v>2124</v>
      </c>
      <c r="C341" s="5" t="s">
        <v>2125</v>
      </c>
      <c r="D341" s="5"/>
      <c r="E341" s="5">
        <v>4.0</v>
      </c>
      <c r="F341" s="20"/>
      <c r="G341" s="20"/>
      <c r="H341" s="5" t="s">
        <v>40</v>
      </c>
      <c r="I341" s="5" t="s">
        <v>175</v>
      </c>
      <c r="J341" s="5" t="s">
        <v>114</v>
      </c>
      <c r="K341" s="5" t="s">
        <v>2126</v>
      </c>
      <c r="L341" s="5"/>
      <c r="M341" s="5" t="s">
        <v>8</v>
      </c>
      <c r="N341" s="5" t="s">
        <v>80</v>
      </c>
      <c r="O341" s="5" t="str">
        <f>IF(B341="","",IFERROR(LOOKUP(2,1/('Call Log'!$C$2:$C$5000=B341),'Call Log'!$B$2:$B$5000),""))</f>
        <v/>
      </c>
      <c r="P341" s="5">
        <f>IF(B341="","",COUNTIFS('Call Log'!$C$2:$C$5000,B341,'Call Log'!$A$2:$A$5000,"&gt;="&amp;(TODAY()-WEEKDAY(TODAY(),2)+1)))</f>
        <v>0</v>
      </c>
      <c r="Q341" s="5">
        <f>IF(B341="","",COUNTIF('Call Log'!$C$2:$C$5000,B341))</f>
        <v>0</v>
      </c>
      <c r="R341" s="21" t="str">
        <f>IF(B341="","",IFERROR(IF(MAXIFS('Call Log'!$A$2:$A$5000,'Call Log'!$C$2:$C$5000,B341)=0,"",MAXIFS('Call Log'!$A$2:$A$5000,'Call Log'!$C$2:$C$5000,B341)),""))</f>
        <v/>
      </c>
      <c r="S341" s="5"/>
      <c r="T341" s="21"/>
      <c r="U341" s="21"/>
      <c r="V341" s="5"/>
      <c r="W341" s="20"/>
      <c r="X341" s="5"/>
      <c r="Y341" s="5"/>
      <c r="Z341" s="5" t="s">
        <v>178</v>
      </c>
      <c r="AA341" s="5" t="s">
        <v>2127</v>
      </c>
    </row>
    <row r="342" ht="15.0" customHeight="1">
      <c r="A342" s="5" t="s">
        <v>2128</v>
      </c>
      <c r="B342" s="5" t="s">
        <v>2129</v>
      </c>
      <c r="C342" s="5" t="s">
        <v>2130</v>
      </c>
      <c r="D342" s="5"/>
      <c r="E342" s="5">
        <v>4.0</v>
      </c>
      <c r="F342" s="20"/>
      <c r="G342" s="20"/>
      <c r="H342" s="5" t="s">
        <v>41</v>
      </c>
      <c r="I342" s="5" t="s">
        <v>2131</v>
      </c>
      <c r="J342" s="5" t="s">
        <v>114</v>
      </c>
      <c r="K342" s="5" t="s">
        <v>2132</v>
      </c>
      <c r="L342" s="5"/>
      <c r="M342" s="5" t="s">
        <v>8</v>
      </c>
      <c r="N342" s="5" t="s">
        <v>80</v>
      </c>
      <c r="O342" s="5" t="str">
        <f>IF(B342="","",IFERROR(LOOKUP(2,1/('Call Log'!$C$2:$C$5000=B342),'Call Log'!$B$2:$B$5000),""))</f>
        <v/>
      </c>
      <c r="P342" s="5">
        <f>IF(B342="","",COUNTIFS('Call Log'!$C$2:$C$5000,B342,'Call Log'!$A$2:$A$5000,"&gt;="&amp;(TODAY()-WEEKDAY(TODAY(),2)+1)))</f>
        <v>0</v>
      </c>
      <c r="Q342" s="5">
        <f>IF(B342="","",COUNTIF('Call Log'!$C$2:$C$5000,B342))</f>
        <v>0</v>
      </c>
      <c r="R342" s="21" t="str">
        <f>IF(B342="","",IFERROR(IF(MAXIFS('Call Log'!$A$2:$A$5000,'Call Log'!$C$2:$C$5000,B342)=0,"",MAXIFS('Call Log'!$A$2:$A$5000,'Call Log'!$C$2:$C$5000,B342)),""))</f>
        <v/>
      </c>
      <c r="S342" s="5"/>
      <c r="T342" s="21"/>
      <c r="U342" s="21"/>
      <c r="V342" s="5"/>
      <c r="W342" s="20"/>
      <c r="X342" s="5"/>
      <c r="Y342" s="5"/>
      <c r="Z342" s="5" t="s">
        <v>132</v>
      </c>
      <c r="AA342" s="5" t="s">
        <v>2133</v>
      </c>
    </row>
    <row r="343" ht="15.0" customHeight="1">
      <c r="A343" s="5" t="s">
        <v>2134</v>
      </c>
      <c r="B343" s="5" t="s">
        <v>2135</v>
      </c>
      <c r="C343" s="5" t="s">
        <v>2136</v>
      </c>
      <c r="D343" s="5"/>
      <c r="E343" s="5">
        <v>8.0</v>
      </c>
      <c r="F343" s="20"/>
      <c r="G343" s="20"/>
      <c r="H343" s="5" t="s">
        <v>40</v>
      </c>
      <c r="I343" s="5" t="s">
        <v>422</v>
      </c>
      <c r="J343" s="5" t="s">
        <v>114</v>
      </c>
      <c r="K343" s="5" t="s">
        <v>2137</v>
      </c>
      <c r="L343" s="5"/>
      <c r="M343" s="5" t="s">
        <v>8</v>
      </c>
      <c r="N343" s="5" t="s">
        <v>80</v>
      </c>
      <c r="O343" s="5" t="str">
        <f>IF(B343="","",IFERROR(LOOKUP(2,1/('Call Log'!$C$2:$C$5000=B343),'Call Log'!$B$2:$B$5000),""))</f>
        <v/>
      </c>
      <c r="P343" s="5">
        <f>IF(B343="","",COUNTIFS('Call Log'!$C$2:$C$5000,B343,'Call Log'!$A$2:$A$5000,"&gt;="&amp;(TODAY()-WEEKDAY(TODAY(),2)+1)))</f>
        <v>0</v>
      </c>
      <c r="Q343" s="5">
        <f>IF(B343="","",COUNTIF('Call Log'!$C$2:$C$5000,B343))</f>
        <v>0</v>
      </c>
      <c r="R343" s="21" t="str">
        <f>IF(B343="","",IFERROR(IF(MAXIFS('Call Log'!$A$2:$A$5000,'Call Log'!$C$2:$C$5000,B343)=0,"",MAXIFS('Call Log'!$A$2:$A$5000,'Call Log'!$C$2:$C$5000,B343)),""))</f>
        <v/>
      </c>
      <c r="S343" s="5"/>
      <c r="T343" s="21"/>
      <c r="U343" s="21"/>
      <c r="V343" s="5"/>
      <c r="W343" s="20"/>
      <c r="X343" s="5"/>
      <c r="Y343" s="5"/>
      <c r="Z343" s="5" t="s">
        <v>132</v>
      </c>
      <c r="AA343" s="5" t="s">
        <v>2138</v>
      </c>
    </row>
    <row r="344" ht="15.0" customHeight="1">
      <c r="A344" s="5" t="s">
        <v>2139</v>
      </c>
      <c r="B344" s="5" t="s">
        <v>2140</v>
      </c>
      <c r="C344" s="5" t="s">
        <v>2141</v>
      </c>
      <c r="D344" s="5"/>
      <c r="E344" s="5"/>
      <c r="F344" s="20"/>
      <c r="G344" s="20"/>
      <c r="H344" s="5" t="s">
        <v>40</v>
      </c>
      <c r="I344" s="5" t="s">
        <v>594</v>
      </c>
      <c r="J344" s="5" t="s">
        <v>114</v>
      </c>
      <c r="K344" s="5" t="s">
        <v>2142</v>
      </c>
      <c r="L344" s="5"/>
      <c r="M344" s="5" t="s">
        <v>8</v>
      </c>
      <c r="N344" s="5" t="s">
        <v>80</v>
      </c>
      <c r="O344" s="5" t="str">
        <f>IF(B344="","",IFERROR(LOOKUP(2,1/('Call Log'!$C$2:$C$5000=B344),'Call Log'!$B$2:$B$5000),""))</f>
        <v/>
      </c>
      <c r="P344" s="5">
        <f>IF(B344="","",COUNTIFS('Call Log'!$C$2:$C$5000,B344,'Call Log'!$A$2:$A$5000,"&gt;="&amp;(TODAY()-WEEKDAY(TODAY(),2)+1)))</f>
        <v>0</v>
      </c>
      <c r="Q344" s="5">
        <f>IF(B344="","",COUNTIF('Call Log'!$C$2:$C$5000,B344))</f>
        <v>0</v>
      </c>
      <c r="R344" s="21" t="str">
        <f>IF(B344="","",IFERROR(IF(MAXIFS('Call Log'!$A$2:$A$5000,'Call Log'!$C$2:$C$5000,B344)=0,"",MAXIFS('Call Log'!$A$2:$A$5000,'Call Log'!$C$2:$C$5000,B344)),""))</f>
        <v/>
      </c>
      <c r="S344" s="5"/>
      <c r="T344" s="21"/>
      <c r="U344" s="21"/>
      <c r="V344" s="5"/>
      <c r="W344" s="20"/>
      <c r="X344" s="5"/>
      <c r="Y344" s="5"/>
      <c r="Z344" s="5" t="s">
        <v>178</v>
      </c>
      <c r="AA344" s="5" t="s">
        <v>2143</v>
      </c>
    </row>
    <row r="345" ht="15.0" customHeight="1">
      <c r="A345" s="5" t="s">
        <v>2144</v>
      </c>
      <c r="B345" s="5" t="s">
        <v>2145</v>
      </c>
      <c r="C345" s="5" t="s">
        <v>2146</v>
      </c>
      <c r="D345" s="5"/>
      <c r="E345" s="5">
        <v>2.0</v>
      </c>
      <c r="F345" s="20"/>
      <c r="G345" s="20"/>
      <c r="H345" s="5" t="s">
        <v>40</v>
      </c>
      <c r="I345" s="5" t="s">
        <v>206</v>
      </c>
      <c r="J345" s="5" t="s">
        <v>114</v>
      </c>
      <c r="K345" s="5" t="s">
        <v>2147</v>
      </c>
      <c r="L345" s="5" t="s">
        <v>2148</v>
      </c>
      <c r="M345" s="5" t="s">
        <v>8</v>
      </c>
      <c r="N345" s="5" t="s">
        <v>80</v>
      </c>
      <c r="O345" s="5" t="str">
        <f>IF(B345="","",IFERROR(LOOKUP(2,1/('Call Log'!$C$2:$C$5000=B345),'Call Log'!$B$2:$B$5000),""))</f>
        <v/>
      </c>
      <c r="P345" s="5">
        <f>IF(B345="","",COUNTIFS('Call Log'!$C$2:$C$5000,B345,'Call Log'!$A$2:$A$5000,"&gt;="&amp;(TODAY()-WEEKDAY(TODAY(),2)+1)))</f>
        <v>0</v>
      </c>
      <c r="Q345" s="5">
        <f>IF(B345="","",COUNTIF('Call Log'!$C$2:$C$5000,B345))</f>
        <v>0</v>
      </c>
      <c r="R345" s="21" t="str">
        <f>IF(B345="","",IFERROR(IF(MAXIFS('Call Log'!$A$2:$A$5000,'Call Log'!$C$2:$C$5000,B345)=0,"",MAXIFS('Call Log'!$A$2:$A$5000,'Call Log'!$C$2:$C$5000,B345)),""))</f>
        <v/>
      </c>
      <c r="S345" s="5"/>
      <c r="T345" s="21"/>
      <c r="U345" s="21"/>
      <c r="V345" s="5"/>
      <c r="W345" s="20"/>
      <c r="X345" s="5"/>
      <c r="Y345" s="5"/>
      <c r="Z345" s="5" t="s">
        <v>132</v>
      </c>
      <c r="AA345" s="5" t="s">
        <v>2149</v>
      </c>
    </row>
    <row r="346" ht="15.0" customHeight="1">
      <c r="A346" s="5" t="s">
        <v>2150</v>
      </c>
      <c r="B346" s="5" t="s">
        <v>2151</v>
      </c>
      <c r="C346" s="5" t="s">
        <v>2152</v>
      </c>
      <c r="D346" s="5"/>
      <c r="E346" s="5">
        <v>2.0</v>
      </c>
      <c r="F346" s="20"/>
      <c r="G346" s="20"/>
      <c r="H346" s="5" t="s">
        <v>41</v>
      </c>
      <c r="I346" s="5" t="s">
        <v>206</v>
      </c>
      <c r="J346" s="5" t="s">
        <v>114</v>
      </c>
      <c r="K346" s="5" t="s">
        <v>2153</v>
      </c>
      <c r="L346" s="5" t="s">
        <v>2154</v>
      </c>
      <c r="M346" s="5" t="s">
        <v>8</v>
      </c>
      <c r="N346" s="5" t="s">
        <v>80</v>
      </c>
      <c r="O346" s="5" t="str">
        <f>IF(B346="","",IFERROR(LOOKUP(2,1/('Call Log'!$C$2:$C$5000=B346),'Call Log'!$B$2:$B$5000),""))</f>
        <v/>
      </c>
      <c r="P346" s="5">
        <f>IF(B346="","",COUNTIFS('Call Log'!$C$2:$C$5000,B346,'Call Log'!$A$2:$A$5000,"&gt;="&amp;(TODAY()-WEEKDAY(TODAY(),2)+1)))</f>
        <v>0</v>
      </c>
      <c r="Q346" s="5">
        <f>IF(B346="","",COUNTIF('Call Log'!$C$2:$C$5000,B346))</f>
        <v>0</v>
      </c>
      <c r="R346" s="21" t="str">
        <f>IF(B346="","",IFERROR(IF(MAXIFS('Call Log'!$A$2:$A$5000,'Call Log'!$C$2:$C$5000,B346)=0,"",MAXIFS('Call Log'!$A$2:$A$5000,'Call Log'!$C$2:$C$5000,B346)),""))</f>
        <v/>
      </c>
      <c r="S346" s="5"/>
      <c r="T346" s="21"/>
      <c r="U346" s="21"/>
      <c r="V346" s="5"/>
      <c r="W346" s="20"/>
      <c r="X346" s="5"/>
      <c r="Y346" s="5"/>
      <c r="Z346" s="5" t="s">
        <v>132</v>
      </c>
      <c r="AA346" s="5" t="s">
        <v>2155</v>
      </c>
    </row>
    <row r="347" ht="15.0" customHeight="1">
      <c r="A347" s="5" t="s">
        <v>2156</v>
      </c>
      <c r="B347" s="5" t="s">
        <v>2157</v>
      </c>
      <c r="C347" s="5" t="s">
        <v>2158</v>
      </c>
      <c r="D347" s="5"/>
      <c r="E347" s="5"/>
      <c r="F347" s="20"/>
      <c r="G347" s="20"/>
      <c r="H347" s="5" t="s">
        <v>41</v>
      </c>
      <c r="I347" s="5" t="s">
        <v>357</v>
      </c>
      <c r="J347" s="5" t="s">
        <v>114</v>
      </c>
      <c r="K347" s="5" t="s">
        <v>2159</v>
      </c>
      <c r="L347" s="5"/>
      <c r="M347" s="5" t="s">
        <v>8</v>
      </c>
      <c r="N347" s="5" t="s">
        <v>80</v>
      </c>
      <c r="O347" s="5" t="str">
        <f>IF(B347="","",IFERROR(LOOKUP(2,1/('Call Log'!$C$2:$C$5000=B347),'Call Log'!$B$2:$B$5000),""))</f>
        <v/>
      </c>
      <c r="P347" s="5">
        <f>IF(B347="","",COUNTIFS('Call Log'!$C$2:$C$5000,B347,'Call Log'!$A$2:$A$5000,"&gt;="&amp;(TODAY()-WEEKDAY(TODAY(),2)+1)))</f>
        <v>0</v>
      </c>
      <c r="Q347" s="5">
        <f>IF(B347="","",COUNTIF('Call Log'!$C$2:$C$5000,B347))</f>
        <v>0</v>
      </c>
      <c r="R347" s="21" t="str">
        <f>IF(B347="","",IFERROR(IF(MAXIFS('Call Log'!$A$2:$A$5000,'Call Log'!$C$2:$C$5000,B347)=0,"",MAXIFS('Call Log'!$A$2:$A$5000,'Call Log'!$C$2:$C$5000,B347)),""))</f>
        <v/>
      </c>
      <c r="S347" s="5"/>
      <c r="T347" s="21"/>
      <c r="U347" s="21"/>
      <c r="V347" s="5"/>
      <c r="W347" s="20"/>
      <c r="X347" s="5"/>
      <c r="Y347" s="5"/>
      <c r="Z347" s="5" t="s">
        <v>132</v>
      </c>
      <c r="AA347" s="5" t="s">
        <v>2160</v>
      </c>
    </row>
    <row r="348" ht="15.0" customHeight="1">
      <c r="A348" s="5" t="s">
        <v>2161</v>
      </c>
      <c r="B348" s="5" t="s">
        <v>2162</v>
      </c>
      <c r="C348" s="5" t="s">
        <v>2163</v>
      </c>
      <c r="D348" s="5"/>
      <c r="E348" s="5"/>
      <c r="F348" s="20"/>
      <c r="G348" s="20"/>
      <c r="H348" s="5" t="s">
        <v>41</v>
      </c>
      <c r="I348" s="5" t="s">
        <v>175</v>
      </c>
      <c r="J348" s="5" t="s">
        <v>114</v>
      </c>
      <c r="K348" s="5" t="s">
        <v>2164</v>
      </c>
      <c r="L348" s="5"/>
      <c r="M348" s="5" t="s">
        <v>8</v>
      </c>
      <c r="N348" s="5" t="s">
        <v>80</v>
      </c>
      <c r="O348" s="5" t="str">
        <f>IF(B348="","",IFERROR(LOOKUP(2,1/('Call Log'!$C$2:$C$5000=B348),'Call Log'!$B$2:$B$5000),""))</f>
        <v/>
      </c>
      <c r="P348" s="5">
        <f>IF(B348="","",COUNTIFS('Call Log'!$C$2:$C$5000,B348,'Call Log'!$A$2:$A$5000,"&gt;="&amp;(TODAY()-WEEKDAY(TODAY(),2)+1)))</f>
        <v>0</v>
      </c>
      <c r="Q348" s="5">
        <f>IF(B348="","",COUNTIF('Call Log'!$C$2:$C$5000,B348))</f>
        <v>0</v>
      </c>
      <c r="R348" s="21" t="str">
        <f>IF(B348="","",IFERROR(IF(MAXIFS('Call Log'!$A$2:$A$5000,'Call Log'!$C$2:$C$5000,B348)=0,"",MAXIFS('Call Log'!$A$2:$A$5000,'Call Log'!$C$2:$C$5000,B348)),""))</f>
        <v/>
      </c>
      <c r="S348" s="5"/>
      <c r="T348" s="21"/>
      <c r="U348" s="21"/>
      <c r="V348" s="5"/>
      <c r="W348" s="20"/>
      <c r="X348" s="5"/>
      <c r="Y348" s="5"/>
      <c r="Z348" s="5" t="s">
        <v>178</v>
      </c>
      <c r="AA348" s="5" t="s">
        <v>2165</v>
      </c>
    </row>
    <row r="349" ht="15.0" customHeight="1">
      <c r="A349" s="5" t="s">
        <v>2166</v>
      </c>
      <c r="B349" s="5" t="s">
        <v>2167</v>
      </c>
      <c r="C349" s="5" t="s">
        <v>2168</v>
      </c>
      <c r="D349" s="5"/>
      <c r="E349" s="5">
        <v>1.0</v>
      </c>
      <c r="F349" s="20"/>
      <c r="G349" s="20"/>
      <c r="H349" s="5" t="s">
        <v>40</v>
      </c>
      <c r="I349" s="5" t="s">
        <v>154</v>
      </c>
      <c r="J349" s="5" t="s">
        <v>114</v>
      </c>
      <c r="K349" s="5" t="s">
        <v>2169</v>
      </c>
      <c r="L349" s="5" t="s">
        <v>2170</v>
      </c>
      <c r="M349" s="5" t="s">
        <v>8</v>
      </c>
      <c r="N349" s="5" t="s">
        <v>80</v>
      </c>
      <c r="O349" s="5" t="str">
        <f>IF(B349="","",IFERROR(LOOKUP(2,1/('Call Log'!$C$2:$C$5000=B349),'Call Log'!$B$2:$B$5000),""))</f>
        <v/>
      </c>
      <c r="P349" s="5">
        <f>IF(B349="","",COUNTIFS('Call Log'!$C$2:$C$5000,B349,'Call Log'!$A$2:$A$5000,"&gt;="&amp;(TODAY()-WEEKDAY(TODAY(),2)+1)))</f>
        <v>0</v>
      </c>
      <c r="Q349" s="5">
        <f>IF(B349="","",COUNTIF('Call Log'!$C$2:$C$5000,B349))</f>
        <v>0</v>
      </c>
      <c r="R349" s="21" t="str">
        <f>IF(B349="","",IFERROR(IF(MAXIFS('Call Log'!$A$2:$A$5000,'Call Log'!$C$2:$C$5000,B349)=0,"",MAXIFS('Call Log'!$A$2:$A$5000,'Call Log'!$C$2:$C$5000,B349)),""))</f>
        <v/>
      </c>
      <c r="S349" s="5"/>
      <c r="T349" s="21"/>
      <c r="U349" s="21"/>
      <c r="V349" s="5"/>
      <c r="W349" s="20"/>
      <c r="X349" s="5"/>
      <c r="Y349" s="5"/>
      <c r="Z349" s="5" t="s">
        <v>132</v>
      </c>
      <c r="AA349" s="5" t="s">
        <v>2171</v>
      </c>
    </row>
    <row r="350" ht="15.0" customHeight="1">
      <c r="A350" s="5" t="s">
        <v>2172</v>
      </c>
      <c r="B350" s="5" t="s">
        <v>2173</v>
      </c>
      <c r="C350" s="5" t="s">
        <v>2174</v>
      </c>
      <c r="D350" s="5"/>
      <c r="E350" s="5"/>
      <c r="F350" s="20"/>
      <c r="G350" s="20"/>
      <c r="H350" s="5" t="s">
        <v>40</v>
      </c>
      <c r="I350" s="5" t="s">
        <v>756</v>
      </c>
      <c r="J350" s="5" t="s">
        <v>114</v>
      </c>
      <c r="K350" s="5" t="s">
        <v>2175</v>
      </c>
      <c r="L350" s="5"/>
      <c r="M350" s="5" t="s">
        <v>8</v>
      </c>
      <c r="N350" s="5" t="s">
        <v>80</v>
      </c>
      <c r="O350" s="5" t="str">
        <f>IF(B350="","",IFERROR(LOOKUP(2,1/('Call Log'!$C$2:$C$5000=B350),'Call Log'!$B$2:$B$5000),""))</f>
        <v/>
      </c>
      <c r="P350" s="5">
        <f>IF(B350="","",COUNTIFS('Call Log'!$C$2:$C$5000,B350,'Call Log'!$A$2:$A$5000,"&gt;="&amp;(TODAY()-WEEKDAY(TODAY(),2)+1)))</f>
        <v>0</v>
      </c>
      <c r="Q350" s="5">
        <f>IF(B350="","",COUNTIF('Call Log'!$C$2:$C$5000,B350))</f>
        <v>0</v>
      </c>
      <c r="R350" s="21" t="str">
        <f>IF(B350="","",IFERROR(IF(MAXIFS('Call Log'!$A$2:$A$5000,'Call Log'!$C$2:$C$5000,B350)=0,"",MAXIFS('Call Log'!$A$2:$A$5000,'Call Log'!$C$2:$C$5000,B350)),""))</f>
        <v/>
      </c>
      <c r="S350" s="5"/>
      <c r="T350" s="21"/>
      <c r="U350" s="21"/>
      <c r="V350" s="5"/>
      <c r="W350" s="20"/>
      <c r="X350" s="5"/>
      <c r="Y350" s="5"/>
      <c r="Z350" s="5" t="s">
        <v>132</v>
      </c>
      <c r="AA350" s="5" t="s">
        <v>2176</v>
      </c>
    </row>
    <row r="351" ht="15.0" customHeight="1">
      <c r="A351" s="5" t="s">
        <v>2177</v>
      </c>
      <c r="B351" s="5" t="s">
        <v>2178</v>
      </c>
      <c r="C351" s="5" t="s">
        <v>2179</v>
      </c>
      <c r="D351" s="5"/>
      <c r="E351" s="5"/>
      <c r="F351" s="20"/>
      <c r="G351" s="20"/>
      <c r="H351" s="5" t="s">
        <v>40</v>
      </c>
      <c r="I351" s="5" t="s">
        <v>370</v>
      </c>
      <c r="J351" s="5" t="s">
        <v>114</v>
      </c>
      <c r="K351" s="5" t="s">
        <v>2180</v>
      </c>
      <c r="L351" s="5"/>
      <c r="M351" s="5" t="s">
        <v>8</v>
      </c>
      <c r="N351" s="5" t="s">
        <v>80</v>
      </c>
      <c r="O351" s="5" t="str">
        <f>IF(B351="","",IFERROR(LOOKUP(2,1/('Call Log'!$C$2:$C$5000=B351),'Call Log'!$B$2:$B$5000),""))</f>
        <v/>
      </c>
      <c r="P351" s="5">
        <f>IF(B351="","",COUNTIFS('Call Log'!$C$2:$C$5000,B351,'Call Log'!$A$2:$A$5000,"&gt;="&amp;(TODAY()-WEEKDAY(TODAY(),2)+1)))</f>
        <v>0</v>
      </c>
      <c r="Q351" s="5">
        <f>IF(B351="","",COUNTIF('Call Log'!$C$2:$C$5000,B351))</f>
        <v>0</v>
      </c>
      <c r="R351" s="21" t="str">
        <f>IF(B351="","",IFERROR(IF(MAXIFS('Call Log'!$A$2:$A$5000,'Call Log'!$C$2:$C$5000,B351)=0,"",MAXIFS('Call Log'!$A$2:$A$5000,'Call Log'!$C$2:$C$5000,B351)),""))</f>
        <v/>
      </c>
      <c r="S351" s="5"/>
      <c r="T351" s="21"/>
      <c r="U351" s="21"/>
      <c r="V351" s="5"/>
      <c r="W351" s="20"/>
      <c r="X351" s="5"/>
      <c r="Y351" s="5"/>
      <c r="Z351" s="5" t="s">
        <v>178</v>
      </c>
      <c r="AA351" s="5" t="s">
        <v>2181</v>
      </c>
    </row>
    <row r="352" ht="15.0" customHeight="1">
      <c r="A352" s="5" t="s">
        <v>2182</v>
      </c>
      <c r="B352" s="5" t="s">
        <v>2183</v>
      </c>
      <c r="C352" s="5" t="s">
        <v>2184</v>
      </c>
      <c r="D352" s="5"/>
      <c r="E352" s="5"/>
      <c r="F352" s="20"/>
      <c r="G352" s="20"/>
      <c r="H352" s="5" t="s">
        <v>40</v>
      </c>
      <c r="I352" s="5" t="s">
        <v>184</v>
      </c>
      <c r="J352" s="5" t="s">
        <v>114</v>
      </c>
      <c r="K352" s="5" t="s">
        <v>2185</v>
      </c>
      <c r="L352" s="5"/>
      <c r="M352" s="5" t="s">
        <v>8</v>
      </c>
      <c r="N352" s="5" t="s">
        <v>80</v>
      </c>
      <c r="O352" s="5" t="str">
        <f>IF(B352="","",IFERROR(LOOKUP(2,1/('Call Log'!$C$2:$C$5000=B352),'Call Log'!$B$2:$B$5000),""))</f>
        <v/>
      </c>
      <c r="P352" s="5">
        <f>IF(B352="","",COUNTIFS('Call Log'!$C$2:$C$5000,B352,'Call Log'!$A$2:$A$5000,"&gt;="&amp;(TODAY()-WEEKDAY(TODAY(),2)+1)))</f>
        <v>0</v>
      </c>
      <c r="Q352" s="5">
        <f>IF(B352="","",COUNTIF('Call Log'!$C$2:$C$5000,B352))</f>
        <v>0</v>
      </c>
      <c r="R352" s="21" t="str">
        <f>IF(B352="","",IFERROR(IF(MAXIFS('Call Log'!$A$2:$A$5000,'Call Log'!$C$2:$C$5000,B352)=0,"",MAXIFS('Call Log'!$A$2:$A$5000,'Call Log'!$C$2:$C$5000,B352)),""))</f>
        <v/>
      </c>
      <c r="S352" s="5"/>
      <c r="T352" s="21"/>
      <c r="U352" s="21"/>
      <c r="V352" s="5"/>
      <c r="W352" s="20"/>
      <c r="X352" s="5"/>
      <c r="Y352" s="5"/>
      <c r="Z352" s="5" t="s">
        <v>132</v>
      </c>
      <c r="AA352" s="5" t="s">
        <v>2186</v>
      </c>
    </row>
    <row r="353" ht="15.0" customHeight="1">
      <c r="A353" s="5" t="s">
        <v>2187</v>
      </c>
      <c r="B353" s="5" t="s">
        <v>2188</v>
      </c>
      <c r="C353" s="5" t="s">
        <v>2189</v>
      </c>
      <c r="D353" s="5"/>
      <c r="E353" s="5">
        <v>1.0</v>
      </c>
      <c r="F353" s="20"/>
      <c r="G353" s="20"/>
      <c r="H353" s="5" t="s">
        <v>41</v>
      </c>
      <c r="I353" s="5" t="s">
        <v>122</v>
      </c>
      <c r="J353" s="5" t="s">
        <v>114</v>
      </c>
      <c r="K353" s="5" t="s">
        <v>2190</v>
      </c>
      <c r="L353" s="5" t="s">
        <v>2191</v>
      </c>
      <c r="M353" s="5" t="s">
        <v>8</v>
      </c>
      <c r="N353" s="5" t="s">
        <v>80</v>
      </c>
      <c r="O353" s="5" t="str">
        <f>IF(B353="","",IFERROR(LOOKUP(2,1/('Call Log'!$C$2:$C$5000=B353),'Call Log'!$B$2:$B$5000),""))</f>
        <v/>
      </c>
      <c r="P353" s="5">
        <f>IF(B353="","",COUNTIFS('Call Log'!$C$2:$C$5000,B353,'Call Log'!$A$2:$A$5000,"&gt;="&amp;(TODAY()-WEEKDAY(TODAY(),2)+1)))</f>
        <v>0</v>
      </c>
      <c r="Q353" s="5">
        <f>IF(B353="","",COUNTIF('Call Log'!$C$2:$C$5000,B353))</f>
        <v>0</v>
      </c>
      <c r="R353" s="21" t="str">
        <f>IF(B353="","",IFERROR(IF(MAXIFS('Call Log'!$A$2:$A$5000,'Call Log'!$C$2:$C$5000,B353)=0,"",MAXIFS('Call Log'!$A$2:$A$5000,'Call Log'!$C$2:$C$5000,B353)),""))</f>
        <v/>
      </c>
      <c r="S353" s="5"/>
      <c r="T353" s="21"/>
      <c r="U353" s="21"/>
      <c r="V353" s="5"/>
      <c r="W353" s="20"/>
      <c r="X353" s="5"/>
      <c r="Y353" s="5"/>
      <c r="Z353" s="5" t="s">
        <v>455</v>
      </c>
      <c r="AA353" s="5"/>
    </row>
    <row r="354" ht="15.0" customHeight="1">
      <c r="A354" s="5" t="s">
        <v>2192</v>
      </c>
      <c r="B354" s="5" t="s">
        <v>2193</v>
      </c>
      <c r="C354" s="5" t="s">
        <v>2194</v>
      </c>
      <c r="D354" s="5"/>
      <c r="E354" s="5"/>
      <c r="F354" s="20"/>
      <c r="G354" s="20"/>
      <c r="H354" s="5" t="s">
        <v>41</v>
      </c>
      <c r="I354" s="5" t="s">
        <v>370</v>
      </c>
      <c r="J354" s="5" t="s">
        <v>114</v>
      </c>
      <c r="K354" s="5" t="s">
        <v>2195</v>
      </c>
      <c r="L354" s="5"/>
      <c r="M354" s="5" t="s">
        <v>8</v>
      </c>
      <c r="N354" s="5" t="s">
        <v>80</v>
      </c>
      <c r="O354" s="5" t="str">
        <f>IF(B354="","",IFERROR(LOOKUP(2,1/('Call Log'!$C$2:$C$5000=B354),'Call Log'!$B$2:$B$5000),""))</f>
        <v/>
      </c>
      <c r="P354" s="5">
        <f>IF(B354="","",COUNTIFS('Call Log'!$C$2:$C$5000,B354,'Call Log'!$A$2:$A$5000,"&gt;="&amp;(TODAY()-WEEKDAY(TODAY(),2)+1)))</f>
        <v>0</v>
      </c>
      <c r="Q354" s="5">
        <f>IF(B354="","",COUNTIF('Call Log'!$C$2:$C$5000,B354))</f>
        <v>0</v>
      </c>
      <c r="R354" s="21" t="str">
        <f>IF(B354="","",IFERROR(IF(MAXIFS('Call Log'!$A$2:$A$5000,'Call Log'!$C$2:$C$5000,B354)=0,"",MAXIFS('Call Log'!$A$2:$A$5000,'Call Log'!$C$2:$C$5000,B354)),""))</f>
        <v/>
      </c>
      <c r="S354" s="5"/>
      <c r="T354" s="21"/>
      <c r="U354" s="21"/>
      <c r="V354" s="5"/>
      <c r="W354" s="20"/>
      <c r="X354" s="5"/>
      <c r="Y354" s="5"/>
      <c r="Z354" s="5" t="s">
        <v>455</v>
      </c>
      <c r="AA354" s="5"/>
    </row>
    <row r="355" ht="15.0" customHeight="1">
      <c r="A355" s="5" t="s">
        <v>2196</v>
      </c>
      <c r="B355" s="5" t="s">
        <v>2197</v>
      </c>
      <c r="C355" s="5" t="s">
        <v>2198</v>
      </c>
      <c r="D355" s="5"/>
      <c r="E355" s="5"/>
      <c r="F355" s="20"/>
      <c r="G355" s="20"/>
      <c r="H355" s="5" t="s">
        <v>41</v>
      </c>
      <c r="I355" s="5" t="s">
        <v>756</v>
      </c>
      <c r="J355" s="5" t="s">
        <v>114</v>
      </c>
      <c r="K355" s="5" t="s">
        <v>2199</v>
      </c>
      <c r="L355" s="5"/>
      <c r="M355" s="5" t="s">
        <v>8</v>
      </c>
      <c r="N355" s="5" t="s">
        <v>80</v>
      </c>
      <c r="O355" s="5" t="str">
        <f>IF(B355="","",IFERROR(LOOKUP(2,1/('Call Log'!$C$2:$C$5000=B355),'Call Log'!$B$2:$B$5000),""))</f>
        <v/>
      </c>
      <c r="P355" s="5">
        <f>IF(B355="","",COUNTIFS('Call Log'!$C$2:$C$5000,B355,'Call Log'!$A$2:$A$5000,"&gt;="&amp;(TODAY()-WEEKDAY(TODAY(),2)+1)))</f>
        <v>0</v>
      </c>
      <c r="Q355" s="5">
        <f>IF(B355="","",COUNTIF('Call Log'!$C$2:$C$5000,B355))</f>
        <v>0</v>
      </c>
      <c r="R355" s="21" t="str">
        <f>IF(B355="","",IFERROR(IF(MAXIFS('Call Log'!$A$2:$A$5000,'Call Log'!$C$2:$C$5000,B355)=0,"",MAXIFS('Call Log'!$A$2:$A$5000,'Call Log'!$C$2:$C$5000,B355)),""))</f>
        <v/>
      </c>
      <c r="S355" s="5"/>
      <c r="T355" s="21"/>
      <c r="U355" s="21"/>
      <c r="V355" s="5"/>
      <c r="W355" s="20"/>
      <c r="X355" s="5"/>
      <c r="Y355" s="5"/>
      <c r="Z355" s="5" t="s">
        <v>132</v>
      </c>
      <c r="AA355" s="5" t="s">
        <v>2200</v>
      </c>
    </row>
    <row r="356" ht="15.0" customHeight="1">
      <c r="A356" s="5" t="s">
        <v>2201</v>
      </c>
      <c r="B356" s="5" t="s">
        <v>2202</v>
      </c>
      <c r="C356" s="5" t="s">
        <v>2203</v>
      </c>
      <c r="D356" s="5"/>
      <c r="E356" s="5">
        <v>9.0</v>
      </c>
      <c r="F356" s="20"/>
      <c r="G356" s="20"/>
      <c r="H356" s="5" t="s">
        <v>40</v>
      </c>
      <c r="I356" s="5" t="s">
        <v>175</v>
      </c>
      <c r="J356" s="5" t="s">
        <v>114</v>
      </c>
      <c r="K356" s="5" t="s">
        <v>2204</v>
      </c>
      <c r="L356" s="5"/>
      <c r="M356" s="5" t="s">
        <v>8</v>
      </c>
      <c r="N356" s="5" t="s">
        <v>80</v>
      </c>
      <c r="O356" s="5" t="str">
        <f>IF(B356="","",IFERROR(LOOKUP(2,1/('Call Log'!$C$2:$C$5000=B356),'Call Log'!$B$2:$B$5000),""))</f>
        <v/>
      </c>
      <c r="P356" s="5">
        <f>IF(B356="","",COUNTIFS('Call Log'!$C$2:$C$5000,B356,'Call Log'!$A$2:$A$5000,"&gt;="&amp;(TODAY()-WEEKDAY(TODAY(),2)+1)))</f>
        <v>0</v>
      </c>
      <c r="Q356" s="5">
        <f>IF(B356="","",COUNTIF('Call Log'!$C$2:$C$5000,B356))</f>
        <v>0</v>
      </c>
      <c r="R356" s="21" t="str">
        <f>IF(B356="","",IFERROR(IF(MAXIFS('Call Log'!$A$2:$A$5000,'Call Log'!$C$2:$C$5000,B356)=0,"",MAXIFS('Call Log'!$A$2:$A$5000,'Call Log'!$C$2:$C$5000,B356)),""))</f>
        <v/>
      </c>
      <c r="S356" s="5"/>
      <c r="T356" s="21"/>
      <c r="U356" s="21"/>
      <c r="V356" s="5"/>
      <c r="W356" s="20"/>
      <c r="X356" s="5"/>
      <c r="Y356" s="5"/>
      <c r="Z356" s="5" t="s">
        <v>178</v>
      </c>
      <c r="AA356" s="5" t="s">
        <v>2205</v>
      </c>
    </row>
    <row r="357" ht="15.0" customHeight="1">
      <c r="A357" s="5" t="s">
        <v>2206</v>
      </c>
      <c r="B357" s="5" t="s">
        <v>2207</v>
      </c>
      <c r="C357" s="5" t="s">
        <v>2208</v>
      </c>
      <c r="D357" s="5"/>
      <c r="E357" s="5"/>
      <c r="F357" s="20"/>
      <c r="G357" s="20"/>
      <c r="H357" s="5" t="s">
        <v>40</v>
      </c>
      <c r="I357" s="5" t="s">
        <v>161</v>
      </c>
      <c r="J357" s="5" t="s">
        <v>114</v>
      </c>
      <c r="K357" s="5" t="s">
        <v>2209</v>
      </c>
      <c r="L357" s="5"/>
      <c r="M357" s="5" t="s">
        <v>8</v>
      </c>
      <c r="N357" s="5" t="s">
        <v>80</v>
      </c>
      <c r="O357" s="5" t="str">
        <f>IF(B357="","",IFERROR(LOOKUP(2,1/('Call Log'!$C$2:$C$5000=B357),'Call Log'!$B$2:$B$5000),""))</f>
        <v/>
      </c>
      <c r="P357" s="5">
        <f>IF(B357="","",COUNTIFS('Call Log'!$C$2:$C$5000,B357,'Call Log'!$A$2:$A$5000,"&gt;="&amp;(TODAY()-WEEKDAY(TODAY(),2)+1)))</f>
        <v>0</v>
      </c>
      <c r="Q357" s="5">
        <f>IF(B357="","",COUNTIF('Call Log'!$C$2:$C$5000,B357))</f>
        <v>0</v>
      </c>
      <c r="R357" s="21" t="str">
        <f>IF(B357="","",IFERROR(IF(MAXIFS('Call Log'!$A$2:$A$5000,'Call Log'!$C$2:$C$5000,B357)=0,"",MAXIFS('Call Log'!$A$2:$A$5000,'Call Log'!$C$2:$C$5000,B357)),""))</f>
        <v/>
      </c>
      <c r="S357" s="5"/>
      <c r="T357" s="21"/>
      <c r="U357" s="21"/>
      <c r="V357" s="5"/>
      <c r="W357" s="20"/>
      <c r="X357" s="5"/>
      <c r="Y357" s="5"/>
      <c r="Z357" s="5" t="s">
        <v>132</v>
      </c>
      <c r="AA357" s="5" t="s">
        <v>2210</v>
      </c>
    </row>
    <row r="358" ht="15.0" customHeight="1">
      <c r="A358" s="5" t="s">
        <v>2211</v>
      </c>
      <c r="B358" s="5" t="s">
        <v>2212</v>
      </c>
      <c r="C358" s="5" t="s">
        <v>2213</v>
      </c>
      <c r="D358" s="5"/>
      <c r="E358" s="5"/>
      <c r="F358" s="20"/>
      <c r="G358" s="20"/>
      <c r="H358" s="5" t="s">
        <v>40</v>
      </c>
      <c r="I358" s="5" t="s">
        <v>622</v>
      </c>
      <c r="J358" s="5" t="s">
        <v>114</v>
      </c>
      <c r="K358" s="5" t="s">
        <v>2214</v>
      </c>
      <c r="L358" s="5" t="s">
        <v>2215</v>
      </c>
      <c r="M358" s="5" t="s">
        <v>8</v>
      </c>
      <c r="N358" s="5" t="s">
        <v>80</v>
      </c>
      <c r="O358" s="5" t="str">
        <f>IF(B358="","",IFERROR(LOOKUP(2,1/('Call Log'!$C$2:$C$5000=B358),'Call Log'!$B$2:$B$5000),""))</f>
        <v/>
      </c>
      <c r="P358" s="5">
        <f>IF(B358="","",COUNTIFS('Call Log'!$C$2:$C$5000,B358,'Call Log'!$A$2:$A$5000,"&gt;="&amp;(TODAY()-WEEKDAY(TODAY(),2)+1)))</f>
        <v>0</v>
      </c>
      <c r="Q358" s="5">
        <f>IF(B358="","",COUNTIF('Call Log'!$C$2:$C$5000,B358))</f>
        <v>0</v>
      </c>
      <c r="R358" s="21" t="str">
        <f>IF(B358="","",IFERROR(IF(MAXIFS('Call Log'!$A$2:$A$5000,'Call Log'!$C$2:$C$5000,B358)=0,"",MAXIFS('Call Log'!$A$2:$A$5000,'Call Log'!$C$2:$C$5000,B358)),""))</f>
        <v/>
      </c>
      <c r="S358" s="5"/>
      <c r="T358" s="21"/>
      <c r="U358" s="21"/>
      <c r="V358" s="5"/>
      <c r="W358" s="20"/>
      <c r="X358" s="5"/>
      <c r="Y358" s="5"/>
      <c r="Z358" s="5" t="s">
        <v>132</v>
      </c>
      <c r="AA358" s="5" t="s">
        <v>2216</v>
      </c>
    </row>
    <row r="359" ht="15.0" customHeight="1">
      <c r="A359" s="5" t="s">
        <v>2217</v>
      </c>
      <c r="B359" s="5" t="s">
        <v>2218</v>
      </c>
      <c r="C359" s="5" t="s">
        <v>2219</v>
      </c>
      <c r="D359" s="5"/>
      <c r="E359" s="5"/>
      <c r="F359" s="20"/>
      <c r="G359" s="20"/>
      <c r="H359" s="5" t="s">
        <v>41</v>
      </c>
      <c r="I359" s="5" t="s">
        <v>370</v>
      </c>
      <c r="J359" s="5" t="s">
        <v>114</v>
      </c>
      <c r="K359" s="5" t="s">
        <v>2220</v>
      </c>
      <c r="L359" s="5" t="s">
        <v>2221</v>
      </c>
      <c r="M359" s="5" t="s">
        <v>8</v>
      </c>
      <c r="N359" s="5" t="s">
        <v>80</v>
      </c>
      <c r="O359" s="5" t="str">
        <f>IF(B359="","",IFERROR(LOOKUP(2,1/('Call Log'!$C$2:$C$5000=B359),'Call Log'!$B$2:$B$5000),""))</f>
        <v/>
      </c>
      <c r="P359" s="5">
        <f>IF(B359="","",COUNTIFS('Call Log'!$C$2:$C$5000,B359,'Call Log'!$A$2:$A$5000,"&gt;="&amp;(TODAY()-WEEKDAY(TODAY(),2)+1)))</f>
        <v>0</v>
      </c>
      <c r="Q359" s="5">
        <f>IF(B359="","",COUNTIF('Call Log'!$C$2:$C$5000,B359))</f>
        <v>0</v>
      </c>
      <c r="R359" s="21" t="str">
        <f>IF(B359="","",IFERROR(IF(MAXIFS('Call Log'!$A$2:$A$5000,'Call Log'!$C$2:$C$5000,B359)=0,"",MAXIFS('Call Log'!$A$2:$A$5000,'Call Log'!$C$2:$C$5000,B359)),""))</f>
        <v/>
      </c>
      <c r="S359" s="5"/>
      <c r="T359" s="21"/>
      <c r="U359" s="21"/>
      <c r="V359" s="5"/>
      <c r="W359" s="20"/>
      <c r="X359" s="5"/>
      <c r="Y359" s="5"/>
      <c r="Z359" s="5" t="s">
        <v>178</v>
      </c>
      <c r="AA359" s="5" t="s">
        <v>2222</v>
      </c>
    </row>
    <row r="360" ht="15.0" customHeight="1">
      <c r="A360" s="5" t="s">
        <v>2223</v>
      </c>
      <c r="B360" s="5" t="s">
        <v>2224</v>
      </c>
      <c r="C360" s="5" t="s">
        <v>2225</v>
      </c>
      <c r="D360" s="5"/>
      <c r="E360" s="5"/>
      <c r="F360" s="20"/>
      <c r="G360" s="20"/>
      <c r="H360" s="5" t="s">
        <v>40</v>
      </c>
      <c r="I360" s="5" t="s">
        <v>146</v>
      </c>
      <c r="J360" s="5" t="s">
        <v>114</v>
      </c>
      <c r="K360" s="5" t="s">
        <v>2226</v>
      </c>
      <c r="L360" s="5"/>
      <c r="M360" s="5" t="s">
        <v>8</v>
      </c>
      <c r="N360" s="5" t="s">
        <v>80</v>
      </c>
      <c r="O360" s="5" t="str">
        <f>IF(B360="","",IFERROR(LOOKUP(2,1/('Call Log'!$C$2:$C$5000=B360),'Call Log'!$B$2:$B$5000),""))</f>
        <v/>
      </c>
      <c r="P360" s="5">
        <f>IF(B360="","",COUNTIFS('Call Log'!$C$2:$C$5000,B360,'Call Log'!$A$2:$A$5000,"&gt;="&amp;(TODAY()-WEEKDAY(TODAY(),2)+1)))</f>
        <v>0</v>
      </c>
      <c r="Q360" s="5">
        <f>IF(B360="","",COUNTIF('Call Log'!$C$2:$C$5000,B360))</f>
        <v>0</v>
      </c>
      <c r="R360" s="21" t="str">
        <f>IF(B360="","",IFERROR(IF(MAXIFS('Call Log'!$A$2:$A$5000,'Call Log'!$C$2:$C$5000,B360)=0,"",MAXIFS('Call Log'!$A$2:$A$5000,'Call Log'!$C$2:$C$5000,B360)),""))</f>
        <v/>
      </c>
      <c r="S360" s="5"/>
      <c r="T360" s="21"/>
      <c r="U360" s="21"/>
      <c r="V360" s="5"/>
      <c r="W360" s="20"/>
      <c r="X360" s="5"/>
      <c r="Y360" s="5"/>
      <c r="Z360" s="5" t="s">
        <v>178</v>
      </c>
      <c r="AA360" s="5" t="s">
        <v>2227</v>
      </c>
    </row>
    <row r="361" ht="15.0" customHeight="1">
      <c r="A361" s="5" t="s">
        <v>2228</v>
      </c>
      <c r="B361" s="5" t="s">
        <v>2229</v>
      </c>
      <c r="C361" s="5" t="s">
        <v>2230</v>
      </c>
      <c r="D361" s="5"/>
      <c r="E361" s="5"/>
      <c r="F361" s="20"/>
      <c r="G361" s="20"/>
      <c r="H361" s="5" t="s">
        <v>40</v>
      </c>
      <c r="I361" s="5" t="s">
        <v>904</v>
      </c>
      <c r="J361" s="5" t="s">
        <v>114</v>
      </c>
      <c r="K361" s="5" t="s">
        <v>2231</v>
      </c>
      <c r="L361" s="5"/>
      <c r="M361" s="5" t="s">
        <v>8</v>
      </c>
      <c r="N361" s="5" t="s">
        <v>80</v>
      </c>
      <c r="O361" s="5" t="str">
        <f>IF(B361="","",IFERROR(LOOKUP(2,1/('Call Log'!$C$2:$C$5000=B361),'Call Log'!$B$2:$B$5000),""))</f>
        <v/>
      </c>
      <c r="P361" s="5">
        <f>IF(B361="","",COUNTIFS('Call Log'!$C$2:$C$5000,B361,'Call Log'!$A$2:$A$5000,"&gt;="&amp;(TODAY()-WEEKDAY(TODAY(),2)+1)))</f>
        <v>0</v>
      </c>
      <c r="Q361" s="5">
        <f>IF(B361="","",COUNTIF('Call Log'!$C$2:$C$5000,B361))</f>
        <v>0</v>
      </c>
      <c r="R361" s="21" t="str">
        <f>IF(B361="","",IFERROR(IF(MAXIFS('Call Log'!$A$2:$A$5000,'Call Log'!$C$2:$C$5000,B361)=0,"",MAXIFS('Call Log'!$A$2:$A$5000,'Call Log'!$C$2:$C$5000,B361)),""))</f>
        <v/>
      </c>
      <c r="S361" s="5"/>
      <c r="T361" s="21"/>
      <c r="U361" s="21"/>
      <c r="V361" s="5"/>
      <c r="W361" s="20"/>
      <c r="X361" s="5"/>
      <c r="Y361" s="5"/>
      <c r="Z361" s="5" t="s">
        <v>132</v>
      </c>
      <c r="AA361" s="5" t="s">
        <v>2232</v>
      </c>
    </row>
    <row r="362" ht="15.0" customHeight="1">
      <c r="A362" s="5" t="s">
        <v>2233</v>
      </c>
      <c r="B362" s="5" t="s">
        <v>2234</v>
      </c>
      <c r="C362" s="5" t="s">
        <v>2235</v>
      </c>
      <c r="D362" s="5"/>
      <c r="E362" s="5">
        <v>2.0</v>
      </c>
      <c r="F362" s="20"/>
      <c r="G362" s="20"/>
      <c r="H362" s="5" t="s">
        <v>40</v>
      </c>
      <c r="I362" s="5" t="s">
        <v>422</v>
      </c>
      <c r="J362" s="5" t="s">
        <v>114</v>
      </c>
      <c r="K362" s="5" t="s">
        <v>2236</v>
      </c>
      <c r="L362" s="5" t="s">
        <v>2237</v>
      </c>
      <c r="M362" s="5" t="s">
        <v>8</v>
      </c>
      <c r="N362" s="5" t="s">
        <v>80</v>
      </c>
      <c r="O362" s="5" t="str">
        <f>IF(B362="","",IFERROR(LOOKUP(2,1/('Call Log'!$C$2:$C$5000=B362),'Call Log'!$B$2:$B$5000),""))</f>
        <v/>
      </c>
      <c r="P362" s="5">
        <f>IF(B362="","",COUNTIFS('Call Log'!$C$2:$C$5000,B362,'Call Log'!$A$2:$A$5000,"&gt;="&amp;(TODAY()-WEEKDAY(TODAY(),2)+1)))</f>
        <v>0</v>
      </c>
      <c r="Q362" s="5">
        <f>IF(B362="","",COUNTIF('Call Log'!$C$2:$C$5000,B362))</f>
        <v>0</v>
      </c>
      <c r="R362" s="21" t="str">
        <f>IF(B362="","",IFERROR(IF(MAXIFS('Call Log'!$A$2:$A$5000,'Call Log'!$C$2:$C$5000,B362)=0,"",MAXIFS('Call Log'!$A$2:$A$5000,'Call Log'!$C$2:$C$5000,B362)),""))</f>
        <v/>
      </c>
      <c r="S362" s="5"/>
      <c r="T362" s="21"/>
      <c r="U362" s="21"/>
      <c r="V362" s="5"/>
      <c r="W362" s="20"/>
      <c r="X362" s="5"/>
      <c r="Y362" s="5"/>
      <c r="Z362" s="5" t="s">
        <v>132</v>
      </c>
      <c r="AA362" s="5" t="s">
        <v>2238</v>
      </c>
    </row>
    <row r="363" ht="15.0" customHeight="1">
      <c r="A363" s="5" t="s">
        <v>2239</v>
      </c>
      <c r="B363" s="5" t="s">
        <v>2240</v>
      </c>
      <c r="C363" s="5" t="s">
        <v>2241</v>
      </c>
      <c r="D363" s="5"/>
      <c r="E363" s="5"/>
      <c r="F363" s="20"/>
      <c r="G363" s="20"/>
      <c r="H363" s="5" t="s">
        <v>40</v>
      </c>
      <c r="I363" s="5" t="s">
        <v>461</v>
      </c>
      <c r="J363" s="5" t="s">
        <v>114</v>
      </c>
      <c r="K363" s="5" t="s">
        <v>2242</v>
      </c>
      <c r="L363" s="5"/>
      <c r="M363" s="5" t="s">
        <v>8</v>
      </c>
      <c r="N363" s="5" t="s">
        <v>80</v>
      </c>
      <c r="O363" s="5" t="str">
        <f>IF(B363="","",IFERROR(LOOKUP(2,1/('Call Log'!$C$2:$C$5000=B363),'Call Log'!$B$2:$B$5000),""))</f>
        <v/>
      </c>
      <c r="P363" s="5">
        <f>IF(B363="","",COUNTIFS('Call Log'!$C$2:$C$5000,B363,'Call Log'!$A$2:$A$5000,"&gt;="&amp;(TODAY()-WEEKDAY(TODAY(),2)+1)))</f>
        <v>0</v>
      </c>
      <c r="Q363" s="5">
        <f>IF(B363="","",COUNTIF('Call Log'!$C$2:$C$5000,B363))</f>
        <v>0</v>
      </c>
      <c r="R363" s="21" t="str">
        <f>IF(B363="","",IFERROR(IF(MAXIFS('Call Log'!$A$2:$A$5000,'Call Log'!$C$2:$C$5000,B363)=0,"",MAXIFS('Call Log'!$A$2:$A$5000,'Call Log'!$C$2:$C$5000,B363)),""))</f>
        <v/>
      </c>
      <c r="S363" s="5"/>
      <c r="T363" s="21"/>
      <c r="U363" s="21"/>
      <c r="V363" s="5"/>
      <c r="W363" s="20"/>
      <c r="X363" s="5"/>
      <c r="Y363" s="5"/>
      <c r="Z363" s="5" t="s">
        <v>132</v>
      </c>
      <c r="AA363" s="5" t="s">
        <v>2243</v>
      </c>
    </row>
    <row r="364" ht="15.0" customHeight="1">
      <c r="A364" s="5" t="s">
        <v>2244</v>
      </c>
      <c r="B364" s="5" t="s">
        <v>2245</v>
      </c>
      <c r="C364" s="5" t="s">
        <v>2246</v>
      </c>
      <c r="D364" s="5"/>
      <c r="E364" s="5">
        <v>1.0</v>
      </c>
      <c r="F364" s="20"/>
      <c r="G364" s="20"/>
      <c r="H364" s="5" t="s">
        <v>40</v>
      </c>
      <c r="I364" s="5" t="s">
        <v>184</v>
      </c>
      <c r="J364" s="5" t="s">
        <v>114</v>
      </c>
      <c r="K364" s="5" t="s">
        <v>2247</v>
      </c>
      <c r="L364" s="5"/>
      <c r="M364" s="5" t="s">
        <v>8</v>
      </c>
      <c r="N364" s="5" t="s">
        <v>80</v>
      </c>
      <c r="O364" s="5" t="str">
        <f>IF(B364="","",IFERROR(LOOKUP(2,1/('Call Log'!$C$2:$C$5000=B364),'Call Log'!$B$2:$B$5000),""))</f>
        <v/>
      </c>
      <c r="P364" s="5">
        <f>IF(B364="","",COUNTIFS('Call Log'!$C$2:$C$5000,B364,'Call Log'!$A$2:$A$5000,"&gt;="&amp;(TODAY()-WEEKDAY(TODAY(),2)+1)))</f>
        <v>0</v>
      </c>
      <c r="Q364" s="5">
        <f>IF(B364="","",COUNTIF('Call Log'!$C$2:$C$5000,B364))</f>
        <v>0</v>
      </c>
      <c r="R364" s="21" t="str">
        <f>IF(B364="","",IFERROR(IF(MAXIFS('Call Log'!$A$2:$A$5000,'Call Log'!$C$2:$C$5000,B364)=0,"",MAXIFS('Call Log'!$A$2:$A$5000,'Call Log'!$C$2:$C$5000,B364)),""))</f>
        <v/>
      </c>
      <c r="S364" s="5"/>
      <c r="T364" s="21"/>
      <c r="U364" s="21"/>
      <c r="V364" s="5"/>
      <c r="W364" s="20"/>
      <c r="X364" s="5"/>
      <c r="Y364" s="5"/>
      <c r="Z364" s="5" t="s">
        <v>132</v>
      </c>
      <c r="AA364" s="5" t="s">
        <v>2248</v>
      </c>
    </row>
    <row r="365" ht="15.0" customHeight="1">
      <c r="A365" s="5" t="s">
        <v>2249</v>
      </c>
      <c r="B365" s="5" t="s">
        <v>2250</v>
      </c>
      <c r="C365" s="5" t="s">
        <v>2251</v>
      </c>
      <c r="D365" s="5"/>
      <c r="E365" s="5">
        <v>2.0</v>
      </c>
      <c r="F365" s="20"/>
      <c r="G365" s="20"/>
      <c r="H365" s="5" t="s">
        <v>40</v>
      </c>
      <c r="I365" s="5" t="s">
        <v>2252</v>
      </c>
      <c r="J365" s="5" t="s">
        <v>114</v>
      </c>
      <c r="K365" s="5" t="s">
        <v>2253</v>
      </c>
      <c r="L365" s="5"/>
      <c r="M365" s="5" t="s">
        <v>8</v>
      </c>
      <c r="N365" s="5" t="s">
        <v>80</v>
      </c>
      <c r="O365" s="5" t="str">
        <f>IF(B365="","",IFERROR(LOOKUP(2,1/('Call Log'!$C$2:$C$5000=B365),'Call Log'!$B$2:$B$5000),""))</f>
        <v/>
      </c>
      <c r="P365" s="5">
        <f>IF(B365="","",COUNTIFS('Call Log'!$C$2:$C$5000,B365,'Call Log'!$A$2:$A$5000,"&gt;="&amp;(TODAY()-WEEKDAY(TODAY(),2)+1)))</f>
        <v>0</v>
      </c>
      <c r="Q365" s="5">
        <f>IF(B365="","",COUNTIF('Call Log'!$C$2:$C$5000,B365))</f>
        <v>0</v>
      </c>
      <c r="R365" s="21" t="str">
        <f>IF(B365="","",IFERROR(IF(MAXIFS('Call Log'!$A$2:$A$5000,'Call Log'!$C$2:$C$5000,B365)=0,"",MAXIFS('Call Log'!$A$2:$A$5000,'Call Log'!$C$2:$C$5000,B365)),""))</f>
        <v/>
      </c>
      <c r="S365" s="5"/>
      <c r="T365" s="21"/>
      <c r="U365" s="21"/>
      <c r="V365" s="5"/>
      <c r="W365" s="20"/>
      <c r="X365" s="5"/>
      <c r="Y365" s="5"/>
      <c r="Z365" s="5" t="s">
        <v>132</v>
      </c>
      <c r="AA365" s="5" t="s">
        <v>2254</v>
      </c>
    </row>
    <row r="366" ht="15.0" customHeight="1">
      <c r="A366" s="5" t="s">
        <v>2255</v>
      </c>
      <c r="B366" s="5" t="s">
        <v>2256</v>
      </c>
      <c r="C366" s="5" t="s">
        <v>2257</v>
      </c>
      <c r="D366" s="5"/>
      <c r="E366" s="5">
        <v>2.0</v>
      </c>
      <c r="F366" s="20"/>
      <c r="G366" s="20"/>
      <c r="H366" s="5" t="s">
        <v>40</v>
      </c>
      <c r="I366" s="5" t="s">
        <v>857</v>
      </c>
      <c r="J366" s="5" t="s">
        <v>114</v>
      </c>
      <c r="K366" s="5" t="s">
        <v>2258</v>
      </c>
      <c r="L366" s="5"/>
      <c r="M366" s="5" t="s">
        <v>8</v>
      </c>
      <c r="N366" s="5" t="s">
        <v>80</v>
      </c>
      <c r="O366" s="5" t="str">
        <f>IF(B366="","",IFERROR(LOOKUP(2,1/('Call Log'!$C$2:$C$5000=B366),'Call Log'!$B$2:$B$5000),""))</f>
        <v/>
      </c>
      <c r="P366" s="5">
        <f>IF(B366="","",COUNTIFS('Call Log'!$C$2:$C$5000,B366,'Call Log'!$A$2:$A$5000,"&gt;="&amp;(TODAY()-WEEKDAY(TODAY(),2)+1)))</f>
        <v>0</v>
      </c>
      <c r="Q366" s="5">
        <f>IF(B366="","",COUNTIF('Call Log'!$C$2:$C$5000,B366))</f>
        <v>0</v>
      </c>
      <c r="R366" s="21" t="str">
        <f>IF(B366="","",IFERROR(IF(MAXIFS('Call Log'!$A$2:$A$5000,'Call Log'!$C$2:$C$5000,B366)=0,"",MAXIFS('Call Log'!$A$2:$A$5000,'Call Log'!$C$2:$C$5000,B366)),""))</f>
        <v/>
      </c>
      <c r="S366" s="5"/>
      <c r="T366" s="21"/>
      <c r="U366" s="21"/>
      <c r="V366" s="5"/>
      <c r="W366" s="20"/>
      <c r="X366" s="5"/>
      <c r="Y366" s="5"/>
      <c r="Z366" s="5" t="s">
        <v>132</v>
      </c>
      <c r="AA366" s="5" t="s">
        <v>2259</v>
      </c>
    </row>
    <row r="367" ht="15.0" customHeight="1">
      <c r="A367" s="5" t="s">
        <v>2260</v>
      </c>
      <c r="B367" s="5" t="s">
        <v>2261</v>
      </c>
      <c r="C367" s="5" t="s">
        <v>2262</v>
      </c>
      <c r="D367" s="5"/>
      <c r="E367" s="5">
        <v>2.0</v>
      </c>
      <c r="F367" s="20"/>
      <c r="G367" s="20"/>
      <c r="H367" s="5" t="s">
        <v>41</v>
      </c>
      <c r="I367" s="5" t="s">
        <v>122</v>
      </c>
      <c r="J367" s="5" t="s">
        <v>114</v>
      </c>
      <c r="K367" s="5" t="s">
        <v>2263</v>
      </c>
      <c r="L367" s="5"/>
      <c r="M367" s="5" t="s">
        <v>8</v>
      </c>
      <c r="N367" s="5" t="s">
        <v>80</v>
      </c>
      <c r="O367" s="5" t="str">
        <f>IF(B367="","",IFERROR(LOOKUP(2,1/('Call Log'!$C$2:$C$5000=B367),'Call Log'!$B$2:$B$5000),""))</f>
        <v/>
      </c>
      <c r="P367" s="5">
        <f>IF(B367="","",COUNTIFS('Call Log'!$C$2:$C$5000,B367,'Call Log'!$A$2:$A$5000,"&gt;="&amp;(TODAY()-WEEKDAY(TODAY(),2)+1)))</f>
        <v>0</v>
      </c>
      <c r="Q367" s="5">
        <f>IF(B367="","",COUNTIF('Call Log'!$C$2:$C$5000,B367))</f>
        <v>0</v>
      </c>
      <c r="R367" s="21" t="str">
        <f>IF(B367="","",IFERROR(IF(MAXIFS('Call Log'!$A$2:$A$5000,'Call Log'!$C$2:$C$5000,B367)=0,"",MAXIFS('Call Log'!$A$2:$A$5000,'Call Log'!$C$2:$C$5000,B367)),""))</f>
        <v/>
      </c>
      <c r="S367" s="5"/>
      <c r="T367" s="21"/>
      <c r="U367" s="21"/>
      <c r="V367" s="5"/>
      <c r="W367" s="20"/>
      <c r="X367" s="5"/>
      <c r="Y367" s="5"/>
      <c r="Z367" s="5" t="s">
        <v>132</v>
      </c>
      <c r="AA367" s="5" t="s">
        <v>2264</v>
      </c>
    </row>
    <row r="368" ht="15.0" customHeight="1">
      <c r="A368" s="5" t="s">
        <v>2265</v>
      </c>
      <c r="B368" s="5" t="s">
        <v>2266</v>
      </c>
      <c r="C368" s="5" t="s">
        <v>2267</v>
      </c>
      <c r="D368" s="5"/>
      <c r="E368" s="5">
        <v>5.0</v>
      </c>
      <c r="F368" s="20"/>
      <c r="G368" s="20"/>
      <c r="H368" s="5" t="s">
        <v>40</v>
      </c>
      <c r="I368" s="5" t="s">
        <v>198</v>
      </c>
      <c r="J368" s="5" t="s">
        <v>114</v>
      </c>
      <c r="K368" s="5" t="s">
        <v>2268</v>
      </c>
      <c r="L368" s="5"/>
      <c r="M368" s="5" t="s">
        <v>8</v>
      </c>
      <c r="N368" s="5" t="s">
        <v>80</v>
      </c>
      <c r="O368" s="5" t="str">
        <f>IF(B368="","",IFERROR(LOOKUP(2,1/('Call Log'!$C$2:$C$5000=B368),'Call Log'!$B$2:$B$5000),""))</f>
        <v/>
      </c>
      <c r="P368" s="5">
        <f>IF(B368="","",COUNTIFS('Call Log'!$C$2:$C$5000,B368,'Call Log'!$A$2:$A$5000,"&gt;="&amp;(TODAY()-WEEKDAY(TODAY(),2)+1)))</f>
        <v>0</v>
      </c>
      <c r="Q368" s="5">
        <f>IF(B368="","",COUNTIF('Call Log'!$C$2:$C$5000,B368))</f>
        <v>0</v>
      </c>
      <c r="R368" s="21" t="str">
        <f>IF(B368="","",IFERROR(IF(MAXIFS('Call Log'!$A$2:$A$5000,'Call Log'!$C$2:$C$5000,B368)=0,"",MAXIFS('Call Log'!$A$2:$A$5000,'Call Log'!$C$2:$C$5000,B368)),""))</f>
        <v/>
      </c>
      <c r="S368" s="5"/>
      <c r="T368" s="21"/>
      <c r="U368" s="21"/>
      <c r="V368" s="5"/>
      <c r="W368" s="20"/>
      <c r="X368" s="5"/>
      <c r="Y368" s="5"/>
      <c r="Z368" s="5" t="s">
        <v>132</v>
      </c>
      <c r="AA368" s="5" t="s">
        <v>2269</v>
      </c>
    </row>
    <row r="369" ht="15.0" customHeight="1">
      <c r="A369" s="5" t="s">
        <v>2270</v>
      </c>
      <c r="B369" s="5" t="s">
        <v>2271</v>
      </c>
      <c r="C369" s="5" t="s">
        <v>2272</v>
      </c>
      <c r="D369" s="5"/>
      <c r="E369" s="5"/>
      <c r="F369" s="20"/>
      <c r="G369" s="20"/>
      <c r="H369" s="5" t="s">
        <v>41</v>
      </c>
      <c r="I369" s="5" t="s">
        <v>461</v>
      </c>
      <c r="J369" s="5" t="s">
        <v>114</v>
      </c>
      <c r="K369" s="5" t="s">
        <v>2273</v>
      </c>
      <c r="L369" s="5"/>
      <c r="M369" s="5" t="s">
        <v>8</v>
      </c>
      <c r="N369" s="5" t="s">
        <v>80</v>
      </c>
      <c r="O369" s="5" t="str">
        <f>IF(B369="","",IFERROR(LOOKUP(2,1/('Call Log'!$C$2:$C$5000=B369),'Call Log'!$B$2:$B$5000),""))</f>
        <v/>
      </c>
      <c r="P369" s="5">
        <f>IF(B369="","",COUNTIFS('Call Log'!$C$2:$C$5000,B369,'Call Log'!$A$2:$A$5000,"&gt;="&amp;(TODAY()-WEEKDAY(TODAY(),2)+1)))</f>
        <v>0</v>
      </c>
      <c r="Q369" s="5">
        <f>IF(B369="","",COUNTIF('Call Log'!$C$2:$C$5000,B369))</f>
        <v>0</v>
      </c>
      <c r="R369" s="21" t="str">
        <f>IF(B369="","",IFERROR(IF(MAXIFS('Call Log'!$A$2:$A$5000,'Call Log'!$C$2:$C$5000,B369)=0,"",MAXIFS('Call Log'!$A$2:$A$5000,'Call Log'!$C$2:$C$5000,B369)),""))</f>
        <v/>
      </c>
      <c r="S369" s="5"/>
      <c r="T369" s="21"/>
      <c r="U369" s="21"/>
      <c r="V369" s="5"/>
      <c r="W369" s="20"/>
      <c r="X369" s="5"/>
      <c r="Y369" s="5"/>
      <c r="Z369" s="5" t="s">
        <v>132</v>
      </c>
      <c r="AA369" s="5" t="s">
        <v>2274</v>
      </c>
    </row>
    <row r="370" ht="15.0" customHeight="1">
      <c r="A370" s="5" t="s">
        <v>2275</v>
      </c>
      <c r="B370" s="5" t="s">
        <v>2276</v>
      </c>
      <c r="C370" s="5" t="s">
        <v>1999</v>
      </c>
      <c r="D370" s="5"/>
      <c r="E370" s="5"/>
      <c r="F370" s="20"/>
      <c r="G370" s="20"/>
      <c r="H370" s="5" t="s">
        <v>41</v>
      </c>
      <c r="I370" s="5" t="s">
        <v>422</v>
      </c>
      <c r="J370" s="5" t="s">
        <v>114</v>
      </c>
      <c r="K370" s="5" t="s">
        <v>2277</v>
      </c>
      <c r="L370" s="5"/>
      <c r="M370" s="5" t="s">
        <v>8</v>
      </c>
      <c r="N370" s="5" t="s">
        <v>80</v>
      </c>
      <c r="O370" s="5" t="str">
        <f>IF(B370="","",IFERROR(LOOKUP(2,1/('Call Log'!$C$2:$C$5000=B370),'Call Log'!$B$2:$B$5000),""))</f>
        <v/>
      </c>
      <c r="P370" s="5">
        <f>IF(B370="","",COUNTIFS('Call Log'!$C$2:$C$5000,B370,'Call Log'!$A$2:$A$5000,"&gt;="&amp;(TODAY()-WEEKDAY(TODAY(),2)+1)))</f>
        <v>0</v>
      </c>
      <c r="Q370" s="5">
        <f>IF(B370="","",COUNTIF('Call Log'!$C$2:$C$5000,B370))</f>
        <v>0</v>
      </c>
      <c r="R370" s="21" t="str">
        <f>IF(B370="","",IFERROR(IF(MAXIFS('Call Log'!$A$2:$A$5000,'Call Log'!$C$2:$C$5000,B370)=0,"",MAXIFS('Call Log'!$A$2:$A$5000,'Call Log'!$C$2:$C$5000,B370)),""))</f>
        <v/>
      </c>
      <c r="S370" s="5"/>
      <c r="T370" s="21"/>
      <c r="U370" s="21"/>
      <c r="V370" s="5"/>
      <c r="W370" s="20"/>
      <c r="X370" s="5"/>
      <c r="Y370" s="5"/>
      <c r="Z370" s="5" t="s">
        <v>178</v>
      </c>
      <c r="AA370" s="5" t="s">
        <v>2278</v>
      </c>
    </row>
    <row r="371" ht="15.0" customHeight="1">
      <c r="A371" s="5" t="s">
        <v>2279</v>
      </c>
      <c r="B371" s="5" t="s">
        <v>2280</v>
      </c>
      <c r="C371" s="5" t="s">
        <v>2281</v>
      </c>
      <c r="D371" s="5"/>
      <c r="E371" s="5"/>
      <c r="F371" s="20"/>
      <c r="G371" s="20"/>
      <c r="H371" s="5" t="s">
        <v>40</v>
      </c>
      <c r="I371" s="5" t="s">
        <v>184</v>
      </c>
      <c r="J371" s="5" t="s">
        <v>114</v>
      </c>
      <c r="K371" s="5" t="s">
        <v>2282</v>
      </c>
      <c r="L371" s="5"/>
      <c r="M371" s="5" t="s">
        <v>8</v>
      </c>
      <c r="N371" s="5" t="s">
        <v>80</v>
      </c>
      <c r="O371" s="5" t="str">
        <f>IF(B371="","",IFERROR(LOOKUP(2,1/('Call Log'!$C$2:$C$5000=B371),'Call Log'!$B$2:$B$5000),""))</f>
        <v/>
      </c>
      <c r="P371" s="5">
        <f>IF(B371="","",COUNTIFS('Call Log'!$C$2:$C$5000,B371,'Call Log'!$A$2:$A$5000,"&gt;="&amp;(TODAY()-WEEKDAY(TODAY(),2)+1)))</f>
        <v>0</v>
      </c>
      <c r="Q371" s="5">
        <f>IF(B371="","",COUNTIF('Call Log'!$C$2:$C$5000,B371))</f>
        <v>0</v>
      </c>
      <c r="R371" s="21" t="str">
        <f>IF(B371="","",IFERROR(IF(MAXIFS('Call Log'!$A$2:$A$5000,'Call Log'!$C$2:$C$5000,B371)=0,"",MAXIFS('Call Log'!$A$2:$A$5000,'Call Log'!$C$2:$C$5000,B371)),""))</f>
        <v/>
      </c>
      <c r="S371" s="5"/>
      <c r="T371" s="21"/>
      <c r="U371" s="21"/>
      <c r="V371" s="5"/>
      <c r="W371" s="20"/>
      <c r="X371" s="5"/>
      <c r="Y371" s="5"/>
      <c r="Z371" s="5" t="s">
        <v>132</v>
      </c>
      <c r="AA371" s="5" t="s">
        <v>2283</v>
      </c>
    </row>
    <row r="372" ht="15.0" customHeight="1">
      <c r="A372" s="5" t="s">
        <v>2284</v>
      </c>
      <c r="B372" s="5" t="s">
        <v>2285</v>
      </c>
      <c r="C372" s="5" t="s">
        <v>2286</v>
      </c>
      <c r="D372" s="5"/>
      <c r="E372" s="5">
        <v>1.0</v>
      </c>
      <c r="F372" s="20"/>
      <c r="G372" s="20"/>
      <c r="H372" s="5" t="s">
        <v>40</v>
      </c>
      <c r="I372" s="5" t="s">
        <v>357</v>
      </c>
      <c r="J372" s="5" t="s">
        <v>114</v>
      </c>
      <c r="K372" s="5" t="s">
        <v>2287</v>
      </c>
      <c r="L372" s="5"/>
      <c r="M372" s="5" t="s">
        <v>8</v>
      </c>
      <c r="N372" s="5" t="s">
        <v>80</v>
      </c>
      <c r="O372" s="5" t="str">
        <f>IF(B372="","",IFERROR(LOOKUP(2,1/('Call Log'!$C$2:$C$5000=B372),'Call Log'!$B$2:$B$5000),""))</f>
        <v/>
      </c>
      <c r="P372" s="5">
        <f>IF(B372="","",COUNTIFS('Call Log'!$C$2:$C$5000,B372,'Call Log'!$A$2:$A$5000,"&gt;="&amp;(TODAY()-WEEKDAY(TODAY(),2)+1)))</f>
        <v>0</v>
      </c>
      <c r="Q372" s="5">
        <f>IF(B372="","",COUNTIF('Call Log'!$C$2:$C$5000,B372))</f>
        <v>0</v>
      </c>
      <c r="R372" s="21" t="str">
        <f>IF(B372="","",IFERROR(IF(MAXIFS('Call Log'!$A$2:$A$5000,'Call Log'!$C$2:$C$5000,B372)=0,"",MAXIFS('Call Log'!$A$2:$A$5000,'Call Log'!$C$2:$C$5000,B372)),""))</f>
        <v/>
      </c>
      <c r="S372" s="5"/>
      <c r="T372" s="21"/>
      <c r="U372" s="21"/>
      <c r="V372" s="5"/>
      <c r="W372" s="20"/>
      <c r="X372" s="5"/>
      <c r="Y372" s="5"/>
      <c r="Z372" s="5" t="s">
        <v>132</v>
      </c>
      <c r="AA372" s="5" t="s">
        <v>2288</v>
      </c>
    </row>
    <row r="373" ht="15.0" customHeight="1">
      <c r="A373" s="5" t="s">
        <v>2289</v>
      </c>
      <c r="B373" s="5" t="s">
        <v>2290</v>
      </c>
      <c r="C373" s="5" t="s">
        <v>2291</v>
      </c>
      <c r="D373" s="5"/>
      <c r="E373" s="5"/>
      <c r="F373" s="20"/>
      <c r="G373" s="20"/>
      <c r="H373" s="5" t="s">
        <v>40</v>
      </c>
      <c r="I373" s="5" t="s">
        <v>667</v>
      </c>
      <c r="J373" s="5" t="s">
        <v>114</v>
      </c>
      <c r="K373" s="5" t="s">
        <v>2292</v>
      </c>
      <c r="L373" s="5"/>
      <c r="M373" s="5" t="s">
        <v>8</v>
      </c>
      <c r="N373" s="5" t="s">
        <v>80</v>
      </c>
      <c r="O373" s="5" t="str">
        <f>IF(B373="","",IFERROR(LOOKUP(2,1/('Call Log'!$C$2:$C$5000=B373),'Call Log'!$B$2:$B$5000),""))</f>
        <v/>
      </c>
      <c r="P373" s="5">
        <f>IF(B373="","",COUNTIFS('Call Log'!$C$2:$C$5000,B373,'Call Log'!$A$2:$A$5000,"&gt;="&amp;(TODAY()-WEEKDAY(TODAY(),2)+1)))</f>
        <v>0</v>
      </c>
      <c r="Q373" s="5">
        <f>IF(B373="","",COUNTIF('Call Log'!$C$2:$C$5000,B373))</f>
        <v>0</v>
      </c>
      <c r="R373" s="21" t="str">
        <f>IF(B373="","",IFERROR(IF(MAXIFS('Call Log'!$A$2:$A$5000,'Call Log'!$C$2:$C$5000,B373)=0,"",MAXIFS('Call Log'!$A$2:$A$5000,'Call Log'!$C$2:$C$5000,B373)),""))</f>
        <v/>
      </c>
      <c r="S373" s="5"/>
      <c r="T373" s="21"/>
      <c r="U373" s="21"/>
      <c r="V373" s="5"/>
      <c r="W373" s="20"/>
      <c r="X373" s="5"/>
      <c r="Y373" s="5"/>
      <c r="Z373" s="5" t="s">
        <v>132</v>
      </c>
      <c r="AA373" s="5" t="s">
        <v>2293</v>
      </c>
    </row>
    <row r="374" ht="15.0" customHeight="1">
      <c r="A374" s="5" t="s">
        <v>2294</v>
      </c>
      <c r="B374" s="5" t="s">
        <v>2295</v>
      </c>
      <c r="C374" s="5" t="s">
        <v>2296</v>
      </c>
      <c r="D374" s="5"/>
      <c r="E374" s="5"/>
      <c r="F374" s="20"/>
      <c r="G374" s="20"/>
      <c r="H374" s="5" t="s">
        <v>40</v>
      </c>
      <c r="I374" s="5" t="s">
        <v>246</v>
      </c>
      <c r="J374" s="5" t="s">
        <v>114</v>
      </c>
      <c r="K374" s="5" t="s">
        <v>2297</v>
      </c>
      <c r="L374" s="5" t="s">
        <v>2298</v>
      </c>
      <c r="M374" s="5" t="s">
        <v>8</v>
      </c>
      <c r="N374" s="5" t="s">
        <v>80</v>
      </c>
      <c r="O374" s="5" t="str">
        <f>IF(B374="","",IFERROR(LOOKUP(2,1/('Call Log'!$C$2:$C$5000=B374),'Call Log'!$B$2:$B$5000),""))</f>
        <v/>
      </c>
      <c r="P374" s="5">
        <f>IF(B374="","",COUNTIFS('Call Log'!$C$2:$C$5000,B374,'Call Log'!$A$2:$A$5000,"&gt;="&amp;(TODAY()-WEEKDAY(TODAY(),2)+1)))</f>
        <v>0</v>
      </c>
      <c r="Q374" s="5">
        <f>IF(B374="","",COUNTIF('Call Log'!$C$2:$C$5000,B374))</f>
        <v>0</v>
      </c>
      <c r="R374" s="21" t="str">
        <f>IF(B374="","",IFERROR(IF(MAXIFS('Call Log'!$A$2:$A$5000,'Call Log'!$C$2:$C$5000,B374)=0,"",MAXIFS('Call Log'!$A$2:$A$5000,'Call Log'!$C$2:$C$5000,B374)),""))</f>
        <v/>
      </c>
      <c r="S374" s="5"/>
      <c r="T374" s="21"/>
      <c r="U374" s="21"/>
      <c r="V374" s="5"/>
      <c r="W374" s="20"/>
      <c r="X374" s="5"/>
      <c r="Y374" s="5"/>
      <c r="Z374" s="5" t="s">
        <v>132</v>
      </c>
      <c r="AA374" s="5" t="s">
        <v>2299</v>
      </c>
    </row>
    <row r="375" ht="15.0" customHeight="1">
      <c r="A375" s="5" t="s">
        <v>2300</v>
      </c>
      <c r="B375" s="5" t="s">
        <v>2301</v>
      </c>
      <c r="C375" s="5" t="s">
        <v>2302</v>
      </c>
      <c r="D375" s="5"/>
      <c r="E375" s="5"/>
      <c r="F375" s="20"/>
      <c r="G375" s="20"/>
      <c r="H375" s="5" t="s">
        <v>40</v>
      </c>
      <c r="I375" s="5" t="s">
        <v>422</v>
      </c>
      <c r="J375" s="5" t="s">
        <v>114</v>
      </c>
      <c r="K375" s="5" t="s">
        <v>2303</v>
      </c>
      <c r="L375" s="5" t="s">
        <v>2304</v>
      </c>
      <c r="M375" s="5" t="s">
        <v>8</v>
      </c>
      <c r="N375" s="5" t="s">
        <v>80</v>
      </c>
      <c r="O375" s="5" t="str">
        <f>IF(B375="","",IFERROR(LOOKUP(2,1/('Call Log'!$C$2:$C$5000=B375),'Call Log'!$B$2:$B$5000),""))</f>
        <v/>
      </c>
      <c r="P375" s="5">
        <f>IF(B375="","",COUNTIFS('Call Log'!$C$2:$C$5000,B375,'Call Log'!$A$2:$A$5000,"&gt;="&amp;(TODAY()-WEEKDAY(TODAY(),2)+1)))</f>
        <v>0</v>
      </c>
      <c r="Q375" s="5">
        <f>IF(B375="","",COUNTIF('Call Log'!$C$2:$C$5000,B375))</f>
        <v>0</v>
      </c>
      <c r="R375" s="21" t="str">
        <f>IF(B375="","",IFERROR(IF(MAXIFS('Call Log'!$A$2:$A$5000,'Call Log'!$C$2:$C$5000,B375)=0,"",MAXIFS('Call Log'!$A$2:$A$5000,'Call Log'!$C$2:$C$5000,B375)),""))</f>
        <v/>
      </c>
      <c r="S375" s="5"/>
      <c r="T375" s="21"/>
      <c r="U375" s="21"/>
      <c r="V375" s="5"/>
      <c r="W375" s="20"/>
      <c r="X375" s="5"/>
      <c r="Y375" s="5"/>
      <c r="Z375" s="5" t="s">
        <v>132</v>
      </c>
      <c r="AA375" s="5" t="s">
        <v>2305</v>
      </c>
    </row>
    <row r="376" ht="15.0" customHeight="1">
      <c r="A376" s="5" t="s">
        <v>2306</v>
      </c>
      <c r="B376" s="5" t="s">
        <v>2307</v>
      </c>
      <c r="C376" s="5" t="s">
        <v>2308</v>
      </c>
      <c r="D376" s="5"/>
      <c r="E376" s="5"/>
      <c r="F376" s="20"/>
      <c r="G376" s="20"/>
      <c r="H376" s="5" t="s">
        <v>41</v>
      </c>
      <c r="I376" s="5" t="s">
        <v>594</v>
      </c>
      <c r="J376" s="5" t="s">
        <v>114</v>
      </c>
      <c r="K376" s="5" t="s">
        <v>2309</v>
      </c>
      <c r="L376" s="5" t="s">
        <v>2310</v>
      </c>
      <c r="M376" s="5" t="s">
        <v>8</v>
      </c>
      <c r="N376" s="5" t="s">
        <v>80</v>
      </c>
      <c r="O376" s="5" t="str">
        <f>IF(B376="","",IFERROR(LOOKUP(2,1/('Call Log'!$C$2:$C$5000=B376),'Call Log'!$B$2:$B$5000),""))</f>
        <v/>
      </c>
      <c r="P376" s="5">
        <f>IF(B376="","",COUNTIFS('Call Log'!$C$2:$C$5000,B376,'Call Log'!$A$2:$A$5000,"&gt;="&amp;(TODAY()-WEEKDAY(TODAY(),2)+1)))</f>
        <v>0</v>
      </c>
      <c r="Q376" s="5">
        <f>IF(B376="","",COUNTIF('Call Log'!$C$2:$C$5000,B376))</f>
        <v>0</v>
      </c>
      <c r="R376" s="21" t="str">
        <f>IF(B376="","",IFERROR(IF(MAXIFS('Call Log'!$A$2:$A$5000,'Call Log'!$C$2:$C$5000,B376)=0,"",MAXIFS('Call Log'!$A$2:$A$5000,'Call Log'!$C$2:$C$5000,B376)),""))</f>
        <v/>
      </c>
      <c r="S376" s="5"/>
      <c r="T376" s="21"/>
      <c r="U376" s="21"/>
      <c r="V376" s="5"/>
      <c r="W376" s="20"/>
      <c r="X376" s="5"/>
      <c r="Y376" s="5"/>
      <c r="Z376" s="5" t="s">
        <v>132</v>
      </c>
      <c r="AA376" s="5" t="s">
        <v>2311</v>
      </c>
    </row>
    <row r="377" ht="15.0" customHeight="1">
      <c r="A377" s="5" t="s">
        <v>2312</v>
      </c>
      <c r="B377" s="5" t="s">
        <v>2313</v>
      </c>
      <c r="C377" s="5" t="s">
        <v>2314</v>
      </c>
      <c r="D377" s="5"/>
      <c r="E377" s="5"/>
      <c r="F377" s="20"/>
      <c r="G377" s="20"/>
      <c r="H377" s="5" t="s">
        <v>41</v>
      </c>
      <c r="I377" s="5" t="s">
        <v>594</v>
      </c>
      <c r="J377" s="5" t="s">
        <v>114</v>
      </c>
      <c r="K377" s="5" t="s">
        <v>2315</v>
      </c>
      <c r="L377" s="5"/>
      <c r="M377" s="5" t="s">
        <v>8</v>
      </c>
      <c r="N377" s="5" t="s">
        <v>80</v>
      </c>
      <c r="O377" s="5" t="str">
        <f>IF(B377="","",IFERROR(LOOKUP(2,1/('Call Log'!$C$2:$C$5000=B377),'Call Log'!$B$2:$B$5000),""))</f>
        <v/>
      </c>
      <c r="P377" s="5">
        <f>IF(B377="","",COUNTIFS('Call Log'!$C$2:$C$5000,B377,'Call Log'!$A$2:$A$5000,"&gt;="&amp;(TODAY()-WEEKDAY(TODAY(),2)+1)))</f>
        <v>0</v>
      </c>
      <c r="Q377" s="5">
        <f>IF(B377="","",COUNTIF('Call Log'!$C$2:$C$5000,B377))</f>
        <v>0</v>
      </c>
      <c r="R377" s="21" t="str">
        <f>IF(B377="","",IFERROR(IF(MAXIFS('Call Log'!$A$2:$A$5000,'Call Log'!$C$2:$C$5000,B377)=0,"",MAXIFS('Call Log'!$A$2:$A$5000,'Call Log'!$C$2:$C$5000,B377)),""))</f>
        <v/>
      </c>
      <c r="S377" s="5"/>
      <c r="T377" s="21"/>
      <c r="U377" s="21"/>
      <c r="V377" s="5"/>
      <c r="W377" s="20"/>
      <c r="X377" s="5"/>
      <c r="Y377" s="5"/>
      <c r="Z377" s="5" t="s">
        <v>132</v>
      </c>
      <c r="AA377" s="5" t="s">
        <v>2316</v>
      </c>
    </row>
    <row r="378" ht="15.0" customHeight="1">
      <c r="A378" s="5" t="s">
        <v>2317</v>
      </c>
      <c r="B378" s="5" t="s">
        <v>2318</v>
      </c>
      <c r="C378" s="5" t="s">
        <v>2319</v>
      </c>
      <c r="D378" s="5"/>
      <c r="E378" s="5"/>
      <c r="F378" s="20"/>
      <c r="G378" s="20"/>
      <c r="H378" s="5" t="s">
        <v>41</v>
      </c>
      <c r="I378" s="5" t="s">
        <v>721</v>
      </c>
      <c r="J378" s="5" t="s">
        <v>114</v>
      </c>
      <c r="K378" s="5" t="s">
        <v>2320</v>
      </c>
      <c r="L378" s="5"/>
      <c r="M378" s="5" t="s">
        <v>8</v>
      </c>
      <c r="N378" s="5" t="s">
        <v>80</v>
      </c>
      <c r="O378" s="5" t="str">
        <f>IF(B378="","",IFERROR(LOOKUP(2,1/('Call Log'!$C$2:$C$5000=B378),'Call Log'!$B$2:$B$5000),""))</f>
        <v/>
      </c>
      <c r="P378" s="5">
        <f>IF(B378="","",COUNTIFS('Call Log'!$C$2:$C$5000,B378,'Call Log'!$A$2:$A$5000,"&gt;="&amp;(TODAY()-WEEKDAY(TODAY(),2)+1)))</f>
        <v>0</v>
      </c>
      <c r="Q378" s="5">
        <f>IF(B378="","",COUNTIF('Call Log'!$C$2:$C$5000,B378))</f>
        <v>0</v>
      </c>
      <c r="R378" s="21" t="str">
        <f>IF(B378="","",IFERROR(IF(MAXIFS('Call Log'!$A$2:$A$5000,'Call Log'!$C$2:$C$5000,B378)=0,"",MAXIFS('Call Log'!$A$2:$A$5000,'Call Log'!$C$2:$C$5000,B378)),""))</f>
        <v/>
      </c>
      <c r="S378" s="5"/>
      <c r="T378" s="21"/>
      <c r="U378" s="21"/>
      <c r="V378" s="5"/>
      <c r="W378" s="20"/>
      <c r="X378" s="5"/>
      <c r="Y378" s="5"/>
      <c r="Z378" s="5" t="s">
        <v>132</v>
      </c>
      <c r="AA378" s="5" t="s">
        <v>2321</v>
      </c>
    </row>
    <row r="379" ht="15.0" customHeight="1">
      <c r="A379" s="5" t="s">
        <v>2322</v>
      </c>
      <c r="B379" s="5" t="s">
        <v>2323</v>
      </c>
      <c r="C379" s="5" t="s">
        <v>2324</v>
      </c>
      <c r="D379" s="5"/>
      <c r="E379" s="5"/>
      <c r="F379" s="20"/>
      <c r="G379" s="20"/>
      <c r="H379" s="5" t="s">
        <v>40</v>
      </c>
      <c r="I379" s="5" t="s">
        <v>231</v>
      </c>
      <c r="J379" s="5" t="s">
        <v>114</v>
      </c>
      <c r="K379" s="5" t="s">
        <v>2325</v>
      </c>
      <c r="L379" s="5"/>
      <c r="M379" s="5" t="s">
        <v>8</v>
      </c>
      <c r="N379" s="5" t="s">
        <v>80</v>
      </c>
      <c r="O379" s="5" t="str">
        <f>IF(B379="","",IFERROR(LOOKUP(2,1/('Call Log'!$C$2:$C$5000=B379),'Call Log'!$B$2:$B$5000),""))</f>
        <v/>
      </c>
      <c r="P379" s="5">
        <f>IF(B379="","",COUNTIFS('Call Log'!$C$2:$C$5000,B379,'Call Log'!$A$2:$A$5000,"&gt;="&amp;(TODAY()-WEEKDAY(TODAY(),2)+1)))</f>
        <v>0</v>
      </c>
      <c r="Q379" s="5">
        <f>IF(B379="","",COUNTIF('Call Log'!$C$2:$C$5000,B379))</f>
        <v>0</v>
      </c>
      <c r="R379" s="21" t="str">
        <f>IF(B379="","",IFERROR(IF(MAXIFS('Call Log'!$A$2:$A$5000,'Call Log'!$C$2:$C$5000,B379)=0,"",MAXIFS('Call Log'!$A$2:$A$5000,'Call Log'!$C$2:$C$5000,B379)),""))</f>
        <v/>
      </c>
      <c r="S379" s="5"/>
      <c r="T379" s="21"/>
      <c r="U379" s="21"/>
      <c r="V379" s="5"/>
      <c r="W379" s="20"/>
      <c r="X379" s="5"/>
      <c r="Y379" s="5"/>
      <c r="Z379" s="5" t="s">
        <v>132</v>
      </c>
      <c r="AA379" s="5" t="s">
        <v>2326</v>
      </c>
    </row>
    <row r="380" ht="15.0" customHeight="1">
      <c r="A380" s="5" t="s">
        <v>2327</v>
      </c>
      <c r="B380" s="5" t="s">
        <v>2328</v>
      </c>
      <c r="C380" s="5" t="s">
        <v>2329</v>
      </c>
      <c r="D380" s="5"/>
      <c r="E380" s="5"/>
      <c r="F380" s="20"/>
      <c r="G380" s="20"/>
      <c r="H380" s="5" t="s">
        <v>41</v>
      </c>
      <c r="I380" s="5" t="s">
        <v>756</v>
      </c>
      <c r="J380" s="5" t="s">
        <v>114</v>
      </c>
      <c r="K380" s="5" t="s">
        <v>2330</v>
      </c>
      <c r="L380" s="5"/>
      <c r="M380" s="5" t="s">
        <v>8</v>
      </c>
      <c r="N380" s="5" t="s">
        <v>80</v>
      </c>
      <c r="O380" s="5" t="str">
        <f>IF(B380="","",IFERROR(LOOKUP(2,1/('Call Log'!$C$2:$C$5000=B380),'Call Log'!$B$2:$B$5000),""))</f>
        <v/>
      </c>
      <c r="P380" s="5">
        <f>IF(B380="","",COUNTIFS('Call Log'!$C$2:$C$5000,B380,'Call Log'!$A$2:$A$5000,"&gt;="&amp;(TODAY()-WEEKDAY(TODAY(),2)+1)))</f>
        <v>0</v>
      </c>
      <c r="Q380" s="5">
        <f>IF(B380="","",COUNTIF('Call Log'!$C$2:$C$5000,B380))</f>
        <v>0</v>
      </c>
      <c r="R380" s="21" t="str">
        <f>IF(B380="","",IFERROR(IF(MAXIFS('Call Log'!$A$2:$A$5000,'Call Log'!$C$2:$C$5000,B380)=0,"",MAXIFS('Call Log'!$A$2:$A$5000,'Call Log'!$C$2:$C$5000,B380)),""))</f>
        <v/>
      </c>
      <c r="S380" s="5"/>
      <c r="T380" s="21"/>
      <c r="U380" s="21"/>
      <c r="V380" s="5"/>
      <c r="W380" s="20"/>
      <c r="X380" s="5"/>
      <c r="Y380" s="5"/>
      <c r="Z380" s="5" t="s">
        <v>132</v>
      </c>
      <c r="AA380" s="5" t="s">
        <v>2331</v>
      </c>
    </row>
    <row r="381" ht="15.0" customHeight="1">
      <c r="A381" s="5" t="s">
        <v>2332</v>
      </c>
      <c r="B381" s="5" t="s">
        <v>2333</v>
      </c>
      <c r="C381" s="5" t="s">
        <v>2334</v>
      </c>
      <c r="D381" s="5"/>
      <c r="E381" s="5">
        <v>3.0</v>
      </c>
      <c r="F381" s="20"/>
      <c r="G381" s="20"/>
      <c r="H381" s="5" t="s">
        <v>41</v>
      </c>
      <c r="I381" s="5" t="s">
        <v>594</v>
      </c>
      <c r="J381" s="5" t="s">
        <v>114</v>
      </c>
      <c r="K381" s="5" t="s">
        <v>2335</v>
      </c>
      <c r="L381" s="5"/>
      <c r="M381" s="5" t="s">
        <v>8</v>
      </c>
      <c r="N381" s="5" t="s">
        <v>80</v>
      </c>
      <c r="O381" s="5" t="str">
        <f>IF(B381="","",IFERROR(LOOKUP(2,1/('Call Log'!$C$2:$C$5000=B381),'Call Log'!$B$2:$B$5000),""))</f>
        <v/>
      </c>
      <c r="P381" s="5">
        <f>IF(B381="","",COUNTIFS('Call Log'!$C$2:$C$5000,B381,'Call Log'!$A$2:$A$5000,"&gt;="&amp;(TODAY()-WEEKDAY(TODAY(),2)+1)))</f>
        <v>0</v>
      </c>
      <c r="Q381" s="5">
        <f>IF(B381="","",COUNTIF('Call Log'!$C$2:$C$5000,B381))</f>
        <v>0</v>
      </c>
      <c r="R381" s="21" t="str">
        <f>IF(B381="","",IFERROR(IF(MAXIFS('Call Log'!$A$2:$A$5000,'Call Log'!$C$2:$C$5000,B381)=0,"",MAXIFS('Call Log'!$A$2:$A$5000,'Call Log'!$C$2:$C$5000,B381)),""))</f>
        <v/>
      </c>
      <c r="S381" s="5"/>
      <c r="T381" s="21"/>
      <c r="U381" s="21"/>
      <c r="V381" s="5"/>
      <c r="W381" s="20"/>
      <c r="X381" s="5"/>
      <c r="Y381" s="5"/>
      <c r="Z381" s="5" t="s">
        <v>132</v>
      </c>
      <c r="AA381" s="5" t="s">
        <v>2336</v>
      </c>
    </row>
    <row r="382" ht="15.0" customHeight="1">
      <c r="A382" s="5" t="s">
        <v>2337</v>
      </c>
      <c r="B382" s="5" t="s">
        <v>2338</v>
      </c>
      <c r="C382" s="5" t="s">
        <v>2339</v>
      </c>
      <c r="D382" s="5"/>
      <c r="E382" s="5"/>
      <c r="F382" s="20"/>
      <c r="G382" s="20"/>
      <c r="H382" s="5" t="s">
        <v>43</v>
      </c>
      <c r="I382" s="5" t="s">
        <v>667</v>
      </c>
      <c r="J382" s="5" t="s">
        <v>114</v>
      </c>
      <c r="K382" s="5" t="s">
        <v>2340</v>
      </c>
      <c r="L382" s="5"/>
      <c r="M382" s="5" t="s">
        <v>8</v>
      </c>
      <c r="N382" s="5" t="s">
        <v>80</v>
      </c>
      <c r="O382" s="5" t="str">
        <f>IF(B382="","",IFERROR(LOOKUP(2,1/('Call Log'!$C$2:$C$5000=B382),'Call Log'!$B$2:$B$5000),""))</f>
        <v/>
      </c>
      <c r="P382" s="5">
        <f>IF(B382="","",COUNTIFS('Call Log'!$C$2:$C$5000,B382,'Call Log'!$A$2:$A$5000,"&gt;="&amp;(TODAY()-WEEKDAY(TODAY(),2)+1)))</f>
        <v>0</v>
      </c>
      <c r="Q382" s="5">
        <f>IF(B382="","",COUNTIF('Call Log'!$C$2:$C$5000,B382))</f>
        <v>0</v>
      </c>
      <c r="R382" s="21" t="str">
        <f>IF(B382="","",IFERROR(IF(MAXIFS('Call Log'!$A$2:$A$5000,'Call Log'!$C$2:$C$5000,B382)=0,"",MAXIFS('Call Log'!$A$2:$A$5000,'Call Log'!$C$2:$C$5000,B382)),""))</f>
        <v/>
      </c>
      <c r="S382" s="5"/>
      <c r="T382" s="21"/>
      <c r="U382" s="21"/>
      <c r="V382" s="5"/>
      <c r="W382" s="20"/>
      <c r="X382" s="5"/>
      <c r="Y382" s="5"/>
      <c r="Z382" s="5" t="s">
        <v>132</v>
      </c>
      <c r="AA382" s="5" t="s">
        <v>2341</v>
      </c>
    </row>
    <row r="383" ht="15.0" customHeight="1">
      <c r="A383" s="5" t="s">
        <v>2342</v>
      </c>
      <c r="B383" s="5" t="s">
        <v>2343</v>
      </c>
      <c r="C383" s="5" t="s">
        <v>2344</v>
      </c>
      <c r="D383" s="5"/>
      <c r="E383" s="5">
        <v>4.0</v>
      </c>
      <c r="F383" s="20"/>
      <c r="G383" s="20"/>
      <c r="H383" s="5" t="s">
        <v>40</v>
      </c>
      <c r="I383" s="5" t="s">
        <v>129</v>
      </c>
      <c r="J383" s="5" t="s">
        <v>114</v>
      </c>
      <c r="K383" s="5" t="s">
        <v>2345</v>
      </c>
      <c r="L383" s="5" t="s">
        <v>2346</v>
      </c>
      <c r="M383" s="5" t="s">
        <v>8</v>
      </c>
      <c r="N383" s="5" t="s">
        <v>80</v>
      </c>
      <c r="O383" s="5" t="str">
        <f>IF(B383="","",IFERROR(LOOKUP(2,1/('Call Log'!$C$2:$C$5000=B383),'Call Log'!$B$2:$B$5000),""))</f>
        <v/>
      </c>
      <c r="P383" s="5">
        <f>IF(B383="","",COUNTIFS('Call Log'!$C$2:$C$5000,B383,'Call Log'!$A$2:$A$5000,"&gt;="&amp;(TODAY()-WEEKDAY(TODAY(),2)+1)))</f>
        <v>0</v>
      </c>
      <c r="Q383" s="5">
        <f>IF(B383="","",COUNTIF('Call Log'!$C$2:$C$5000,B383))</f>
        <v>0</v>
      </c>
      <c r="R383" s="21" t="str">
        <f>IF(B383="","",IFERROR(IF(MAXIFS('Call Log'!$A$2:$A$5000,'Call Log'!$C$2:$C$5000,B383)=0,"",MAXIFS('Call Log'!$A$2:$A$5000,'Call Log'!$C$2:$C$5000,B383)),""))</f>
        <v/>
      </c>
      <c r="S383" s="5"/>
      <c r="T383" s="21"/>
      <c r="U383" s="21"/>
      <c r="V383" s="5"/>
      <c r="W383" s="20"/>
      <c r="X383" s="5"/>
      <c r="Y383" s="5"/>
      <c r="Z383" s="5" t="s">
        <v>132</v>
      </c>
      <c r="AA383" s="5" t="s">
        <v>2347</v>
      </c>
    </row>
    <row r="384" ht="15.0" customHeight="1">
      <c r="A384" s="5" t="s">
        <v>2348</v>
      </c>
      <c r="B384" s="5" t="s">
        <v>2349</v>
      </c>
      <c r="C384" s="5" t="s">
        <v>2350</v>
      </c>
      <c r="D384" s="5"/>
      <c r="E384" s="5"/>
      <c r="F384" s="20"/>
      <c r="G384" s="20"/>
      <c r="H384" s="5" t="s">
        <v>41</v>
      </c>
      <c r="I384" s="5" t="s">
        <v>175</v>
      </c>
      <c r="J384" s="5" t="s">
        <v>114</v>
      </c>
      <c r="K384" s="5" t="s">
        <v>2351</v>
      </c>
      <c r="L384" s="5"/>
      <c r="M384" s="5" t="s">
        <v>8</v>
      </c>
      <c r="N384" s="5" t="s">
        <v>80</v>
      </c>
      <c r="O384" s="5" t="str">
        <f>IF(B384="","",IFERROR(LOOKUP(2,1/('Call Log'!$C$2:$C$5000=B384),'Call Log'!$B$2:$B$5000),""))</f>
        <v/>
      </c>
      <c r="P384" s="5">
        <f>IF(B384="","",COUNTIFS('Call Log'!$C$2:$C$5000,B384,'Call Log'!$A$2:$A$5000,"&gt;="&amp;(TODAY()-WEEKDAY(TODAY(),2)+1)))</f>
        <v>0</v>
      </c>
      <c r="Q384" s="5">
        <f>IF(B384="","",COUNTIF('Call Log'!$C$2:$C$5000,B384))</f>
        <v>0</v>
      </c>
      <c r="R384" s="21" t="str">
        <f>IF(B384="","",IFERROR(IF(MAXIFS('Call Log'!$A$2:$A$5000,'Call Log'!$C$2:$C$5000,B384)=0,"",MAXIFS('Call Log'!$A$2:$A$5000,'Call Log'!$C$2:$C$5000,B384)),""))</f>
        <v/>
      </c>
      <c r="S384" s="5"/>
      <c r="T384" s="21"/>
      <c r="U384" s="21"/>
      <c r="V384" s="5"/>
      <c r="W384" s="20"/>
      <c r="X384" s="5"/>
      <c r="Y384" s="5"/>
      <c r="Z384" s="5" t="s">
        <v>178</v>
      </c>
      <c r="AA384" s="5" t="s">
        <v>2352</v>
      </c>
    </row>
    <row r="385" ht="15.0" customHeight="1">
      <c r="A385" s="5" t="s">
        <v>2353</v>
      </c>
      <c r="B385" s="5" t="s">
        <v>2354</v>
      </c>
      <c r="C385" s="5" t="s">
        <v>2355</v>
      </c>
      <c r="D385" s="5"/>
      <c r="E385" s="5">
        <v>9.0</v>
      </c>
      <c r="F385" s="20"/>
      <c r="G385" s="20"/>
      <c r="H385" s="5" t="s">
        <v>40</v>
      </c>
      <c r="I385" s="5" t="s">
        <v>129</v>
      </c>
      <c r="J385" s="5" t="s">
        <v>114</v>
      </c>
      <c r="K385" s="5" t="s">
        <v>2356</v>
      </c>
      <c r="L385" s="5" t="s">
        <v>2357</v>
      </c>
      <c r="M385" s="5" t="s">
        <v>8</v>
      </c>
      <c r="N385" s="5" t="s">
        <v>80</v>
      </c>
      <c r="O385" s="5" t="str">
        <f>IF(B385="","",IFERROR(LOOKUP(2,1/('Call Log'!$C$2:$C$5000=B385),'Call Log'!$B$2:$B$5000),""))</f>
        <v/>
      </c>
      <c r="P385" s="5">
        <f>IF(B385="","",COUNTIFS('Call Log'!$C$2:$C$5000,B385,'Call Log'!$A$2:$A$5000,"&gt;="&amp;(TODAY()-WEEKDAY(TODAY(),2)+1)))</f>
        <v>0</v>
      </c>
      <c r="Q385" s="5">
        <f>IF(B385="","",COUNTIF('Call Log'!$C$2:$C$5000,B385))</f>
        <v>0</v>
      </c>
      <c r="R385" s="21" t="str">
        <f>IF(B385="","",IFERROR(IF(MAXIFS('Call Log'!$A$2:$A$5000,'Call Log'!$C$2:$C$5000,B385)=0,"",MAXIFS('Call Log'!$A$2:$A$5000,'Call Log'!$C$2:$C$5000,B385)),""))</f>
        <v/>
      </c>
      <c r="S385" s="5"/>
      <c r="T385" s="21"/>
      <c r="U385" s="21"/>
      <c r="V385" s="5"/>
      <c r="W385" s="20"/>
      <c r="X385" s="5"/>
      <c r="Y385" s="5"/>
      <c r="Z385" s="5" t="s">
        <v>132</v>
      </c>
      <c r="AA385" s="5" t="s">
        <v>2358</v>
      </c>
    </row>
    <row r="386" ht="15.0" customHeight="1">
      <c r="A386" s="5" t="s">
        <v>2359</v>
      </c>
      <c r="B386" s="5" t="s">
        <v>2360</v>
      </c>
      <c r="C386" s="5" t="s">
        <v>2361</v>
      </c>
      <c r="D386" s="5"/>
      <c r="E386" s="5"/>
      <c r="F386" s="20"/>
      <c r="G386" s="20"/>
      <c r="H386" s="5" t="s">
        <v>41</v>
      </c>
      <c r="I386" s="5" t="s">
        <v>594</v>
      </c>
      <c r="J386" s="5" t="s">
        <v>114</v>
      </c>
      <c r="K386" s="5" t="s">
        <v>2362</v>
      </c>
      <c r="L386" s="5" t="s">
        <v>2363</v>
      </c>
      <c r="M386" s="5" t="s">
        <v>8</v>
      </c>
      <c r="N386" s="5" t="s">
        <v>80</v>
      </c>
      <c r="O386" s="5" t="str">
        <f>IF(B386="","",IFERROR(LOOKUP(2,1/('Call Log'!$C$2:$C$5000=B386),'Call Log'!$B$2:$B$5000),""))</f>
        <v/>
      </c>
      <c r="P386" s="5">
        <f>IF(B386="","",COUNTIFS('Call Log'!$C$2:$C$5000,B386,'Call Log'!$A$2:$A$5000,"&gt;="&amp;(TODAY()-WEEKDAY(TODAY(),2)+1)))</f>
        <v>0</v>
      </c>
      <c r="Q386" s="5">
        <f>IF(B386="","",COUNTIF('Call Log'!$C$2:$C$5000,B386))</f>
        <v>0</v>
      </c>
      <c r="R386" s="21" t="str">
        <f>IF(B386="","",IFERROR(IF(MAXIFS('Call Log'!$A$2:$A$5000,'Call Log'!$C$2:$C$5000,B386)=0,"",MAXIFS('Call Log'!$A$2:$A$5000,'Call Log'!$C$2:$C$5000,B386)),""))</f>
        <v/>
      </c>
      <c r="S386" s="5"/>
      <c r="T386" s="21"/>
      <c r="U386" s="21"/>
      <c r="V386" s="5"/>
      <c r="W386" s="20"/>
      <c r="X386" s="5"/>
      <c r="Y386" s="5"/>
      <c r="Z386" s="5" t="s">
        <v>132</v>
      </c>
      <c r="AA386" s="5" t="s">
        <v>2364</v>
      </c>
    </row>
    <row r="387" ht="15.0" customHeight="1">
      <c r="A387" s="5" t="s">
        <v>2365</v>
      </c>
      <c r="B387" s="5" t="s">
        <v>2366</v>
      </c>
      <c r="C387" s="5" t="s">
        <v>2367</v>
      </c>
      <c r="D387" s="5"/>
      <c r="E387" s="5"/>
      <c r="F387" s="20"/>
      <c r="G387" s="20"/>
      <c r="H387" s="5" t="s">
        <v>41</v>
      </c>
      <c r="I387" s="5" t="s">
        <v>370</v>
      </c>
      <c r="J387" s="5" t="s">
        <v>114</v>
      </c>
      <c r="K387" s="5" t="s">
        <v>2368</v>
      </c>
      <c r="L387" s="5"/>
      <c r="M387" s="5" t="s">
        <v>8</v>
      </c>
      <c r="N387" s="5" t="s">
        <v>80</v>
      </c>
      <c r="O387" s="5" t="str">
        <f>IF(B387="","",IFERROR(LOOKUP(2,1/('Call Log'!$C$2:$C$5000=B387),'Call Log'!$B$2:$B$5000),""))</f>
        <v/>
      </c>
      <c r="P387" s="5">
        <f>IF(B387="","",COUNTIFS('Call Log'!$C$2:$C$5000,B387,'Call Log'!$A$2:$A$5000,"&gt;="&amp;(TODAY()-WEEKDAY(TODAY(),2)+1)))</f>
        <v>0</v>
      </c>
      <c r="Q387" s="5">
        <f>IF(B387="","",COUNTIF('Call Log'!$C$2:$C$5000,B387))</f>
        <v>0</v>
      </c>
      <c r="R387" s="21" t="str">
        <f>IF(B387="","",IFERROR(IF(MAXIFS('Call Log'!$A$2:$A$5000,'Call Log'!$C$2:$C$5000,B387)=0,"",MAXIFS('Call Log'!$A$2:$A$5000,'Call Log'!$C$2:$C$5000,B387)),""))</f>
        <v/>
      </c>
      <c r="S387" s="5"/>
      <c r="T387" s="21"/>
      <c r="U387" s="21"/>
      <c r="V387" s="5"/>
      <c r="W387" s="20"/>
      <c r="X387" s="5"/>
      <c r="Y387" s="5"/>
      <c r="Z387" s="5" t="s">
        <v>178</v>
      </c>
      <c r="AA387" s="5" t="s">
        <v>2369</v>
      </c>
    </row>
    <row r="388" ht="15.0" customHeight="1">
      <c r="A388" s="5" t="s">
        <v>2370</v>
      </c>
      <c r="B388" s="5" t="s">
        <v>2371</v>
      </c>
      <c r="C388" s="5" t="s">
        <v>2372</v>
      </c>
      <c r="D388" s="5"/>
      <c r="E388" s="5"/>
      <c r="F388" s="20"/>
      <c r="G388" s="20"/>
      <c r="H388" s="5" t="s">
        <v>40</v>
      </c>
      <c r="I388" s="5" t="s">
        <v>2059</v>
      </c>
      <c r="J388" s="5" t="s">
        <v>114</v>
      </c>
      <c r="K388" s="5" t="s">
        <v>2373</v>
      </c>
      <c r="L388" s="5"/>
      <c r="M388" s="5" t="s">
        <v>8</v>
      </c>
      <c r="N388" s="5" t="s">
        <v>80</v>
      </c>
      <c r="O388" s="5" t="str">
        <f>IF(B388="","",IFERROR(LOOKUP(2,1/('Call Log'!$C$2:$C$5000=B388),'Call Log'!$B$2:$B$5000),""))</f>
        <v/>
      </c>
      <c r="P388" s="5">
        <f>IF(B388="","",COUNTIFS('Call Log'!$C$2:$C$5000,B388,'Call Log'!$A$2:$A$5000,"&gt;="&amp;(TODAY()-WEEKDAY(TODAY(),2)+1)))</f>
        <v>0</v>
      </c>
      <c r="Q388" s="5">
        <f>IF(B388="","",COUNTIF('Call Log'!$C$2:$C$5000,B388))</f>
        <v>0</v>
      </c>
      <c r="R388" s="21" t="str">
        <f>IF(B388="","",IFERROR(IF(MAXIFS('Call Log'!$A$2:$A$5000,'Call Log'!$C$2:$C$5000,B388)=0,"",MAXIFS('Call Log'!$A$2:$A$5000,'Call Log'!$C$2:$C$5000,B388)),""))</f>
        <v/>
      </c>
      <c r="S388" s="5"/>
      <c r="T388" s="21"/>
      <c r="U388" s="21"/>
      <c r="V388" s="5"/>
      <c r="W388" s="20"/>
      <c r="X388" s="5"/>
      <c r="Y388" s="5"/>
      <c r="Z388" s="5" t="s">
        <v>132</v>
      </c>
      <c r="AA388" s="5" t="s">
        <v>2374</v>
      </c>
    </row>
    <row r="389" ht="15.0" customHeight="1">
      <c r="A389" s="5" t="s">
        <v>2375</v>
      </c>
      <c r="B389" s="5" t="s">
        <v>2376</v>
      </c>
      <c r="C389" s="5" t="s">
        <v>2377</v>
      </c>
      <c r="D389" s="5"/>
      <c r="E389" s="5">
        <v>2.0</v>
      </c>
      <c r="F389" s="20"/>
      <c r="G389" s="20"/>
      <c r="H389" s="5" t="s">
        <v>41</v>
      </c>
      <c r="I389" s="5" t="s">
        <v>2378</v>
      </c>
      <c r="J389" s="5" t="s">
        <v>114</v>
      </c>
      <c r="K389" s="5" t="s">
        <v>2379</v>
      </c>
      <c r="L389" s="5"/>
      <c r="M389" s="5" t="s">
        <v>8</v>
      </c>
      <c r="N389" s="5" t="s">
        <v>80</v>
      </c>
      <c r="O389" s="5" t="str">
        <f>IF(B389="","",IFERROR(LOOKUP(2,1/('Call Log'!$C$2:$C$5000=B389),'Call Log'!$B$2:$B$5000),""))</f>
        <v/>
      </c>
      <c r="P389" s="5">
        <f>IF(B389="","",COUNTIFS('Call Log'!$C$2:$C$5000,B389,'Call Log'!$A$2:$A$5000,"&gt;="&amp;(TODAY()-WEEKDAY(TODAY(),2)+1)))</f>
        <v>0</v>
      </c>
      <c r="Q389" s="5">
        <f>IF(B389="","",COUNTIF('Call Log'!$C$2:$C$5000,B389))</f>
        <v>0</v>
      </c>
      <c r="R389" s="21" t="str">
        <f>IF(B389="","",IFERROR(IF(MAXIFS('Call Log'!$A$2:$A$5000,'Call Log'!$C$2:$C$5000,B389)=0,"",MAXIFS('Call Log'!$A$2:$A$5000,'Call Log'!$C$2:$C$5000,B389)),""))</f>
        <v/>
      </c>
      <c r="S389" s="5"/>
      <c r="T389" s="21"/>
      <c r="U389" s="21"/>
      <c r="V389" s="5"/>
      <c r="W389" s="20"/>
      <c r="X389" s="5"/>
      <c r="Y389" s="5"/>
      <c r="Z389" s="5" t="s">
        <v>132</v>
      </c>
      <c r="AA389" s="5" t="s">
        <v>2380</v>
      </c>
    </row>
    <row r="390" ht="15.0" customHeight="1">
      <c r="A390" s="5" t="s">
        <v>2381</v>
      </c>
      <c r="B390" s="5" t="s">
        <v>2382</v>
      </c>
      <c r="C390" s="5" t="s">
        <v>1564</v>
      </c>
      <c r="D390" s="5"/>
      <c r="E390" s="5"/>
      <c r="F390" s="20"/>
      <c r="G390" s="20"/>
      <c r="H390" s="5" t="s">
        <v>41</v>
      </c>
      <c r="I390" s="5" t="s">
        <v>865</v>
      </c>
      <c r="J390" s="5" t="s">
        <v>114</v>
      </c>
      <c r="K390" s="5" t="s">
        <v>2383</v>
      </c>
      <c r="L390" s="5"/>
      <c r="M390" s="5" t="s">
        <v>8</v>
      </c>
      <c r="N390" s="5" t="s">
        <v>80</v>
      </c>
      <c r="O390" s="5" t="str">
        <f>IF(B390="","",IFERROR(LOOKUP(2,1/('Call Log'!$C$2:$C$5000=B390),'Call Log'!$B$2:$B$5000),""))</f>
        <v/>
      </c>
      <c r="P390" s="5">
        <f>IF(B390="","",COUNTIFS('Call Log'!$C$2:$C$5000,B390,'Call Log'!$A$2:$A$5000,"&gt;="&amp;(TODAY()-WEEKDAY(TODAY(),2)+1)))</f>
        <v>0</v>
      </c>
      <c r="Q390" s="5">
        <f>IF(B390="","",COUNTIF('Call Log'!$C$2:$C$5000,B390))</f>
        <v>0</v>
      </c>
      <c r="R390" s="21" t="str">
        <f>IF(B390="","",IFERROR(IF(MAXIFS('Call Log'!$A$2:$A$5000,'Call Log'!$C$2:$C$5000,B390)=0,"",MAXIFS('Call Log'!$A$2:$A$5000,'Call Log'!$C$2:$C$5000,B390)),""))</f>
        <v/>
      </c>
      <c r="S390" s="5"/>
      <c r="T390" s="21"/>
      <c r="U390" s="21"/>
      <c r="V390" s="5"/>
      <c r="W390" s="20"/>
      <c r="X390" s="5"/>
      <c r="Y390" s="5"/>
      <c r="Z390" s="5" t="s">
        <v>178</v>
      </c>
      <c r="AA390" s="5" t="s">
        <v>2384</v>
      </c>
    </row>
    <row r="391" ht="15.0" customHeight="1">
      <c r="A391" s="5" t="s">
        <v>2385</v>
      </c>
      <c r="B391" s="5" t="s">
        <v>2386</v>
      </c>
      <c r="C391" s="5" t="s">
        <v>2387</v>
      </c>
      <c r="D391" s="5"/>
      <c r="E391" s="5">
        <v>2.0</v>
      </c>
      <c r="F391" s="20"/>
      <c r="G391" s="20"/>
      <c r="H391" s="5" t="s">
        <v>41</v>
      </c>
      <c r="I391" s="5" t="s">
        <v>161</v>
      </c>
      <c r="J391" s="5" t="s">
        <v>114</v>
      </c>
      <c r="K391" s="5" t="s">
        <v>2388</v>
      </c>
      <c r="L391" s="5"/>
      <c r="M391" s="5" t="s">
        <v>8</v>
      </c>
      <c r="N391" s="5" t="s">
        <v>80</v>
      </c>
      <c r="O391" s="5" t="str">
        <f>IF(B391="","",IFERROR(LOOKUP(2,1/('Call Log'!$C$2:$C$5000=B391),'Call Log'!$B$2:$B$5000),""))</f>
        <v/>
      </c>
      <c r="P391" s="5">
        <f>IF(B391="","",COUNTIFS('Call Log'!$C$2:$C$5000,B391,'Call Log'!$A$2:$A$5000,"&gt;="&amp;(TODAY()-WEEKDAY(TODAY(),2)+1)))</f>
        <v>0</v>
      </c>
      <c r="Q391" s="5">
        <f>IF(B391="","",COUNTIF('Call Log'!$C$2:$C$5000,B391))</f>
        <v>0</v>
      </c>
      <c r="R391" s="21" t="str">
        <f>IF(B391="","",IFERROR(IF(MAXIFS('Call Log'!$A$2:$A$5000,'Call Log'!$C$2:$C$5000,B391)=0,"",MAXIFS('Call Log'!$A$2:$A$5000,'Call Log'!$C$2:$C$5000,B391)),""))</f>
        <v/>
      </c>
      <c r="S391" s="5"/>
      <c r="T391" s="21"/>
      <c r="U391" s="21"/>
      <c r="V391" s="5"/>
      <c r="W391" s="20"/>
      <c r="X391" s="5"/>
      <c r="Y391" s="5"/>
      <c r="Z391" s="5" t="s">
        <v>132</v>
      </c>
      <c r="AA391" s="5" t="s">
        <v>2389</v>
      </c>
    </row>
    <row r="392" ht="15.0" customHeight="1">
      <c r="A392" s="5" t="s">
        <v>2390</v>
      </c>
      <c r="B392" s="5" t="s">
        <v>2391</v>
      </c>
      <c r="C392" s="5" t="s">
        <v>2392</v>
      </c>
      <c r="D392" s="5"/>
      <c r="E392" s="5"/>
      <c r="F392" s="20"/>
      <c r="G392" s="20"/>
      <c r="H392" s="5" t="s">
        <v>40</v>
      </c>
      <c r="I392" s="5" t="s">
        <v>622</v>
      </c>
      <c r="J392" s="5" t="s">
        <v>114</v>
      </c>
      <c r="K392" s="5" t="s">
        <v>2393</v>
      </c>
      <c r="L392" s="5"/>
      <c r="M392" s="5" t="s">
        <v>8</v>
      </c>
      <c r="N392" s="5" t="s">
        <v>80</v>
      </c>
      <c r="O392" s="5" t="str">
        <f>IF(B392="","",IFERROR(LOOKUP(2,1/('Call Log'!$C$2:$C$5000=B392),'Call Log'!$B$2:$B$5000),""))</f>
        <v/>
      </c>
      <c r="P392" s="5">
        <f>IF(B392="","",COUNTIFS('Call Log'!$C$2:$C$5000,B392,'Call Log'!$A$2:$A$5000,"&gt;="&amp;(TODAY()-WEEKDAY(TODAY(),2)+1)))</f>
        <v>0</v>
      </c>
      <c r="Q392" s="5">
        <f>IF(B392="","",COUNTIF('Call Log'!$C$2:$C$5000,B392))</f>
        <v>0</v>
      </c>
      <c r="R392" s="21" t="str">
        <f>IF(B392="","",IFERROR(IF(MAXIFS('Call Log'!$A$2:$A$5000,'Call Log'!$C$2:$C$5000,B392)=0,"",MAXIFS('Call Log'!$A$2:$A$5000,'Call Log'!$C$2:$C$5000,B392)),""))</f>
        <v/>
      </c>
      <c r="S392" s="5"/>
      <c r="T392" s="21"/>
      <c r="U392" s="21"/>
      <c r="V392" s="5"/>
      <c r="W392" s="20"/>
      <c r="X392" s="5"/>
      <c r="Y392" s="5"/>
      <c r="Z392" s="5" t="s">
        <v>132</v>
      </c>
      <c r="AA392" s="5" t="s">
        <v>2394</v>
      </c>
    </row>
    <row r="393" ht="15.0" customHeight="1">
      <c r="A393" s="5" t="s">
        <v>2395</v>
      </c>
      <c r="B393" s="5" t="s">
        <v>2396</v>
      </c>
      <c r="C393" s="5" t="s">
        <v>2397</v>
      </c>
      <c r="D393" s="5"/>
      <c r="E393" s="5"/>
      <c r="F393" s="20"/>
      <c r="G393" s="20"/>
      <c r="H393" s="5" t="s">
        <v>40</v>
      </c>
      <c r="I393" s="5" t="s">
        <v>547</v>
      </c>
      <c r="J393" s="5" t="s">
        <v>114</v>
      </c>
      <c r="K393" s="5" t="s">
        <v>2398</v>
      </c>
      <c r="L393" s="5" t="s">
        <v>2399</v>
      </c>
      <c r="M393" s="5" t="s">
        <v>8</v>
      </c>
      <c r="N393" s="5" t="s">
        <v>80</v>
      </c>
      <c r="O393" s="5" t="str">
        <f>IF(B393="","",IFERROR(LOOKUP(2,1/('Call Log'!$C$2:$C$5000=B393),'Call Log'!$B$2:$B$5000),""))</f>
        <v/>
      </c>
      <c r="P393" s="5">
        <f>IF(B393="","",COUNTIFS('Call Log'!$C$2:$C$5000,B393,'Call Log'!$A$2:$A$5000,"&gt;="&amp;(TODAY()-WEEKDAY(TODAY(),2)+1)))</f>
        <v>0</v>
      </c>
      <c r="Q393" s="5">
        <f>IF(B393="","",COUNTIF('Call Log'!$C$2:$C$5000,B393))</f>
        <v>0</v>
      </c>
      <c r="R393" s="21" t="str">
        <f>IF(B393="","",IFERROR(IF(MAXIFS('Call Log'!$A$2:$A$5000,'Call Log'!$C$2:$C$5000,B393)=0,"",MAXIFS('Call Log'!$A$2:$A$5000,'Call Log'!$C$2:$C$5000,B393)),""))</f>
        <v/>
      </c>
      <c r="S393" s="5"/>
      <c r="T393" s="21"/>
      <c r="U393" s="21"/>
      <c r="V393" s="5"/>
      <c r="W393" s="20"/>
      <c r="X393" s="5"/>
      <c r="Y393" s="5"/>
      <c r="Z393" s="5" t="s">
        <v>132</v>
      </c>
      <c r="AA393" s="5" t="s">
        <v>2400</v>
      </c>
    </row>
    <row r="394" ht="15.0" customHeight="1">
      <c r="A394" s="5" t="s">
        <v>2401</v>
      </c>
      <c r="B394" s="5" t="s">
        <v>2402</v>
      </c>
      <c r="C394" s="5" t="s">
        <v>2403</v>
      </c>
      <c r="D394" s="5"/>
      <c r="E394" s="5"/>
      <c r="F394" s="20"/>
      <c r="G394" s="20"/>
      <c r="H394" s="5" t="s">
        <v>40</v>
      </c>
      <c r="I394" s="5" t="s">
        <v>857</v>
      </c>
      <c r="J394" s="5" t="s">
        <v>114</v>
      </c>
      <c r="K394" s="5" t="s">
        <v>2404</v>
      </c>
      <c r="L394" s="5"/>
      <c r="M394" s="5" t="s">
        <v>8</v>
      </c>
      <c r="N394" s="5" t="s">
        <v>80</v>
      </c>
      <c r="O394" s="5" t="str">
        <f>IF(B394="","",IFERROR(LOOKUP(2,1/('Call Log'!$C$2:$C$5000=B394),'Call Log'!$B$2:$B$5000),""))</f>
        <v/>
      </c>
      <c r="P394" s="5">
        <f>IF(B394="","",COUNTIFS('Call Log'!$C$2:$C$5000,B394,'Call Log'!$A$2:$A$5000,"&gt;="&amp;(TODAY()-WEEKDAY(TODAY(),2)+1)))</f>
        <v>0</v>
      </c>
      <c r="Q394" s="5">
        <f>IF(B394="","",COUNTIF('Call Log'!$C$2:$C$5000,B394))</f>
        <v>0</v>
      </c>
      <c r="R394" s="21" t="str">
        <f>IF(B394="","",IFERROR(IF(MAXIFS('Call Log'!$A$2:$A$5000,'Call Log'!$C$2:$C$5000,B394)=0,"",MAXIFS('Call Log'!$A$2:$A$5000,'Call Log'!$C$2:$C$5000,B394)),""))</f>
        <v/>
      </c>
      <c r="S394" s="5"/>
      <c r="T394" s="21"/>
      <c r="U394" s="21"/>
      <c r="V394" s="5"/>
      <c r="W394" s="20"/>
      <c r="X394" s="5"/>
      <c r="Y394" s="5"/>
      <c r="Z394" s="5" t="s">
        <v>132</v>
      </c>
      <c r="AA394" s="5" t="s">
        <v>2405</v>
      </c>
    </row>
    <row r="395" ht="15.0" customHeight="1">
      <c r="A395" s="5" t="s">
        <v>2406</v>
      </c>
      <c r="B395" s="5" t="s">
        <v>2407</v>
      </c>
      <c r="C395" s="5" t="s">
        <v>2408</v>
      </c>
      <c r="D395" s="5"/>
      <c r="E395" s="5"/>
      <c r="F395" s="20"/>
      <c r="G395" s="20"/>
      <c r="H395" s="5" t="s">
        <v>40</v>
      </c>
      <c r="I395" s="5" t="s">
        <v>1590</v>
      </c>
      <c r="J395" s="5" t="s">
        <v>114</v>
      </c>
      <c r="K395" s="5" t="s">
        <v>2409</v>
      </c>
      <c r="L395" s="5"/>
      <c r="M395" s="5" t="s">
        <v>8</v>
      </c>
      <c r="N395" s="5" t="s">
        <v>80</v>
      </c>
      <c r="O395" s="5" t="str">
        <f>IF(B395="","",IFERROR(LOOKUP(2,1/('Call Log'!$C$2:$C$5000=B395),'Call Log'!$B$2:$B$5000),""))</f>
        <v/>
      </c>
      <c r="P395" s="5">
        <f>IF(B395="","",COUNTIFS('Call Log'!$C$2:$C$5000,B395,'Call Log'!$A$2:$A$5000,"&gt;="&amp;(TODAY()-WEEKDAY(TODAY(),2)+1)))</f>
        <v>0</v>
      </c>
      <c r="Q395" s="5">
        <f>IF(B395="","",COUNTIF('Call Log'!$C$2:$C$5000,B395))</f>
        <v>0</v>
      </c>
      <c r="R395" s="21" t="str">
        <f>IF(B395="","",IFERROR(IF(MAXIFS('Call Log'!$A$2:$A$5000,'Call Log'!$C$2:$C$5000,B395)=0,"",MAXIFS('Call Log'!$A$2:$A$5000,'Call Log'!$C$2:$C$5000,B395)),""))</f>
        <v/>
      </c>
      <c r="S395" s="5"/>
      <c r="T395" s="21"/>
      <c r="U395" s="21"/>
      <c r="V395" s="5"/>
      <c r="W395" s="20"/>
      <c r="X395" s="5"/>
      <c r="Y395" s="5"/>
      <c r="Z395" s="5" t="s">
        <v>132</v>
      </c>
      <c r="AA395" s="5" t="s">
        <v>2410</v>
      </c>
    </row>
    <row r="396" ht="15.0" customHeight="1">
      <c r="A396" s="5" t="s">
        <v>2411</v>
      </c>
      <c r="B396" s="5" t="s">
        <v>2412</v>
      </c>
      <c r="C396" s="5" t="s">
        <v>2413</v>
      </c>
      <c r="D396" s="5"/>
      <c r="E396" s="5">
        <v>3.0</v>
      </c>
      <c r="F396" s="20"/>
      <c r="G396" s="20"/>
      <c r="H396" s="5" t="s">
        <v>41</v>
      </c>
      <c r="I396" s="5" t="s">
        <v>2414</v>
      </c>
      <c r="J396" s="5" t="s">
        <v>114</v>
      </c>
      <c r="K396" s="5" t="s">
        <v>2415</v>
      </c>
      <c r="L396" s="5"/>
      <c r="M396" s="5" t="s">
        <v>8</v>
      </c>
      <c r="N396" s="5" t="s">
        <v>80</v>
      </c>
      <c r="O396" s="5" t="str">
        <f>IF(B396="","",IFERROR(LOOKUP(2,1/('Call Log'!$C$2:$C$5000=B396),'Call Log'!$B$2:$B$5000),""))</f>
        <v/>
      </c>
      <c r="P396" s="5">
        <f>IF(B396="","",COUNTIFS('Call Log'!$C$2:$C$5000,B396,'Call Log'!$A$2:$A$5000,"&gt;="&amp;(TODAY()-WEEKDAY(TODAY(),2)+1)))</f>
        <v>0</v>
      </c>
      <c r="Q396" s="5">
        <f>IF(B396="","",COUNTIF('Call Log'!$C$2:$C$5000,B396))</f>
        <v>0</v>
      </c>
      <c r="R396" s="21" t="str">
        <f>IF(B396="","",IFERROR(IF(MAXIFS('Call Log'!$A$2:$A$5000,'Call Log'!$C$2:$C$5000,B396)=0,"",MAXIFS('Call Log'!$A$2:$A$5000,'Call Log'!$C$2:$C$5000,B396)),""))</f>
        <v/>
      </c>
      <c r="S396" s="5"/>
      <c r="T396" s="21"/>
      <c r="U396" s="21"/>
      <c r="V396" s="5"/>
      <c r="W396" s="20"/>
      <c r="X396" s="5"/>
      <c r="Y396" s="5"/>
      <c r="Z396" s="5" t="s">
        <v>132</v>
      </c>
      <c r="AA396" s="5" t="s">
        <v>2416</v>
      </c>
    </row>
    <row r="397" ht="15.0" customHeight="1">
      <c r="A397" s="5" t="s">
        <v>2417</v>
      </c>
      <c r="B397" s="5" t="s">
        <v>2418</v>
      </c>
      <c r="C397" s="5" t="s">
        <v>2419</v>
      </c>
      <c r="D397" s="5"/>
      <c r="E397" s="5"/>
      <c r="F397" s="20"/>
      <c r="G397" s="20"/>
      <c r="H397" s="5" t="s">
        <v>41</v>
      </c>
      <c r="I397" s="5" t="s">
        <v>146</v>
      </c>
      <c r="J397" s="5" t="s">
        <v>114</v>
      </c>
      <c r="K397" s="5" t="s">
        <v>2420</v>
      </c>
      <c r="L397" s="5"/>
      <c r="M397" s="5" t="s">
        <v>8</v>
      </c>
      <c r="N397" s="5" t="s">
        <v>80</v>
      </c>
      <c r="O397" s="5" t="str">
        <f>IF(B397="","",IFERROR(LOOKUP(2,1/('Call Log'!$C$2:$C$5000=B397),'Call Log'!$B$2:$B$5000),""))</f>
        <v/>
      </c>
      <c r="P397" s="5">
        <f>IF(B397="","",COUNTIFS('Call Log'!$C$2:$C$5000,B397,'Call Log'!$A$2:$A$5000,"&gt;="&amp;(TODAY()-WEEKDAY(TODAY(),2)+1)))</f>
        <v>0</v>
      </c>
      <c r="Q397" s="5">
        <f>IF(B397="","",COUNTIF('Call Log'!$C$2:$C$5000,B397))</f>
        <v>0</v>
      </c>
      <c r="R397" s="21" t="str">
        <f>IF(B397="","",IFERROR(IF(MAXIFS('Call Log'!$A$2:$A$5000,'Call Log'!$C$2:$C$5000,B397)=0,"",MAXIFS('Call Log'!$A$2:$A$5000,'Call Log'!$C$2:$C$5000,B397)),""))</f>
        <v/>
      </c>
      <c r="S397" s="5"/>
      <c r="T397" s="21"/>
      <c r="U397" s="21"/>
      <c r="V397" s="5"/>
      <c r="W397" s="20"/>
      <c r="X397" s="5"/>
      <c r="Y397" s="5"/>
      <c r="Z397" s="5" t="s">
        <v>132</v>
      </c>
      <c r="AA397" s="5" t="s">
        <v>2421</v>
      </c>
    </row>
    <row r="398" ht="15.0" customHeight="1">
      <c r="A398" s="5" t="s">
        <v>2422</v>
      </c>
      <c r="B398" s="5" t="s">
        <v>2423</v>
      </c>
      <c r="C398" s="5" t="s">
        <v>2424</v>
      </c>
      <c r="D398" s="5"/>
      <c r="E398" s="5">
        <v>6.0</v>
      </c>
      <c r="F398" s="20"/>
      <c r="G398" s="20"/>
      <c r="H398" s="5" t="s">
        <v>41</v>
      </c>
      <c r="I398" s="5" t="s">
        <v>2425</v>
      </c>
      <c r="J398" s="5" t="s">
        <v>114</v>
      </c>
      <c r="K398" s="5" t="s">
        <v>2426</v>
      </c>
      <c r="L398" s="5"/>
      <c r="M398" s="5" t="s">
        <v>8</v>
      </c>
      <c r="N398" s="5" t="s">
        <v>80</v>
      </c>
      <c r="O398" s="5" t="str">
        <f>IF(B398="","",IFERROR(LOOKUP(2,1/('Call Log'!$C$2:$C$5000=B398),'Call Log'!$B$2:$B$5000),""))</f>
        <v/>
      </c>
      <c r="P398" s="5">
        <f>IF(B398="","",COUNTIFS('Call Log'!$C$2:$C$5000,B398,'Call Log'!$A$2:$A$5000,"&gt;="&amp;(TODAY()-WEEKDAY(TODAY(),2)+1)))</f>
        <v>0</v>
      </c>
      <c r="Q398" s="5">
        <f>IF(B398="","",COUNTIF('Call Log'!$C$2:$C$5000,B398))</f>
        <v>0</v>
      </c>
      <c r="R398" s="21" t="str">
        <f>IF(B398="","",IFERROR(IF(MAXIFS('Call Log'!$A$2:$A$5000,'Call Log'!$C$2:$C$5000,B398)=0,"",MAXIFS('Call Log'!$A$2:$A$5000,'Call Log'!$C$2:$C$5000,B398)),""))</f>
        <v/>
      </c>
      <c r="S398" s="5"/>
      <c r="T398" s="21"/>
      <c r="U398" s="21"/>
      <c r="V398" s="5"/>
      <c r="W398" s="20"/>
      <c r="X398" s="5"/>
      <c r="Y398" s="5"/>
      <c r="Z398" s="5" t="s">
        <v>132</v>
      </c>
      <c r="AA398" s="5" t="s">
        <v>2427</v>
      </c>
    </row>
    <row r="399" ht="15.0" customHeight="1">
      <c r="A399" s="5" t="s">
        <v>2428</v>
      </c>
      <c r="B399" s="5" t="s">
        <v>2429</v>
      </c>
      <c r="C399" s="5" t="s">
        <v>2430</v>
      </c>
      <c r="D399" s="5"/>
      <c r="E399" s="5"/>
      <c r="F399" s="20"/>
      <c r="G399" s="20"/>
      <c r="H399" s="5" t="s">
        <v>40</v>
      </c>
      <c r="I399" s="5" t="s">
        <v>175</v>
      </c>
      <c r="J399" s="5" t="s">
        <v>114</v>
      </c>
      <c r="K399" s="5" t="s">
        <v>2431</v>
      </c>
      <c r="L399" s="5"/>
      <c r="M399" s="5" t="s">
        <v>8</v>
      </c>
      <c r="N399" s="5" t="s">
        <v>80</v>
      </c>
      <c r="O399" s="5" t="str">
        <f>IF(B399="","",IFERROR(LOOKUP(2,1/('Call Log'!$C$2:$C$5000=B399),'Call Log'!$B$2:$B$5000),""))</f>
        <v/>
      </c>
      <c r="P399" s="5">
        <f>IF(B399="","",COUNTIFS('Call Log'!$C$2:$C$5000,B399,'Call Log'!$A$2:$A$5000,"&gt;="&amp;(TODAY()-WEEKDAY(TODAY(),2)+1)))</f>
        <v>0</v>
      </c>
      <c r="Q399" s="5">
        <f>IF(B399="","",COUNTIF('Call Log'!$C$2:$C$5000,B399))</f>
        <v>0</v>
      </c>
      <c r="R399" s="21" t="str">
        <f>IF(B399="","",IFERROR(IF(MAXIFS('Call Log'!$A$2:$A$5000,'Call Log'!$C$2:$C$5000,B399)=0,"",MAXIFS('Call Log'!$A$2:$A$5000,'Call Log'!$C$2:$C$5000,B399)),""))</f>
        <v/>
      </c>
      <c r="S399" s="5"/>
      <c r="T399" s="21"/>
      <c r="U399" s="21"/>
      <c r="V399" s="5"/>
      <c r="W399" s="20"/>
      <c r="X399" s="5"/>
      <c r="Y399" s="5"/>
      <c r="Z399" s="5" t="s">
        <v>178</v>
      </c>
      <c r="AA399" s="5" t="s">
        <v>2432</v>
      </c>
    </row>
    <row r="400" ht="15.0" customHeight="1">
      <c r="A400" s="5" t="s">
        <v>2433</v>
      </c>
      <c r="B400" s="5" t="s">
        <v>2434</v>
      </c>
      <c r="C400" s="5" t="s">
        <v>2435</v>
      </c>
      <c r="D400" s="5"/>
      <c r="E400" s="5"/>
      <c r="F400" s="20"/>
      <c r="G400" s="20"/>
      <c r="H400" s="5" t="s">
        <v>43</v>
      </c>
      <c r="I400" s="5" t="s">
        <v>231</v>
      </c>
      <c r="J400" s="5" t="s">
        <v>114</v>
      </c>
      <c r="K400" s="5" t="s">
        <v>2436</v>
      </c>
      <c r="L400" s="5"/>
      <c r="M400" s="5" t="s">
        <v>8</v>
      </c>
      <c r="N400" s="5" t="s">
        <v>80</v>
      </c>
      <c r="O400" s="5" t="str">
        <f>IF(B400="","",IFERROR(LOOKUP(2,1/('Call Log'!$C$2:$C$5000=B400),'Call Log'!$B$2:$B$5000),""))</f>
        <v/>
      </c>
      <c r="P400" s="5">
        <f>IF(B400="","",COUNTIFS('Call Log'!$C$2:$C$5000,B400,'Call Log'!$A$2:$A$5000,"&gt;="&amp;(TODAY()-WEEKDAY(TODAY(),2)+1)))</f>
        <v>0</v>
      </c>
      <c r="Q400" s="5">
        <f>IF(B400="","",COUNTIF('Call Log'!$C$2:$C$5000,B400))</f>
        <v>0</v>
      </c>
      <c r="R400" s="21" t="str">
        <f>IF(B400="","",IFERROR(IF(MAXIFS('Call Log'!$A$2:$A$5000,'Call Log'!$C$2:$C$5000,B400)=0,"",MAXIFS('Call Log'!$A$2:$A$5000,'Call Log'!$C$2:$C$5000,B400)),""))</f>
        <v/>
      </c>
      <c r="S400" s="5"/>
      <c r="T400" s="21"/>
      <c r="U400" s="21"/>
      <c r="V400" s="5"/>
      <c r="W400" s="20"/>
      <c r="X400" s="5"/>
      <c r="Y400" s="5"/>
      <c r="Z400" s="5" t="s">
        <v>132</v>
      </c>
      <c r="AA400" s="5" t="s">
        <v>2437</v>
      </c>
    </row>
    <row r="401" ht="15.0" customHeight="1">
      <c r="A401" s="5" t="s">
        <v>2438</v>
      </c>
      <c r="B401" s="5" t="s">
        <v>2439</v>
      </c>
      <c r="C401" s="5" t="s">
        <v>2440</v>
      </c>
      <c r="D401" s="5"/>
      <c r="E401" s="5"/>
      <c r="F401" s="20"/>
      <c r="G401" s="20"/>
      <c r="H401" s="5" t="s">
        <v>40</v>
      </c>
      <c r="I401" s="5" t="s">
        <v>865</v>
      </c>
      <c r="J401" s="5" t="s">
        <v>114</v>
      </c>
      <c r="K401" s="5" t="s">
        <v>2441</v>
      </c>
      <c r="L401" s="5"/>
      <c r="M401" s="5" t="s">
        <v>8</v>
      </c>
      <c r="N401" s="5" t="s">
        <v>80</v>
      </c>
      <c r="O401" s="5" t="str">
        <f>IF(B401="","",IFERROR(LOOKUP(2,1/('Call Log'!$C$2:$C$5000=B401),'Call Log'!$B$2:$B$5000),""))</f>
        <v/>
      </c>
      <c r="P401" s="5">
        <f>IF(B401="","",COUNTIFS('Call Log'!$C$2:$C$5000,B401,'Call Log'!$A$2:$A$5000,"&gt;="&amp;(TODAY()-WEEKDAY(TODAY(),2)+1)))</f>
        <v>0</v>
      </c>
      <c r="Q401" s="5">
        <f>IF(B401="","",COUNTIF('Call Log'!$C$2:$C$5000,B401))</f>
        <v>0</v>
      </c>
      <c r="R401" s="21" t="str">
        <f>IF(B401="","",IFERROR(IF(MAXIFS('Call Log'!$A$2:$A$5000,'Call Log'!$C$2:$C$5000,B401)=0,"",MAXIFS('Call Log'!$A$2:$A$5000,'Call Log'!$C$2:$C$5000,B401)),""))</f>
        <v/>
      </c>
      <c r="S401" s="5"/>
      <c r="T401" s="21"/>
      <c r="U401" s="21"/>
      <c r="V401" s="5"/>
      <c r="W401" s="20"/>
      <c r="X401" s="5"/>
      <c r="Y401" s="5"/>
      <c r="Z401" s="5" t="s">
        <v>132</v>
      </c>
      <c r="AA401" s="5" t="s">
        <v>2442</v>
      </c>
    </row>
    <row r="402" ht="15.0" customHeight="1">
      <c r="A402" s="5" t="s">
        <v>2443</v>
      </c>
      <c r="B402" s="5" t="s">
        <v>2444</v>
      </c>
      <c r="C402" s="5" t="s">
        <v>2445</v>
      </c>
      <c r="D402" s="5"/>
      <c r="E402" s="5"/>
      <c r="F402" s="20"/>
      <c r="G402" s="20"/>
      <c r="H402" s="5" t="s">
        <v>40</v>
      </c>
      <c r="I402" s="5" t="s">
        <v>184</v>
      </c>
      <c r="J402" s="5" t="s">
        <v>114</v>
      </c>
      <c r="K402" s="5" t="s">
        <v>2446</v>
      </c>
      <c r="L402" s="5"/>
      <c r="M402" s="5" t="s">
        <v>8</v>
      </c>
      <c r="N402" s="5" t="s">
        <v>80</v>
      </c>
      <c r="O402" s="5" t="str">
        <f>IF(B402="","",IFERROR(LOOKUP(2,1/('Call Log'!$C$2:$C$5000=B402),'Call Log'!$B$2:$B$5000),""))</f>
        <v/>
      </c>
      <c r="P402" s="5">
        <f>IF(B402="","",COUNTIFS('Call Log'!$C$2:$C$5000,B402,'Call Log'!$A$2:$A$5000,"&gt;="&amp;(TODAY()-WEEKDAY(TODAY(),2)+1)))</f>
        <v>0</v>
      </c>
      <c r="Q402" s="5">
        <f>IF(B402="","",COUNTIF('Call Log'!$C$2:$C$5000,B402))</f>
        <v>0</v>
      </c>
      <c r="R402" s="21" t="str">
        <f>IF(B402="","",IFERROR(IF(MAXIFS('Call Log'!$A$2:$A$5000,'Call Log'!$C$2:$C$5000,B402)=0,"",MAXIFS('Call Log'!$A$2:$A$5000,'Call Log'!$C$2:$C$5000,B402)),""))</f>
        <v/>
      </c>
      <c r="S402" s="5"/>
      <c r="T402" s="21"/>
      <c r="U402" s="21"/>
      <c r="V402" s="5"/>
      <c r="W402" s="20"/>
      <c r="X402" s="5"/>
      <c r="Y402" s="5"/>
      <c r="Z402" s="5" t="s">
        <v>132</v>
      </c>
      <c r="AA402" s="5" t="s">
        <v>2447</v>
      </c>
    </row>
    <row r="403" ht="15.0" customHeight="1">
      <c r="A403" s="5" t="s">
        <v>2448</v>
      </c>
      <c r="B403" s="5" t="s">
        <v>2449</v>
      </c>
      <c r="C403" s="5" t="s">
        <v>2450</v>
      </c>
      <c r="D403" s="5"/>
      <c r="E403" s="5">
        <v>4.0</v>
      </c>
      <c r="F403" s="20"/>
      <c r="G403" s="20"/>
      <c r="H403" s="5" t="s">
        <v>41</v>
      </c>
      <c r="I403" s="5" t="s">
        <v>154</v>
      </c>
      <c r="J403" s="5" t="s">
        <v>114</v>
      </c>
      <c r="K403" s="5" t="s">
        <v>2451</v>
      </c>
      <c r="L403" s="5" t="s">
        <v>2452</v>
      </c>
      <c r="M403" s="5" t="s">
        <v>8</v>
      </c>
      <c r="N403" s="5" t="s">
        <v>80</v>
      </c>
      <c r="O403" s="5" t="str">
        <f>IF(B403="","",IFERROR(LOOKUP(2,1/('Call Log'!$C$2:$C$5000=B403),'Call Log'!$B$2:$B$5000),""))</f>
        <v/>
      </c>
      <c r="P403" s="5">
        <f>IF(B403="","",COUNTIFS('Call Log'!$C$2:$C$5000,B403,'Call Log'!$A$2:$A$5000,"&gt;="&amp;(TODAY()-WEEKDAY(TODAY(),2)+1)))</f>
        <v>0</v>
      </c>
      <c r="Q403" s="5">
        <f>IF(B403="","",COUNTIF('Call Log'!$C$2:$C$5000,B403))</f>
        <v>0</v>
      </c>
      <c r="R403" s="21" t="str">
        <f>IF(B403="","",IFERROR(IF(MAXIFS('Call Log'!$A$2:$A$5000,'Call Log'!$C$2:$C$5000,B403)=0,"",MAXIFS('Call Log'!$A$2:$A$5000,'Call Log'!$C$2:$C$5000,B403)),""))</f>
        <v/>
      </c>
      <c r="S403" s="5"/>
      <c r="T403" s="21"/>
      <c r="U403" s="21"/>
      <c r="V403" s="5"/>
      <c r="W403" s="20"/>
      <c r="X403" s="5"/>
      <c r="Y403" s="5"/>
      <c r="Z403" s="5" t="s">
        <v>132</v>
      </c>
      <c r="AA403" s="5" t="s">
        <v>2453</v>
      </c>
    </row>
    <row r="404" ht="15.0" customHeight="1">
      <c r="A404" s="5" t="s">
        <v>2454</v>
      </c>
      <c r="B404" s="5" t="s">
        <v>2455</v>
      </c>
      <c r="C404" s="5" t="s">
        <v>2456</v>
      </c>
      <c r="D404" s="5"/>
      <c r="E404" s="5"/>
      <c r="F404" s="20"/>
      <c r="G404" s="20"/>
      <c r="H404" s="5" t="s">
        <v>41</v>
      </c>
      <c r="I404" s="5" t="s">
        <v>1048</v>
      </c>
      <c r="J404" s="5" t="s">
        <v>114</v>
      </c>
      <c r="K404" s="5" t="s">
        <v>2457</v>
      </c>
      <c r="L404" s="5" t="s">
        <v>2458</v>
      </c>
      <c r="M404" s="5" t="s">
        <v>8</v>
      </c>
      <c r="N404" s="5" t="s">
        <v>80</v>
      </c>
      <c r="O404" s="5" t="str">
        <f>IF(B404="","",IFERROR(LOOKUP(2,1/('Call Log'!$C$2:$C$5000=B404),'Call Log'!$B$2:$B$5000),""))</f>
        <v/>
      </c>
      <c r="P404" s="5">
        <f>IF(B404="","",COUNTIFS('Call Log'!$C$2:$C$5000,B404,'Call Log'!$A$2:$A$5000,"&gt;="&amp;(TODAY()-WEEKDAY(TODAY(),2)+1)))</f>
        <v>0</v>
      </c>
      <c r="Q404" s="5">
        <f>IF(B404="","",COUNTIF('Call Log'!$C$2:$C$5000,B404))</f>
        <v>0</v>
      </c>
      <c r="R404" s="21" t="str">
        <f>IF(B404="","",IFERROR(IF(MAXIFS('Call Log'!$A$2:$A$5000,'Call Log'!$C$2:$C$5000,B404)=0,"",MAXIFS('Call Log'!$A$2:$A$5000,'Call Log'!$C$2:$C$5000,B404)),""))</f>
        <v/>
      </c>
      <c r="S404" s="5"/>
      <c r="T404" s="21"/>
      <c r="U404" s="21"/>
      <c r="V404" s="5"/>
      <c r="W404" s="20"/>
      <c r="X404" s="5"/>
      <c r="Y404" s="5"/>
      <c r="Z404" s="5" t="s">
        <v>132</v>
      </c>
      <c r="AA404" s="5" t="s">
        <v>2459</v>
      </c>
    </row>
    <row r="405" ht="15.0" customHeight="1">
      <c r="A405" s="5" t="s">
        <v>2460</v>
      </c>
      <c r="B405" s="5" t="s">
        <v>2461</v>
      </c>
      <c r="C405" s="5" t="s">
        <v>2462</v>
      </c>
      <c r="D405" s="5"/>
      <c r="E405" s="5"/>
      <c r="F405" s="20"/>
      <c r="G405" s="20"/>
      <c r="H405" s="5" t="s">
        <v>41</v>
      </c>
      <c r="I405" s="5" t="s">
        <v>161</v>
      </c>
      <c r="J405" s="5" t="s">
        <v>114</v>
      </c>
      <c r="K405" s="5" t="s">
        <v>2463</v>
      </c>
      <c r="L405" s="5"/>
      <c r="M405" s="5" t="s">
        <v>8</v>
      </c>
      <c r="N405" s="5" t="s">
        <v>80</v>
      </c>
      <c r="O405" s="5" t="str">
        <f>IF(B405="","",IFERROR(LOOKUP(2,1/('Call Log'!$C$2:$C$5000=B405),'Call Log'!$B$2:$B$5000),""))</f>
        <v/>
      </c>
      <c r="P405" s="5">
        <f>IF(B405="","",COUNTIFS('Call Log'!$C$2:$C$5000,B405,'Call Log'!$A$2:$A$5000,"&gt;="&amp;(TODAY()-WEEKDAY(TODAY(),2)+1)))</f>
        <v>0</v>
      </c>
      <c r="Q405" s="5">
        <f>IF(B405="","",COUNTIF('Call Log'!$C$2:$C$5000,B405))</f>
        <v>0</v>
      </c>
      <c r="R405" s="21" t="str">
        <f>IF(B405="","",IFERROR(IF(MAXIFS('Call Log'!$A$2:$A$5000,'Call Log'!$C$2:$C$5000,B405)=0,"",MAXIFS('Call Log'!$A$2:$A$5000,'Call Log'!$C$2:$C$5000,B405)),""))</f>
        <v/>
      </c>
      <c r="S405" s="5"/>
      <c r="T405" s="21"/>
      <c r="U405" s="21"/>
      <c r="V405" s="5"/>
      <c r="W405" s="20"/>
      <c r="X405" s="5"/>
      <c r="Y405" s="5"/>
      <c r="Z405" s="5" t="s">
        <v>132</v>
      </c>
      <c r="AA405" s="5" t="s">
        <v>2464</v>
      </c>
    </row>
    <row r="406" ht="15.0" customHeight="1">
      <c r="A406" s="5" t="s">
        <v>2465</v>
      </c>
      <c r="B406" s="5" t="s">
        <v>2466</v>
      </c>
      <c r="C406" s="5" t="s">
        <v>2467</v>
      </c>
      <c r="D406" s="5"/>
      <c r="E406" s="5"/>
      <c r="F406" s="20"/>
      <c r="G406" s="20"/>
      <c r="H406" s="5" t="s">
        <v>40</v>
      </c>
      <c r="I406" s="5" t="s">
        <v>357</v>
      </c>
      <c r="J406" s="5" t="s">
        <v>114</v>
      </c>
      <c r="K406" s="5" t="s">
        <v>2468</v>
      </c>
      <c r="L406" s="5" t="s">
        <v>2469</v>
      </c>
      <c r="M406" s="5" t="s">
        <v>8</v>
      </c>
      <c r="N406" s="5" t="s">
        <v>80</v>
      </c>
      <c r="O406" s="5" t="str">
        <f>IF(B406="","",IFERROR(LOOKUP(2,1/('Call Log'!$C$2:$C$5000=B406),'Call Log'!$B$2:$B$5000),""))</f>
        <v/>
      </c>
      <c r="P406" s="5">
        <f>IF(B406="","",COUNTIFS('Call Log'!$C$2:$C$5000,B406,'Call Log'!$A$2:$A$5000,"&gt;="&amp;(TODAY()-WEEKDAY(TODAY(),2)+1)))</f>
        <v>0</v>
      </c>
      <c r="Q406" s="5">
        <f>IF(B406="","",COUNTIF('Call Log'!$C$2:$C$5000,B406))</f>
        <v>0</v>
      </c>
      <c r="R406" s="21" t="str">
        <f>IF(B406="","",IFERROR(IF(MAXIFS('Call Log'!$A$2:$A$5000,'Call Log'!$C$2:$C$5000,B406)=0,"",MAXIFS('Call Log'!$A$2:$A$5000,'Call Log'!$C$2:$C$5000,B406)),""))</f>
        <v/>
      </c>
      <c r="S406" s="5"/>
      <c r="T406" s="21"/>
      <c r="U406" s="21"/>
      <c r="V406" s="5"/>
      <c r="W406" s="20"/>
      <c r="X406" s="5"/>
      <c r="Y406" s="5"/>
      <c r="Z406" s="5" t="s">
        <v>132</v>
      </c>
      <c r="AA406" s="5" t="s">
        <v>2470</v>
      </c>
    </row>
    <row r="407" ht="15.0" customHeight="1">
      <c r="A407" s="5" t="s">
        <v>2471</v>
      </c>
      <c r="B407" s="5" t="s">
        <v>2472</v>
      </c>
      <c r="C407" s="5" t="s">
        <v>2473</v>
      </c>
      <c r="D407" s="5"/>
      <c r="E407" s="5"/>
      <c r="F407" s="20"/>
      <c r="G407" s="20"/>
      <c r="H407" s="5" t="s">
        <v>41</v>
      </c>
      <c r="I407" s="5" t="s">
        <v>246</v>
      </c>
      <c r="J407" s="5" t="s">
        <v>114</v>
      </c>
      <c r="K407" s="5" t="s">
        <v>2474</v>
      </c>
      <c r="L407" s="5"/>
      <c r="M407" s="5" t="s">
        <v>8</v>
      </c>
      <c r="N407" s="5" t="s">
        <v>80</v>
      </c>
      <c r="O407" s="5" t="str">
        <f>IF(B407="","",IFERROR(LOOKUP(2,1/('Call Log'!$C$2:$C$5000=B407),'Call Log'!$B$2:$B$5000),""))</f>
        <v/>
      </c>
      <c r="P407" s="5">
        <f>IF(B407="","",COUNTIFS('Call Log'!$C$2:$C$5000,B407,'Call Log'!$A$2:$A$5000,"&gt;="&amp;(TODAY()-WEEKDAY(TODAY(),2)+1)))</f>
        <v>0</v>
      </c>
      <c r="Q407" s="5">
        <f>IF(B407="","",COUNTIF('Call Log'!$C$2:$C$5000,B407))</f>
        <v>0</v>
      </c>
      <c r="R407" s="21" t="str">
        <f>IF(B407="","",IFERROR(IF(MAXIFS('Call Log'!$A$2:$A$5000,'Call Log'!$C$2:$C$5000,B407)=0,"",MAXIFS('Call Log'!$A$2:$A$5000,'Call Log'!$C$2:$C$5000,B407)),""))</f>
        <v/>
      </c>
      <c r="S407" s="5"/>
      <c r="T407" s="21"/>
      <c r="U407" s="21"/>
      <c r="V407" s="5"/>
      <c r="W407" s="20"/>
      <c r="X407" s="5"/>
      <c r="Y407" s="5"/>
      <c r="Z407" s="5" t="s">
        <v>132</v>
      </c>
      <c r="AA407" s="5" t="s">
        <v>2475</v>
      </c>
    </row>
    <row r="408" ht="15.0" customHeight="1">
      <c r="A408" s="5" t="s">
        <v>2476</v>
      </c>
      <c r="B408" s="5" t="s">
        <v>2477</v>
      </c>
      <c r="C408" s="5" t="s">
        <v>2478</v>
      </c>
      <c r="D408" s="5"/>
      <c r="E408" s="5">
        <v>8.0</v>
      </c>
      <c r="F408" s="20"/>
      <c r="G408" s="20"/>
      <c r="H408" s="5" t="s">
        <v>40</v>
      </c>
      <c r="I408" s="5" t="s">
        <v>461</v>
      </c>
      <c r="J408" s="5" t="s">
        <v>114</v>
      </c>
      <c r="K408" s="5" t="s">
        <v>2479</v>
      </c>
      <c r="L408" s="5"/>
      <c r="M408" s="5" t="s">
        <v>8</v>
      </c>
      <c r="N408" s="5" t="s">
        <v>80</v>
      </c>
      <c r="O408" s="5" t="str">
        <f>IF(B408="","",IFERROR(LOOKUP(2,1/('Call Log'!$C$2:$C$5000=B408),'Call Log'!$B$2:$B$5000),""))</f>
        <v/>
      </c>
      <c r="P408" s="5">
        <f>IF(B408="","",COUNTIFS('Call Log'!$C$2:$C$5000,B408,'Call Log'!$A$2:$A$5000,"&gt;="&amp;(TODAY()-WEEKDAY(TODAY(),2)+1)))</f>
        <v>0</v>
      </c>
      <c r="Q408" s="5">
        <f>IF(B408="","",COUNTIF('Call Log'!$C$2:$C$5000,B408))</f>
        <v>0</v>
      </c>
      <c r="R408" s="21" t="str">
        <f>IF(B408="","",IFERROR(IF(MAXIFS('Call Log'!$A$2:$A$5000,'Call Log'!$C$2:$C$5000,B408)=0,"",MAXIFS('Call Log'!$A$2:$A$5000,'Call Log'!$C$2:$C$5000,B408)),""))</f>
        <v/>
      </c>
      <c r="S408" s="5"/>
      <c r="T408" s="21"/>
      <c r="U408" s="21"/>
      <c r="V408" s="5"/>
      <c r="W408" s="20"/>
      <c r="X408" s="5"/>
      <c r="Y408" s="5"/>
      <c r="Z408" s="5" t="s">
        <v>132</v>
      </c>
      <c r="AA408" s="5" t="s">
        <v>2480</v>
      </c>
    </row>
    <row r="409" ht="15.0" customHeight="1">
      <c r="A409" s="5" t="s">
        <v>2481</v>
      </c>
      <c r="B409" s="5" t="s">
        <v>2482</v>
      </c>
      <c r="C409" s="5" t="s">
        <v>2483</v>
      </c>
      <c r="D409" s="5"/>
      <c r="E409" s="5"/>
      <c r="F409" s="20"/>
      <c r="G409" s="20"/>
      <c r="H409" s="5" t="s">
        <v>41</v>
      </c>
      <c r="I409" s="5" t="s">
        <v>422</v>
      </c>
      <c r="J409" s="5" t="s">
        <v>114</v>
      </c>
      <c r="K409" s="5" t="s">
        <v>2484</v>
      </c>
      <c r="L409" s="5"/>
      <c r="M409" s="5" t="s">
        <v>8</v>
      </c>
      <c r="N409" s="5" t="s">
        <v>80</v>
      </c>
      <c r="O409" s="5" t="str">
        <f>IF(B409="","",IFERROR(LOOKUP(2,1/('Call Log'!$C$2:$C$5000=B409),'Call Log'!$B$2:$B$5000),""))</f>
        <v/>
      </c>
      <c r="P409" s="5">
        <f>IF(B409="","",COUNTIFS('Call Log'!$C$2:$C$5000,B409,'Call Log'!$A$2:$A$5000,"&gt;="&amp;(TODAY()-WEEKDAY(TODAY(),2)+1)))</f>
        <v>0</v>
      </c>
      <c r="Q409" s="5">
        <f>IF(B409="","",COUNTIF('Call Log'!$C$2:$C$5000,B409))</f>
        <v>0</v>
      </c>
      <c r="R409" s="21" t="str">
        <f>IF(B409="","",IFERROR(IF(MAXIFS('Call Log'!$A$2:$A$5000,'Call Log'!$C$2:$C$5000,B409)=0,"",MAXIFS('Call Log'!$A$2:$A$5000,'Call Log'!$C$2:$C$5000,B409)),""))</f>
        <v/>
      </c>
      <c r="S409" s="5"/>
      <c r="T409" s="21"/>
      <c r="U409" s="21"/>
      <c r="V409" s="5"/>
      <c r="W409" s="20"/>
      <c r="X409" s="5"/>
      <c r="Y409" s="5"/>
      <c r="Z409" s="5" t="s">
        <v>132</v>
      </c>
      <c r="AA409" s="5" t="s">
        <v>2485</v>
      </c>
    </row>
    <row r="410" ht="15.0" customHeight="1">
      <c r="A410" s="5" t="s">
        <v>2486</v>
      </c>
      <c r="B410" s="5" t="s">
        <v>2487</v>
      </c>
      <c r="C410" s="5" t="s">
        <v>2141</v>
      </c>
      <c r="D410" s="5"/>
      <c r="E410" s="5"/>
      <c r="F410" s="20"/>
      <c r="G410" s="20"/>
      <c r="H410" s="5" t="s">
        <v>40</v>
      </c>
      <c r="I410" s="5" t="s">
        <v>370</v>
      </c>
      <c r="J410" s="5" t="s">
        <v>114</v>
      </c>
      <c r="K410" s="5" t="s">
        <v>2488</v>
      </c>
      <c r="L410" s="5"/>
      <c r="M410" s="5" t="s">
        <v>8</v>
      </c>
      <c r="N410" s="5" t="s">
        <v>80</v>
      </c>
      <c r="O410" s="5" t="str">
        <f>IF(B410="","",IFERROR(LOOKUP(2,1/('Call Log'!$C$2:$C$5000=B410),'Call Log'!$B$2:$B$5000),""))</f>
        <v/>
      </c>
      <c r="P410" s="5">
        <f>IF(B410="","",COUNTIFS('Call Log'!$C$2:$C$5000,B410,'Call Log'!$A$2:$A$5000,"&gt;="&amp;(TODAY()-WEEKDAY(TODAY(),2)+1)))</f>
        <v>0</v>
      </c>
      <c r="Q410" s="5">
        <f>IF(B410="","",COUNTIF('Call Log'!$C$2:$C$5000,B410))</f>
        <v>0</v>
      </c>
      <c r="R410" s="21" t="str">
        <f>IF(B410="","",IFERROR(IF(MAXIFS('Call Log'!$A$2:$A$5000,'Call Log'!$C$2:$C$5000,B410)=0,"",MAXIFS('Call Log'!$A$2:$A$5000,'Call Log'!$C$2:$C$5000,B410)),""))</f>
        <v/>
      </c>
      <c r="S410" s="5"/>
      <c r="T410" s="21"/>
      <c r="U410" s="21"/>
      <c r="V410" s="5"/>
      <c r="W410" s="20"/>
      <c r="X410" s="5"/>
      <c r="Y410" s="5"/>
      <c r="Z410" s="5" t="s">
        <v>178</v>
      </c>
      <c r="AA410" s="5" t="s">
        <v>2143</v>
      </c>
    </row>
    <row r="411" ht="15.0" customHeight="1">
      <c r="A411" s="5" t="s">
        <v>2489</v>
      </c>
      <c r="B411" s="5" t="s">
        <v>2490</v>
      </c>
      <c r="C411" s="5" t="s">
        <v>2491</v>
      </c>
      <c r="D411" s="5"/>
      <c r="E411" s="5"/>
      <c r="F411" s="20"/>
      <c r="G411" s="20"/>
      <c r="H411" s="5" t="s">
        <v>41</v>
      </c>
      <c r="I411" s="5" t="s">
        <v>113</v>
      </c>
      <c r="J411" s="5" t="s">
        <v>114</v>
      </c>
      <c r="K411" s="5" t="s">
        <v>2492</v>
      </c>
      <c r="L411" s="5"/>
      <c r="M411" s="5" t="s">
        <v>8</v>
      </c>
      <c r="N411" s="5" t="s">
        <v>80</v>
      </c>
      <c r="O411" s="5" t="str">
        <f>IF(B411="","",IFERROR(LOOKUP(2,1/('Call Log'!$C$2:$C$5000=B411),'Call Log'!$B$2:$B$5000),""))</f>
        <v/>
      </c>
      <c r="P411" s="5">
        <f>IF(B411="","",COUNTIFS('Call Log'!$C$2:$C$5000,B411,'Call Log'!$A$2:$A$5000,"&gt;="&amp;(TODAY()-WEEKDAY(TODAY(),2)+1)))</f>
        <v>0</v>
      </c>
      <c r="Q411" s="5">
        <f>IF(B411="","",COUNTIF('Call Log'!$C$2:$C$5000,B411))</f>
        <v>0</v>
      </c>
      <c r="R411" s="21" t="str">
        <f>IF(B411="","",IFERROR(IF(MAXIFS('Call Log'!$A$2:$A$5000,'Call Log'!$C$2:$C$5000,B411)=0,"",MAXIFS('Call Log'!$A$2:$A$5000,'Call Log'!$C$2:$C$5000,B411)),""))</f>
        <v/>
      </c>
      <c r="S411" s="5"/>
      <c r="T411" s="21"/>
      <c r="U411" s="21"/>
      <c r="V411" s="5"/>
      <c r="W411" s="20"/>
      <c r="X411" s="5"/>
      <c r="Y411" s="5"/>
      <c r="Z411" s="5" t="s">
        <v>132</v>
      </c>
      <c r="AA411" s="5" t="s">
        <v>2493</v>
      </c>
    </row>
    <row r="412" ht="15.0" customHeight="1">
      <c r="A412" s="5" t="s">
        <v>2494</v>
      </c>
      <c r="B412" s="5" t="s">
        <v>2495</v>
      </c>
      <c r="C412" s="5" t="s">
        <v>2496</v>
      </c>
      <c r="D412" s="5"/>
      <c r="E412" s="5"/>
      <c r="F412" s="20"/>
      <c r="G412" s="20"/>
      <c r="H412" s="5" t="s">
        <v>41</v>
      </c>
      <c r="I412" s="5" t="s">
        <v>184</v>
      </c>
      <c r="J412" s="5" t="s">
        <v>114</v>
      </c>
      <c r="K412" s="5" t="s">
        <v>2497</v>
      </c>
      <c r="L412" s="5"/>
      <c r="M412" s="5" t="s">
        <v>8</v>
      </c>
      <c r="N412" s="5" t="s">
        <v>80</v>
      </c>
      <c r="O412" s="5" t="str">
        <f>IF(B412="","",IFERROR(LOOKUP(2,1/('Call Log'!$C$2:$C$5000=B412),'Call Log'!$B$2:$B$5000),""))</f>
        <v/>
      </c>
      <c r="P412" s="5">
        <f>IF(B412="","",COUNTIFS('Call Log'!$C$2:$C$5000,B412,'Call Log'!$A$2:$A$5000,"&gt;="&amp;(TODAY()-WEEKDAY(TODAY(),2)+1)))</f>
        <v>0</v>
      </c>
      <c r="Q412" s="5">
        <f>IF(B412="","",COUNTIF('Call Log'!$C$2:$C$5000,B412))</f>
        <v>0</v>
      </c>
      <c r="R412" s="21" t="str">
        <f>IF(B412="","",IFERROR(IF(MAXIFS('Call Log'!$A$2:$A$5000,'Call Log'!$C$2:$C$5000,B412)=0,"",MAXIFS('Call Log'!$A$2:$A$5000,'Call Log'!$C$2:$C$5000,B412)),""))</f>
        <v/>
      </c>
      <c r="S412" s="5"/>
      <c r="T412" s="21"/>
      <c r="U412" s="21"/>
      <c r="V412" s="5"/>
      <c r="W412" s="20"/>
      <c r="X412" s="5"/>
      <c r="Y412" s="5"/>
      <c r="Z412" s="5" t="s">
        <v>132</v>
      </c>
      <c r="AA412" s="5" t="s">
        <v>2498</v>
      </c>
    </row>
    <row r="413" ht="15.0" customHeight="1">
      <c r="A413" s="5" t="s">
        <v>2499</v>
      </c>
      <c r="B413" s="5" t="s">
        <v>2500</v>
      </c>
      <c r="C413" s="5" t="s">
        <v>2501</v>
      </c>
      <c r="D413" s="5"/>
      <c r="E413" s="5"/>
      <c r="F413" s="20"/>
      <c r="G413" s="20"/>
      <c r="H413" s="5" t="s">
        <v>40</v>
      </c>
      <c r="I413" s="5" t="s">
        <v>246</v>
      </c>
      <c r="J413" s="5" t="s">
        <v>114</v>
      </c>
      <c r="K413" s="5" t="s">
        <v>2502</v>
      </c>
      <c r="L413" s="5"/>
      <c r="M413" s="5" t="s">
        <v>8</v>
      </c>
      <c r="N413" s="5" t="s">
        <v>80</v>
      </c>
      <c r="O413" s="5" t="str">
        <f>IF(B413="","",IFERROR(LOOKUP(2,1/('Call Log'!$C$2:$C$5000=B413),'Call Log'!$B$2:$B$5000),""))</f>
        <v/>
      </c>
      <c r="P413" s="5">
        <f>IF(B413="","",COUNTIFS('Call Log'!$C$2:$C$5000,B413,'Call Log'!$A$2:$A$5000,"&gt;="&amp;(TODAY()-WEEKDAY(TODAY(),2)+1)))</f>
        <v>0</v>
      </c>
      <c r="Q413" s="5">
        <f>IF(B413="","",COUNTIF('Call Log'!$C$2:$C$5000,B413))</f>
        <v>0</v>
      </c>
      <c r="R413" s="21" t="str">
        <f>IF(B413="","",IFERROR(IF(MAXIFS('Call Log'!$A$2:$A$5000,'Call Log'!$C$2:$C$5000,B413)=0,"",MAXIFS('Call Log'!$A$2:$A$5000,'Call Log'!$C$2:$C$5000,B413)),""))</f>
        <v/>
      </c>
      <c r="S413" s="5"/>
      <c r="T413" s="21"/>
      <c r="U413" s="21"/>
      <c r="V413" s="5"/>
      <c r="W413" s="20"/>
      <c r="X413" s="5"/>
      <c r="Y413" s="5"/>
      <c r="Z413" s="5" t="s">
        <v>132</v>
      </c>
      <c r="AA413" s="5" t="s">
        <v>2503</v>
      </c>
    </row>
    <row r="414" ht="15.0" customHeight="1">
      <c r="A414" s="5" t="s">
        <v>2504</v>
      </c>
      <c r="B414" s="5" t="s">
        <v>2505</v>
      </c>
      <c r="C414" s="5" t="s">
        <v>2506</v>
      </c>
      <c r="D414" s="5"/>
      <c r="E414" s="5"/>
      <c r="F414" s="20"/>
      <c r="G414" s="20"/>
      <c r="H414" s="5" t="s">
        <v>40</v>
      </c>
      <c r="I414" s="5" t="s">
        <v>1093</v>
      </c>
      <c r="J414" s="5" t="s">
        <v>114</v>
      </c>
      <c r="K414" s="5" t="s">
        <v>2507</v>
      </c>
      <c r="L414" s="5"/>
      <c r="M414" s="5" t="s">
        <v>8</v>
      </c>
      <c r="N414" s="5" t="s">
        <v>80</v>
      </c>
      <c r="O414" s="5" t="str">
        <f>IF(B414="","",IFERROR(LOOKUP(2,1/('Call Log'!$C$2:$C$5000=B414),'Call Log'!$B$2:$B$5000),""))</f>
        <v/>
      </c>
      <c r="P414" s="5">
        <f>IF(B414="","",COUNTIFS('Call Log'!$C$2:$C$5000,B414,'Call Log'!$A$2:$A$5000,"&gt;="&amp;(TODAY()-WEEKDAY(TODAY(),2)+1)))</f>
        <v>0</v>
      </c>
      <c r="Q414" s="5">
        <f>IF(B414="","",COUNTIF('Call Log'!$C$2:$C$5000,B414))</f>
        <v>0</v>
      </c>
      <c r="R414" s="21" t="str">
        <f>IF(B414="","",IFERROR(IF(MAXIFS('Call Log'!$A$2:$A$5000,'Call Log'!$C$2:$C$5000,B414)=0,"",MAXIFS('Call Log'!$A$2:$A$5000,'Call Log'!$C$2:$C$5000,B414)),""))</f>
        <v/>
      </c>
      <c r="S414" s="5"/>
      <c r="T414" s="21"/>
      <c r="U414" s="21"/>
      <c r="V414" s="5"/>
      <c r="W414" s="20"/>
      <c r="X414" s="5"/>
      <c r="Y414" s="5"/>
      <c r="Z414" s="5" t="s">
        <v>132</v>
      </c>
      <c r="AA414" s="5" t="s">
        <v>2508</v>
      </c>
    </row>
    <row r="415" ht="15.0" customHeight="1">
      <c r="A415" s="5" t="s">
        <v>2509</v>
      </c>
      <c r="B415" s="5" t="s">
        <v>2510</v>
      </c>
      <c r="C415" s="5" t="s">
        <v>2511</v>
      </c>
      <c r="D415" s="5"/>
      <c r="E415" s="5"/>
      <c r="F415" s="20"/>
      <c r="G415" s="20"/>
      <c r="H415" s="5" t="s">
        <v>41</v>
      </c>
      <c r="I415" s="5" t="s">
        <v>904</v>
      </c>
      <c r="J415" s="5" t="s">
        <v>114</v>
      </c>
      <c r="K415" s="5" t="s">
        <v>2512</v>
      </c>
      <c r="L415" s="5"/>
      <c r="M415" s="5" t="s">
        <v>8</v>
      </c>
      <c r="N415" s="5" t="s">
        <v>80</v>
      </c>
      <c r="O415" s="5" t="str">
        <f>IF(B415="","",IFERROR(LOOKUP(2,1/('Call Log'!$C$2:$C$5000=B415),'Call Log'!$B$2:$B$5000),""))</f>
        <v/>
      </c>
      <c r="P415" s="5">
        <f>IF(B415="","",COUNTIFS('Call Log'!$C$2:$C$5000,B415,'Call Log'!$A$2:$A$5000,"&gt;="&amp;(TODAY()-WEEKDAY(TODAY(),2)+1)))</f>
        <v>0</v>
      </c>
      <c r="Q415" s="5">
        <f>IF(B415="","",COUNTIF('Call Log'!$C$2:$C$5000,B415))</f>
        <v>0</v>
      </c>
      <c r="R415" s="21" t="str">
        <f>IF(B415="","",IFERROR(IF(MAXIFS('Call Log'!$A$2:$A$5000,'Call Log'!$C$2:$C$5000,B415)=0,"",MAXIFS('Call Log'!$A$2:$A$5000,'Call Log'!$C$2:$C$5000,B415)),""))</f>
        <v/>
      </c>
      <c r="S415" s="5"/>
      <c r="T415" s="21"/>
      <c r="U415" s="21"/>
      <c r="V415" s="5"/>
      <c r="W415" s="20"/>
      <c r="X415" s="5"/>
      <c r="Y415" s="5"/>
      <c r="Z415" s="5" t="s">
        <v>132</v>
      </c>
      <c r="AA415" s="5" t="s">
        <v>2513</v>
      </c>
    </row>
    <row r="416" ht="15.0" customHeight="1">
      <c r="A416" s="5" t="s">
        <v>2514</v>
      </c>
      <c r="B416" s="5" t="s">
        <v>2515</v>
      </c>
      <c r="C416" s="5" t="s">
        <v>1618</v>
      </c>
      <c r="D416" s="5"/>
      <c r="E416" s="5"/>
      <c r="F416" s="20"/>
      <c r="G416" s="20"/>
      <c r="H416" s="5" t="s">
        <v>40</v>
      </c>
      <c r="I416" s="5" t="s">
        <v>1313</v>
      </c>
      <c r="J416" s="5" t="s">
        <v>114</v>
      </c>
      <c r="K416" s="5" t="s">
        <v>2516</v>
      </c>
      <c r="L416" s="5"/>
      <c r="M416" s="5" t="s">
        <v>8</v>
      </c>
      <c r="N416" s="5" t="s">
        <v>80</v>
      </c>
      <c r="O416" s="5" t="str">
        <f>IF(B416="","",IFERROR(LOOKUP(2,1/('Call Log'!$C$2:$C$5000=B416),'Call Log'!$B$2:$B$5000),""))</f>
        <v/>
      </c>
      <c r="P416" s="5">
        <f>IF(B416="","",COUNTIFS('Call Log'!$C$2:$C$5000,B416,'Call Log'!$A$2:$A$5000,"&gt;="&amp;(TODAY()-WEEKDAY(TODAY(),2)+1)))</f>
        <v>0</v>
      </c>
      <c r="Q416" s="5">
        <f>IF(B416="","",COUNTIF('Call Log'!$C$2:$C$5000,B416))</f>
        <v>0</v>
      </c>
      <c r="R416" s="21" t="str">
        <f>IF(B416="","",IFERROR(IF(MAXIFS('Call Log'!$A$2:$A$5000,'Call Log'!$C$2:$C$5000,B416)=0,"",MAXIFS('Call Log'!$A$2:$A$5000,'Call Log'!$C$2:$C$5000,B416)),""))</f>
        <v/>
      </c>
      <c r="S416" s="5"/>
      <c r="T416" s="21"/>
      <c r="U416" s="21"/>
      <c r="V416" s="5"/>
      <c r="W416" s="20"/>
      <c r="X416" s="5"/>
      <c r="Y416" s="5"/>
      <c r="Z416" s="5" t="s">
        <v>132</v>
      </c>
      <c r="AA416" s="5" t="s">
        <v>1658</v>
      </c>
    </row>
    <row r="417" ht="15.0" customHeight="1">
      <c r="A417" s="5" t="s">
        <v>2517</v>
      </c>
      <c r="B417" s="5" t="s">
        <v>2518</v>
      </c>
      <c r="C417" s="5" t="s">
        <v>2519</v>
      </c>
      <c r="D417" s="5"/>
      <c r="E417" s="5"/>
      <c r="F417" s="20"/>
      <c r="G417" s="20"/>
      <c r="H417" s="5" t="s">
        <v>40</v>
      </c>
      <c r="I417" s="5" t="s">
        <v>2414</v>
      </c>
      <c r="J417" s="5" t="s">
        <v>114</v>
      </c>
      <c r="K417" s="5" t="s">
        <v>2520</v>
      </c>
      <c r="L417" s="5"/>
      <c r="M417" s="5" t="s">
        <v>8</v>
      </c>
      <c r="N417" s="5" t="s">
        <v>80</v>
      </c>
      <c r="O417" s="5" t="str">
        <f>IF(B417="","",IFERROR(LOOKUP(2,1/('Call Log'!$C$2:$C$5000=B417),'Call Log'!$B$2:$B$5000),""))</f>
        <v/>
      </c>
      <c r="P417" s="5">
        <f>IF(B417="","",COUNTIFS('Call Log'!$C$2:$C$5000,B417,'Call Log'!$A$2:$A$5000,"&gt;="&amp;(TODAY()-WEEKDAY(TODAY(),2)+1)))</f>
        <v>0</v>
      </c>
      <c r="Q417" s="5">
        <f>IF(B417="","",COUNTIF('Call Log'!$C$2:$C$5000,B417))</f>
        <v>0</v>
      </c>
      <c r="R417" s="21" t="str">
        <f>IF(B417="","",IFERROR(IF(MAXIFS('Call Log'!$A$2:$A$5000,'Call Log'!$C$2:$C$5000,B417)=0,"",MAXIFS('Call Log'!$A$2:$A$5000,'Call Log'!$C$2:$C$5000,B417)),""))</f>
        <v/>
      </c>
      <c r="S417" s="5"/>
      <c r="T417" s="21"/>
      <c r="U417" s="21"/>
      <c r="V417" s="5"/>
      <c r="W417" s="20"/>
      <c r="X417" s="5"/>
      <c r="Y417" s="5"/>
      <c r="Z417" s="5" t="s">
        <v>132</v>
      </c>
      <c r="AA417" s="5" t="s">
        <v>2521</v>
      </c>
    </row>
    <row r="418" ht="15.0" customHeight="1">
      <c r="A418" s="5" t="s">
        <v>2522</v>
      </c>
      <c r="B418" s="5" t="s">
        <v>2523</v>
      </c>
      <c r="C418" s="5" t="s">
        <v>2524</v>
      </c>
      <c r="D418" s="5"/>
      <c r="E418" s="5"/>
      <c r="F418" s="20"/>
      <c r="G418" s="20"/>
      <c r="H418" s="5" t="s">
        <v>41</v>
      </c>
      <c r="I418" s="5" t="s">
        <v>175</v>
      </c>
      <c r="J418" s="5" t="s">
        <v>114</v>
      </c>
      <c r="K418" s="5" t="s">
        <v>2525</v>
      </c>
      <c r="L418" s="5"/>
      <c r="M418" s="5" t="s">
        <v>8</v>
      </c>
      <c r="N418" s="5" t="s">
        <v>80</v>
      </c>
      <c r="O418" s="5" t="str">
        <f>IF(B418="","",IFERROR(LOOKUP(2,1/('Call Log'!$C$2:$C$5000=B418),'Call Log'!$B$2:$B$5000),""))</f>
        <v/>
      </c>
      <c r="P418" s="5">
        <f>IF(B418="","",COUNTIFS('Call Log'!$C$2:$C$5000,B418,'Call Log'!$A$2:$A$5000,"&gt;="&amp;(TODAY()-WEEKDAY(TODAY(),2)+1)))</f>
        <v>0</v>
      </c>
      <c r="Q418" s="5">
        <f>IF(B418="","",COUNTIF('Call Log'!$C$2:$C$5000,B418))</f>
        <v>0</v>
      </c>
      <c r="R418" s="21" t="str">
        <f>IF(B418="","",IFERROR(IF(MAXIFS('Call Log'!$A$2:$A$5000,'Call Log'!$C$2:$C$5000,B418)=0,"",MAXIFS('Call Log'!$A$2:$A$5000,'Call Log'!$C$2:$C$5000,B418)),""))</f>
        <v/>
      </c>
      <c r="S418" s="5"/>
      <c r="T418" s="21"/>
      <c r="U418" s="21"/>
      <c r="V418" s="5"/>
      <c r="W418" s="20"/>
      <c r="X418" s="5"/>
      <c r="Y418" s="5"/>
      <c r="Z418" s="5" t="s">
        <v>178</v>
      </c>
      <c r="AA418" s="5" t="s">
        <v>2526</v>
      </c>
    </row>
    <row r="419" ht="15.0" customHeight="1">
      <c r="A419" s="5" t="s">
        <v>2527</v>
      </c>
      <c r="B419" s="5" t="s">
        <v>2528</v>
      </c>
      <c r="C419" s="5" t="s">
        <v>2529</v>
      </c>
      <c r="D419" s="5"/>
      <c r="E419" s="5"/>
      <c r="F419" s="20"/>
      <c r="G419" s="20"/>
      <c r="H419" s="5" t="s">
        <v>40</v>
      </c>
      <c r="I419" s="5" t="s">
        <v>594</v>
      </c>
      <c r="J419" s="5" t="s">
        <v>114</v>
      </c>
      <c r="K419" s="5" t="s">
        <v>2530</v>
      </c>
      <c r="L419" s="5" t="s">
        <v>2531</v>
      </c>
      <c r="M419" s="5" t="s">
        <v>8</v>
      </c>
      <c r="N419" s="5" t="s">
        <v>80</v>
      </c>
      <c r="O419" s="5" t="str">
        <f>IF(B419="","",IFERROR(LOOKUP(2,1/('Call Log'!$C$2:$C$5000=B419),'Call Log'!$B$2:$B$5000),""))</f>
        <v/>
      </c>
      <c r="P419" s="5">
        <f>IF(B419="","",COUNTIFS('Call Log'!$C$2:$C$5000,B419,'Call Log'!$A$2:$A$5000,"&gt;="&amp;(TODAY()-WEEKDAY(TODAY(),2)+1)))</f>
        <v>0</v>
      </c>
      <c r="Q419" s="5">
        <f>IF(B419="","",COUNTIF('Call Log'!$C$2:$C$5000,B419))</f>
        <v>0</v>
      </c>
      <c r="R419" s="21" t="str">
        <f>IF(B419="","",IFERROR(IF(MAXIFS('Call Log'!$A$2:$A$5000,'Call Log'!$C$2:$C$5000,B419)=0,"",MAXIFS('Call Log'!$A$2:$A$5000,'Call Log'!$C$2:$C$5000,B419)),""))</f>
        <v/>
      </c>
      <c r="S419" s="5"/>
      <c r="T419" s="21"/>
      <c r="U419" s="21"/>
      <c r="V419" s="5"/>
      <c r="W419" s="20"/>
      <c r="X419" s="5"/>
      <c r="Y419" s="5"/>
      <c r="Z419" s="5" t="s">
        <v>132</v>
      </c>
      <c r="AA419" s="5" t="s">
        <v>2532</v>
      </c>
    </row>
    <row r="420" ht="15.0" customHeight="1">
      <c r="A420" s="5" t="s">
        <v>2533</v>
      </c>
      <c r="B420" s="5" t="s">
        <v>2534</v>
      </c>
      <c r="C420" s="5" t="s">
        <v>2535</v>
      </c>
      <c r="D420" s="5"/>
      <c r="E420" s="5"/>
      <c r="F420" s="20"/>
      <c r="G420" s="20"/>
      <c r="H420" s="5" t="s">
        <v>40</v>
      </c>
      <c r="I420" s="5" t="s">
        <v>2536</v>
      </c>
      <c r="J420" s="5" t="s">
        <v>114</v>
      </c>
      <c r="K420" s="5" t="s">
        <v>2537</v>
      </c>
      <c r="L420" s="5"/>
      <c r="M420" s="5" t="s">
        <v>8</v>
      </c>
      <c r="N420" s="5" t="s">
        <v>80</v>
      </c>
      <c r="O420" s="5" t="str">
        <f>IF(B420="","",IFERROR(LOOKUP(2,1/('Call Log'!$C$2:$C$5000=B420),'Call Log'!$B$2:$B$5000),""))</f>
        <v/>
      </c>
      <c r="P420" s="5">
        <f>IF(B420="","",COUNTIFS('Call Log'!$C$2:$C$5000,B420,'Call Log'!$A$2:$A$5000,"&gt;="&amp;(TODAY()-WEEKDAY(TODAY(),2)+1)))</f>
        <v>0</v>
      </c>
      <c r="Q420" s="5">
        <f>IF(B420="","",COUNTIF('Call Log'!$C$2:$C$5000,B420))</f>
        <v>0</v>
      </c>
      <c r="R420" s="21" t="str">
        <f>IF(B420="","",IFERROR(IF(MAXIFS('Call Log'!$A$2:$A$5000,'Call Log'!$C$2:$C$5000,B420)=0,"",MAXIFS('Call Log'!$A$2:$A$5000,'Call Log'!$C$2:$C$5000,B420)),""))</f>
        <v/>
      </c>
      <c r="S420" s="5"/>
      <c r="T420" s="21"/>
      <c r="U420" s="21"/>
      <c r="V420" s="5"/>
      <c r="W420" s="20"/>
      <c r="X420" s="5"/>
      <c r="Y420" s="5"/>
      <c r="Z420" s="5" t="s">
        <v>132</v>
      </c>
      <c r="AA420" s="5" t="s">
        <v>2538</v>
      </c>
    </row>
    <row r="421" ht="15.0" customHeight="1">
      <c r="A421" s="5" t="s">
        <v>2539</v>
      </c>
      <c r="B421" s="5" t="s">
        <v>2540</v>
      </c>
      <c r="C421" s="5" t="s">
        <v>2541</v>
      </c>
      <c r="D421" s="5"/>
      <c r="E421" s="5">
        <v>1.0</v>
      </c>
      <c r="F421" s="20"/>
      <c r="G421" s="20"/>
      <c r="H421" s="5" t="s">
        <v>40</v>
      </c>
      <c r="I421" s="5" t="s">
        <v>206</v>
      </c>
      <c r="J421" s="5" t="s">
        <v>114</v>
      </c>
      <c r="K421" s="5" t="s">
        <v>2542</v>
      </c>
      <c r="L421" s="5" t="s">
        <v>2543</v>
      </c>
      <c r="M421" s="5" t="s">
        <v>8</v>
      </c>
      <c r="N421" s="5" t="s">
        <v>80</v>
      </c>
      <c r="O421" s="5" t="str">
        <f>IF(B421="","",IFERROR(LOOKUP(2,1/('Call Log'!$C$2:$C$5000=B421),'Call Log'!$B$2:$B$5000),""))</f>
        <v/>
      </c>
      <c r="P421" s="5">
        <f>IF(B421="","",COUNTIFS('Call Log'!$C$2:$C$5000,B421,'Call Log'!$A$2:$A$5000,"&gt;="&amp;(TODAY()-WEEKDAY(TODAY(),2)+1)))</f>
        <v>0</v>
      </c>
      <c r="Q421" s="5">
        <f>IF(B421="","",COUNTIF('Call Log'!$C$2:$C$5000,B421))</f>
        <v>0</v>
      </c>
      <c r="R421" s="21" t="str">
        <f>IF(B421="","",IFERROR(IF(MAXIFS('Call Log'!$A$2:$A$5000,'Call Log'!$C$2:$C$5000,B421)=0,"",MAXIFS('Call Log'!$A$2:$A$5000,'Call Log'!$C$2:$C$5000,B421)),""))</f>
        <v/>
      </c>
      <c r="S421" s="5"/>
      <c r="T421" s="21"/>
      <c r="U421" s="21"/>
      <c r="V421" s="5"/>
      <c r="W421" s="20"/>
      <c r="X421" s="5"/>
      <c r="Y421" s="5"/>
      <c r="Z421" s="5" t="s">
        <v>132</v>
      </c>
      <c r="AA421" s="5" t="s">
        <v>2544</v>
      </c>
    </row>
    <row r="422" ht="15.0" customHeight="1">
      <c r="A422" s="5" t="s">
        <v>2545</v>
      </c>
      <c r="B422" s="5" t="s">
        <v>2546</v>
      </c>
      <c r="C422" s="5" t="s">
        <v>2547</v>
      </c>
      <c r="D422" s="5"/>
      <c r="E422" s="5">
        <v>2.0</v>
      </c>
      <c r="F422" s="20"/>
      <c r="G422" s="20"/>
      <c r="H422" s="5" t="s">
        <v>41</v>
      </c>
      <c r="I422" s="5" t="s">
        <v>138</v>
      </c>
      <c r="J422" s="5" t="s">
        <v>114</v>
      </c>
      <c r="K422" s="5" t="s">
        <v>2548</v>
      </c>
      <c r="L422" s="5"/>
      <c r="M422" s="5" t="s">
        <v>8</v>
      </c>
      <c r="N422" s="5" t="s">
        <v>80</v>
      </c>
      <c r="O422" s="5" t="str">
        <f>IF(B422="","",IFERROR(LOOKUP(2,1/('Call Log'!$C$2:$C$5000=B422),'Call Log'!$B$2:$B$5000),""))</f>
        <v/>
      </c>
      <c r="P422" s="5">
        <f>IF(B422="","",COUNTIFS('Call Log'!$C$2:$C$5000,B422,'Call Log'!$A$2:$A$5000,"&gt;="&amp;(TODAY()-WEEKDAY(TODAY(),2)+1)))</f>
        <v>0</v>
      </c>
      <c r="Q422" s="5">
        <f>IF(B422="","",COUNTIF('Call Log'!$C$2:$C$5000,B422))</f>
        <v>0</v>
      </c>
      <c r="R422" s="21" t="str">
        <f>IF(B422="","",IFERROR(IF(MAXIFS('Call Log'!$A$2:$A$5000,'Call Log'!$C$2:$C$5000,B422)=0,"",MAXIFS('Call Log'!$A$2:$A$5000,'Call Log'!$C$2:$C$5000,B422)),""))</f>
        <v/>
      </c>
      <c r="S422" s="5"/>
      <c r="T422" s="21"/>
      <c r="U422" s="21"/>
      <c r="V422" s="5"/>
      <c r="W422" s="20"/>
      <c r="X422" s="5"/>
      <c r="Y422" s="5"/>
      <c r="Z422" s="5" t="s">
        <v>132</v>
      </c>
      <c r="AA422" s="5" t="s">
        <v>2549</v>
      </c>
    </row>
    <row r="423" ht="15.0" customHeight="1">
      <c r="A423" s="5" t="s">
        <v>2550</v>
      </c>
      <c r="B423" s="5" t="s">
        <v>2551</v>
      </c>
      <c r="C423" s="5" t="s">
        <v>2552</v>
      </c>
      <c r="D423" s="5"/>
      <c r="E423" s="5">
        <v>1.0</v>
      </c>
      <c r="F423" s="20"/>
      <c r="G423" s="20"/>
      <c r="H423" s="5" t="s">
        <v>41</v>
      </c>
      <c r="I423" s="5" t="s">
        <v>422</v>
      </c>
      <c r="J423" s="5" t="s">
        <v>114</v>
      </c>
      <c r="K423" s="5" t="s">
        <v>2553</v>
      </c>
      <c r="L423" s="5" t="s">
        <v>2554</v>
      </c>
      <c r="M423" s="5" t="s">
        <v>8</v>
      </c>
      <c r="N423" s="5" t="s">
        <v>80</v>
      </c>
      <c r="O423" s="5" t="str">
        <f>IF(B423="","",IFERROR(LOOKUP(2,1/('Call Log'!$C$2:$C$5000=B423),'Call Log'!$B$2:$B$5000),""))</f>
        <v/>
      </c>
      <c r="P423" s="5">
        <f>IF(B423="","",COUNTIFS('Call Log'!$C$2:$C$5000,B423,'Call Log'!$A$2:$A$5000,"&gt;="&amp;(TODAY()-WEEKDAY(TODAY(),2)+1)))</f>
        <v>0</v>
      </c>
      <c r="Q423" s="5">
        <f>IF(B423="","",COUNTIF('Call Log'!$C$2:$C$5000,B423))</f>
        <v>0</v>
      </c>
      <c r="R423" s="21" t="str">
        <f>IF(B423="","",IFERROR(IF(MAXIFS('Call Log'!$A$2:$A$5000,'Call Log'!$C$2:$C$5000,B423)=0,"",MAXIFS('Call Log'!$A$2:$A$5000,'Call Log'!$C$2:$C$5000,B423)),""))</f>
        <v/>
      </c>
      <c r="S423" s="5"/>
      <c r="T423" s="21"/>
      <c r="U423" s="21"/>
      <c r="V423" s="5"/>
      <c r="W423" s="20"/>
      <c r="X423" s="5"/>
      <c r="Y423" s="5"/>
      <c r="Z423" s="5" t="s">
        <v>132</v>
      </c>
      <c r="AA423" s="5" t="s">
        <v>2555</v>
      </c>
    </row>
    <row r="424" ht="15.0" customHeight="1">
      <c r="A424" s="5" t="s">
        <v>2556</v>
      </c>
      <c r="B424" s="5" t="s">
        <v>2557</v>
      </c>
      <c r="C424" s="5" t="s">
        <v>2558</v>
      </c>
      <c r="D424" s="5"/>
      <c r="E424" s="5"/>
      <c r="F424" s="20"/>
      <c r="G424" s="20"/>
      <c r="H424" s="5" t="s">
        <v>41</v>
      </c>
      <c r="I424" s="5" t="s">
        <v>122</v>
      </c>
      <c r="J424" s="5" t="s">
        <v>114</v>
      </c>
      <c r="K424" s="5" t="s">
        <v>2559</v>
      </c>
      <c r="L424" s="5" t="s">
        <v>2560</v>
      </c>
      <c r="M424" s="5" t="s">
        <v>8</v>
      </c>
      <c r="N424" s="5" t="s">
        <v>80</v>
      </c>
      <c r="O424" s="5" t="str">
        <f>IF(B424="","",IFERROR(LOOKUP(2,1/('Call Log'!$C$2:$C$5000=B424),'Call Log'!$B$2:$B$5000),""))</f>
        <v/>
      </c>
      <c r="P424" s="5">
        <f>IF(B424="","",COUNTIFS('Call Log'!$C$2:$C$5000,B424,'Call Log'!$A$2:$A$5000,"&gt;="&amp;(TODAY()-WEEKDAY(TODAY(),2)+1)))</f>
        <v>0</v>
      </c>
      <c r="Q424" s="5">
        <f>IF(B424="","",COUNTIF('Call Log'!$C$2:$C$5000,B424))</f>
        <v>0</v>
      </c>
      <c r="R424" s="21" t="str">
        <f>IF(B424="","",IFERROR(IF(MAXIFS('Call Log'!$A$2:$A$5000,'Call Log'!$C$2:$C$5000,B424)=0,"",MAXIFS('Call Log'!$A$2:$A$5000,'Call Log'!$C$2:$C$5000,B424)),""))</f>
        <v/>
      </c>
      <c r="S424" s="5"/>
      <c r="T424" s="21"/>
      <c r="U424" s="21"/>
      <c r="V424" s="5"/>
      <c r="W424" s="20"/>
      <c r="X424" s="5"/>
      <c r="Y424" s="5"/>
      <c r="Z424" s="5" t="s">
        <v>178</v>
      </c>
      <c r="AA424" s="5" t="s">
        <v>2561</v>
      </c>
    </row>
    <row r="425" ht="15.0" customHeight="1">
      <c r="A425" s="5" t="s">
        <v>2562</v>
      </c>
      <c r="B425" s="5" t="s">
        <v>2563</v>
      </c>
      <c r="C425" s="5" t="s">
        <v>2564</v>
      </c>
      <c r="D425" s="5"/>
      <c r="E425" s="5"/>
      <c r="F425" s="20"/>
      <c r="G425" s="20"/>
      <c r="H425" s="5" t="s">
        <v>40</v>
      </c>
      <c r="I425" s="5" t="s">
        <v>422</v>
      </c>
      <c r="J425" s="5" t="s">
        <v>114</v>
      </c>
      <c r="K425" s="5" t="s">
        <v>2565</v>
      </c>
      <c r="L425" s="5"/>
      <c r="M425" s="5" t="s">
        <v>8</v>
      </c>
      <c r="N425" s="5" t="s">
        <v>80</v>
      </c>
      <c r="O425" s="5" t="str">
        <f>IF(B425="","",IFERROR(LOOKUP(2,1/('Call Log'!$C$2:$C$5000=B425),'Call Log'!$B$2:$B$5000),""))</f>
        <v/>
      </c>
      <c r="P425" s="5">
        <f>IF(B425="","",COUNTIFS('Call Log'!$C$2:$C$5000,B425,'Call Log'!$A$2:$A$5000,"&gt;="&amp;(TODAY()-WEEKDAY(TODAY(),2)+1)))</f>
        <v>0</v>
      </c>
      <c r="Q425" s="5">
        <f>IF(B425="","",COUNTIF('Call Log'!$C$2:$C$5000,B425))</f>
        <v>0</v>
      </c>
      <c r="R425" s="21" t="str">
        <f>IF(B425="","",IFERROR(IF(MAXIFS('Call Log'!$A$2:$A$5000,'Call Log'!$C$2:$C$5000,B425)=0,"",MAXIFS('Call Log'!$A$2:$A$5000,'Call Log'!$C$2:$C$5000,B425)),""))</f>
        <v/>
      </c>
      <c r="S425" s="5"/>
      <c r="T425" s="21"/>
      <c r="U425" s="21"/>
      <c r="V425" s="5"/>
      <c r="W425" s="20"/>
      <c r="X425" s="5"/>
      <c r="Y425" s="5"/>
      <c r="Z425" s="5" t="s">
        <v>132</v>
      </c>
      <c r="AA425" s="5" t="s">
        <v>2566</v>
      </c>
    </row>
    <row r="426" ht="15.0" customHeight="1">
      <c r="A426" s="5" t="s">
        <v>2567</v>
      </c>
      <c r="B426" s="5" t="s">
        <v>2568</v>
      </c>
      <c r="C426" s="5" t="s">
        <v>2569</v>
      </c>
      <c r="D426" s="5"/>
      <c r="E426" s="5"/>
      <c r="F426" s="20"/>
      <c r="G426" s="20"/>
      <c r="H426" s="5" t="s">
        <v>41</v>
      </c>
      <c r="I426" s="5" t="s">
        <v>146</v>
      </c>
      <c r="J426" s="5" t="s">
        <v>114</v>
      </c>
      <c r="K426" s="5" t="s">
        <v>2570</v>
      </c>
      <c r="L426" s="5"/>
      <c r="M426" s="5" t="s">
        <v>8</v>
      </c>
      <c r="N426" s="5" t="s">
        <v>80</v>
      </c>
      <c r="O426" s="5" t="str">
        <f>IF(B426="","",IFERROR(LOOKUP(2,1/('Call Log'!$C$2:$C$5000=B426),'Call Log'!$B$2:$B$5000),""))</f>
        <v/>
      </c>
      <c r="P426" s="5">
        <f>IF(B426="","",COUNTIFS('Call Log'!$C$2:$C$5000,B426,'Call Log'!$A$2:$A$5000,"&gt;="&amp;(TODAY()-WEEKDAY(TODAY(),2)+1)))</f>
        <v>0</v>
      </c>
      <c r="Q426" s="5">
        <f>IF(B426="","",COUNTIF('Call Log'!$C$2:$C$5000,B426))</f>
        <v>0</v>
      </c>
      <c r="R426" s="21" t="str">
        <f>IF(B426="","",IFERROR(IF(MAXIFS('Call Log'!$A$2:$A$5000,'Call Log'!$C$2:$C$5000,B426)=0,"",MAXIFS('Call Log'!$A$2:$A$5000,'Call Log'!$C$2:$C$5000,B426)),""))</f>
        <v/>
      </c>
      <c r="S426" s="5"/>
      <c r="T426" s="21"/>
      <c r="U426" s="21"/>
      <c r="V426" s="5"/>
      <c r="W426" s="20"/>
      <c r="X426" s="5"/>
      <c r="Y426" s="5"/>
      <c r="Z426" s="5" t="s">
        <v>132</v>
      </c>
      <c r="AA426" s="5" t="s">
        <v>2571</v>
      </c>
    </row>
    <row r="427" ht="15.0" customHeight="1">
      <c r="A427" s="5" t="s">
        <v>2572</v>
      </c>
      <c r="B427" s="5" t="s">
        <v>2573</v>
      </c>
      <c r="C427" s="5" t="s">
        <v>2574</v>
      </c>
      <c r="D427" s="5"/>
      <c r="E427" s="5">
        <v>2.0</v>
      </c>
      <c r="F427" s="20"/>
      <c r="G427" s="20"/>
      <c r="H427" s="5" t="s">
        <v>40</v>
      </c>
      <c r="I427" s="5" t="s">
        <v>422</v>
      </c>
      <c r="J427" s="5" t="s">
        <v>114</v>
      </c>
      <c r="K427" s="5" t="s">
        <v>2575</v>
      </c>
      <c r="L427" s="5"/>
      <c r="M427" s="5" t="s">
        <v>8</v>
      </c>
      <c r="N427" s="5" t="s">
        <v>80</v>
      </c>
      <c r="O427" s="5" t="str">
        <f>IF(B427="","",IFERROR(LOOKUP(2,1/('Call Log'!$C$2:$C$5000=B427),'Call Log'!$B$2:$B$5000),""))</f>
        <v/>
      </c>
      <c r="P427" s="5">
        <f>IF(B427="","",COUNTIFS('Call Log'!$C$2:$C$5000,B427,'Call Log'!$A$2:$A$5000,"&gt;="&amp;(TODAY()-WEEKDAY(TODAY(),2)+1)))</f>
        <v>0</v>
      </c>
      <c r="Q427" s="5">
        <f>IF(B427="","",COUNTIF('Call Log'!$C$2:$C$5000,B427))</f>
        <v>0</v>
      </c>
      <c r="R427" s="21" t="str">
        <f>IF(B427="","",IFERROR(IF(MAXIFS('Call Log'!$A$2:$A$5000,'Call Log'!$C$2:$C$5000,B427)=0,"",MAXIFS('Call Log'!$A$2:$A$5000,'Call Log'!$C$2:$C$5000,B427)),""))</f>
        <v/>
      </c>
      <c r="S427" s="5"/>
      <c r="T427" s="21"/>
      <c r="U427" s="21"/>
      <c r="V427" s="5"/>
      <c r="W427" s="20"/>
      <c r="X427" s="5"/>
      <c r="Y427" s="5"/>
      <c r="Z427" s="5"/>
      <c r="AA427" s="5" t="s">
        <v>724</v>
      </c>
    </row>
    <row r="428" ht="15.0" customHeight="1">
      <c r="A428" s="5" t="s">
        <v>2576</v>
      </c>
      <c r="B428" s="5" t="s">
        <v>2577</v>
      </c>
      <c r="C428" s="5" t="s">
        <v>2578</v>
      </c>
      <c r="D428" s="5"/>
      <c r="E428" s="5"/>
      <c r="F428" s="20"/>
      <c r="G428" s="20"/>
      <c r="H428" s="5" t="s">
        <v>41</v>
      </c>
      <c r="I428" s="5" t="s">
        <v>175</v>
      </c>
      <c r="J428" s="5" t="s">
        <v>114</v>
      </c>
      <c r="K428" s="5" t="s">
        <v>2579</v>
      </c>
      <c r="L428" s="5"/>
      <c r="M428" s="5" t="s">
        <v>8</v>
      </c>
      <c r="N428" s="5" t="s">
        <v>80</v>
      </c>
      <c r="O428" s="5" t="str">
        <f>IF(B428="","",IFERROR(LOOKUP(2,1/('Call Log'!$C$2:$C$5000=B428),'Call Log'!$B$2:$B$5000),""))</f>
        <v/>
      </c>
      <c r="P428" s="5">
        <f>IF(B428="","",COUNTIFS('Call Log'!$C$2:$C$5000,B428,'Call Log'!$A$2:$A$5000,"&gt;="&amp;(TODAY()-WEEKDAY(TODAY(),2)+1)))</f>
        <v>0</v>
      </c>
      <c r="Q428" s="5">
        <f>IF(B428="","",COUNTIF('Call Log'!$C$2:$C$5000,B428))</f>
        <v>0</v>
      </c>
      <c r="R428" s="21" t="str">
        <f>IF(B428="","",IFERROR(IF(MAXIFS('Call Log'!$A$2:$A$5000,'Call Log'!$C$2:$C$5000,B428)=0,"",MAXIFS('Call Log'!$A$2:$A$5000,'Call Log'!$C$2:$C$5000,B428)),""))</f>
        <v/>
      </c>
      <c r="S428" s="5"/>
      <c r="T428" s="21"/>
      <c r="U428" s="21"/>
      <c r="V428" s="5"/>
      <c r="W428" s="20"/>
      <c r="X428" s="5"/>
      <c r="Y428" s="5"/>
      <c r="Z428" s="5" t="s">
        <v>178</v>
      </c>
      <c r="AA428" s="5" t="s">
        <v>2580</v>
      </c>
    </row>
    <row r="429" ht="15.0" customHeight="1">
      <c r="A429" s="5" t="s">
        <v>2581</v>
      </c>
      <c r="B429" s="5" t="s">
        <v>2582</v>
      </c>
      <c r="C429" s="5" t="s">
        <v>2583</v>
      </c>
      <c r="D429" s="5"/>
      <c r="E429" s="5"/>
      <c r="F429" s="20"/>
      <c r="G429" s="20"/>
      <c r="H429" s="5" t="s">
        <v>41</v>
      </c>
      <c r="I429" s="5" t="s">
        <v>246</v>
      </c>
      <c r="J429" s="5" t="s">
        <v>114</v>
      </c>
      <c r="K429" s="5" t="s">
        <v>2584</v>
      </c>
      <c r="L429" s="5" t="s">
        <v>2585</v>
      </c>
      <c r="M429" s="5" t="s">
        <v>8</v>
      </c>
      <c r="N429" s="5" t="s">
        <v>80</v>
      </c>
      <c r="O429" s="5" t="str">
        <f>IF(B429="","",IFERROR(LOOKUP(2,1/('Call Log'!$C$2:$C$5000=B429),'Call Log'!$B$2:$B$5000),""))</f>
        <v/>
      </c>
      <c r="P429" s="5">
        <f>IF(B429="","",COUNTIFS('Call Log'!$C$2:$C$5000,B429,'Call Log'!$A$2:$A$5000,"&gt;="&amp;(TODAY()-WEEKDAY(TODAY(),2)+1)))</f>
        <v>0</v>
      </c>
      <c r="Q429" s="5">
        <f>IF(B429="","",COUNTIF('Call Log'!$C$2:$C$5000,B429))</f>
        <v>0</v>
      </c>
      <c r="R429" s="21" t="str">
        <f>IF(B429="","",IFERROR(IF(MAXIFS('Call Log'!$A$2:$A$5000,'Call Log'!$C$2:$C$5000,B429)=0,"",MAXIFS('Call Log'!$A$2:$A$5000,'Call Log'!$C$2:$C$5000,B429)),""))</f>
        <v/>
      </c>
      <c r="S429" s="5"/>
      <c r="T429" s="21"/>
      <c r="U429" s="21"/>
      <c r="V429" s="5"/>
      <c r="W429" s="20"/>
      <c r="X429" s="5"/>
      <c r="Y429" s="5"/>
      <c r="Z429" s="5" t="s">
        <v>132</v>
      </c>
      <c r="AA429" s="5" t="s">
        <v>2586</v>
      </c>
    </row>
    <row r="430" ht="15.0" customHeight="1">
      <c r="A430" s="5" t="s">
        <v>2587</v>
      </c>
      <c r="B430" s="5" t="s">
        <v>2588</v>
      </c>
      <c r="C430" s="5" t="s">
        <v>2225</v>
      </c>
      <c r="D430" s="5"/>
      <c r="E430" s="5"/>
      <c r="F430" s="20"/>
      <c r="G430" s="20"/>
      <c r="H430" s="5" t="s">
        <v>41</v>
      </c>
      <c r="I430" s="5" t="s">
        <v>370</v>
      </c>
      <c r="J430" s="5" t="s">
        <v>114</v>
      </c>
      <c r="K430" s="5" t="s">
        <v>2589</v>
      </c>
      <c r="L430" s="5"/>
      <c r="M430" s="5" t="s">
        <v>8</v>
      </c>
      <c r="N430" s="5" t="s">
        <v>80</v>
      </c>
      <c r="O430" s="5" t="str">
        <f>IF(B430="","",IFERROR(LOOKUP(2,1/('Call Log'!$C$2:$C$5000=B430),'Call Log'!$B$2:$B$5000),""))</f>
        <v/>
      </c>
      <c r="P430" s="5">
        <f>IF(B430="","",COUNTIFS('Call Log'!$C$2:$C$5000,B430,'Call Log'!$A$2:$A$5000,"&gt;="&amp;(TODAY()-WEEKDAY(TODAY(),2)+1)))</f>
        <v>0</v>
      </c>
      <c r="Q430" s="5">
        <f>IF(B430="","",COUNTIF('Call Log'!$C$2:$C$5000,B430))</f>
        <v>0</v>
      </c>
      <c r="R430" s="21" t="str">
        <f>IF(B430="","",IFERROR(IF(MAXIFS('Call Log'!$A$2:$A$5000,'Call Log'!$C$2:$C$5000,B430)=0,"",MAXIFS('Call Log'!$A$2:$A$5000,'Call Log'!$C$2:$C$5000,B430)),""))</f>
        <v/>
      </c>
      <c r="S430" s="5"/>
      <c r="T430" s="21"/>
      <c r="U430" s="21"/>
      <c r="V430" s="5"/>
      <c r="W430" s="20"/>
      <c r="X430" s="5"/>
      <c r="Y430" s="5"/>
      <c r="Z430" s="5" t="s">
        <v>178</v>
      </c>
      <c r="AA430" s="5" t="s">
        <v>2227</v>
      </c>
    </row>
    <row r="431" ht="15.0" customHeight="1">
      <c r="A431" s="5" t="s">
        <v>2590</v>
      </c>
      <c r="B431" s="5" t="s">
        <v>2591</v>
      </c>
      <c r="C431" s="5" t="s">
        <v>2592</v>
      </c>
      <c r="D431" s="5"/>
      <c r="E431" s="5"/>
      <c r="F431" s="20"/>
      <c r="G431" s="20"/>
      <c r="H431" s="5" t="s">
        <v>41</v>
      </c>
      <c r="I431" s="5" t="s">
        <v>175</v>
      </c>
      <c r="J431" s="5" t="s">
        <v>114</v>
      </c>
      <c r="K431" s="5" t="s">
        <v>2593</v>
      </c>
      <c r="L431" s="5"/>
      <c r="M431" s="5" t="s">
        <v>8</v>
      </c>
      <c r="N431" s="5" t="s">
        <v>80</v>
      </c>
      <c r="O431" s="5" t="str">
        <f>IF(B431="","",IFERROR(LOOKUP(2,1/('Call Log'!$C$2:$C$5000=B431),'Call Log'!$B$2:$B$5000),""))</f>
        <v/>
      </c>
      <c r="P431" s="5">
        <f>IF(B431="","",COUNTIFS('Call Log'!$C$2:$C$5000,B431,'Call Log'!$A$2:$A$5000,"&gt;="&amp;(TODAY()-WEEKDAY(TODAY(),2)+1)))</f>
        <v>0</v>
      </c>
      <c r="Q431" s="5">
        <f>IF(B431="","",COUNTIF('Call Log'!$C$2:$C$5000,B431))</f>
        <v>0</v>
      </c>
      <c r="R431" s="21" t="str">
        <f>IF(B431="","",IFERROR(IF(MAXIFS('Call Log'!$A$2:$A$5000,'Call Log'!$C$2:$C$5000,B431)=0,"",MAXIFS('Call Log'!$A$2:$A$5000,'Call Log'!$C$2:$C$5000,B431)),""))</f>
        <v/>
      </c>
      <c r="S431" s="5"/>
      <c r="T431" s="21"/>
      <c r="U431" s="21"/>
      <c r="V431" s="5"/>
      <c r="W431" s="20"/>
      <c r="X431" s="5"/>
      <c r="Y431" s="5"/>
      <c r="Z431" s="5" t="s">
        <v>178</v>
      </c>
      <c r="AA431" s="5" t="s">
        <v>2594</v>
      </c>
    </row>
    <row r="432" ht="15.0" customHeight="1">
      <c r="A432" s="5" t="s">
        <v>2595</v>
      </c>
      <c r="B432" s="5" t="s">
        <v>2596</v>
      </c>
      <c r="C432" s="5" t="s">
        <v>2597</v>
      </c>
      <c r="D432" s="5"/>
      <c r="E432" s="5"/>
      <c r="F432" s="20"/>
      <c r="G432" s="20"/>
      <c r="H432" s="5" t="s">
        <v>40</v>
      </c>
      <c r="I432" s="5" t="s">
        <v>667</v>
      </c>
      <c r="J432" s="5" t="s">
        <v>114</v>
      </c>
      <c r="K432" s="5" t="s">
        <v>2598</v>
      </c>
      <c r="L432" s="5"/>
      <c r="M432" s="5" t="s">
        <v>8</v>
      </c>
      <c r="N432" s="5" t="s">
        <v>80</v>
      </c>
      <c r="O432" s="5" t="str">
        <f>IF(B432="","",IFERROR(LOOKUP(2,1/('Call Log'!$C$2:$C$5000=B432),'Call Log'!$B$2:$B$5000),""))</f>
        <v/>
      </c>
      <c r="P432" s="5">
        <f>IF(B432="","",COUNTIFS('Call Log'!$C$2:$C$5000,B432,'Call Log'!$A$2:$A$5000,"&gt;="&amp;(TODAY()-WEEKDAY(TODAY(),2)+1)))</f>
        <v>0</v>
      </c>
      <c r="Q432" s="5">
        <f>IF(B432="","",COUNTIF('Call Log'!$C$2:$C$5000,B432))</f>
        <v>0</v>
      </c>
      <c r="R432" s="21" t="str">
        <f>IF(B432="","",IFERROR(IF(MAXIFS('Call Log'!$A$2:$A$5000,'Call Log'!$C$2:$C$5000,B432)=0,"",MAXIFS('Call Log'!$A$2:$A$5000,'Call Log'!$C$2:$C$5000,B432)),""))</f>
        <v/>
      </c>
      <c r="S432" s="5"/>
      <c r="T432" s="21"/>
      <c r="U432" s="21"/>
      <c r="V432" s="5"/>
      <c r="W432" s="20"/>
      <c r="X432" s="5"/>
      <c r="Y432" s="5"/>
      <c r="Z432" s="5" t="s">
        <v>132</v>
      </c>
      <c r="AA432" s="5" t="s">
        <v>2599</v>
      </c>
    </row>
    <row r="433" ht="15.0" customHeight="1">
      <c r="A433" s="5" t="s">
        <v>2600</v>
      </c>
      <c r="B433" s="5" t="s">
        <v>2601</v>
      </c>
      <c r="C433" s="5" t="s">
        <v>2602</v>
      </c>
      <c r="D433" s="5"/>
      <c r="E433" s="5"/>
      <c r="F433" s="20"/>
      <c r="G433" s="20"/>
      <c r="H433" s="5" t="s">
        <v>43</v>
      </c>
      <c r="I433" s="5" t="s">
        <v>1320</v>
      </c>
      <c r="J433" s="5" t="s">
        <v>114</v>
      </c>
      <c r="K433" s="5" t="s">
        <v>2603</v>
      </c>
      <c r="L433" s="5"/>
      <c r="M433" s="5" t="s">
        <v>8</v>
      </c>
      <c r="N433" s="5" t="s">
        <v>80</v>
      </c>
      <c r="O433" s="5" t="str">
        <f>IF(B433="","",IFERROR(LOOKUP(2,1/('Call Log'!$C$2:$C$5000=B433),'Call Log'!$B$2:$B$5000),""))</f>
        <v/>
      </c>
      <c r="P433" s="5">
        <f>IF(B433="","",COUNTIFS('Call Log'!$C$2:$C$5000,B433,'Call Log'!$A$2:$A$5000,"&gt;="&amp;(TODAY()-WEEKDAY(TODAY(),2)+1)))</f>
        <v>0</v>
      </c>
      <c r="Q433" s="5">
        <f>IF(B433="","",COUNTIF('Call Log'!$C$2:$C$5000,B433))</f>
        <v>0</v>
      </c>
      <c r="R433" s="21" t="str">
        <f>IF(B433="","",IFERROR(IF(MAXIFS('Call Log'!$A$2:$A$5000,'Call Log'!$C$2:$C$5000,B433)=0,"",MAXIFS('Call Log'!$A$2:$A$5000,'Call Log'!$C$2:$C$5000,B433)),""))</f>
        <v/>
      </c>
      <c r="S433" s="5"/>
      <c r="T433" s="21"/>
      <c r="U433" s="21"/>
      <c r="V433" s="5"/>
      <c r="W433" s="20"/>
      <c r="X433" s="5"/>
      <c r="Y433" s="5"/>
      <c r="Z433" s="5" t="s">
        <v>132</v>
      </c>
      <c r="AA433" s="5" t="s">
        <v>2604</v>
      </c>
    </row>
    <row r="434" ht="15.0" customHeight="1">
      <c r="A434" s="5" t="s">
        <v>2605</v>
      </c>
      <c r="B434" s="5" t="s">
        <v>2606</v>
      </c>
      <c r="C434" s="5" t="s">
        <v>2607</v>
      </c>
      <c r="D434" s="5"/>
      <c r="E434" s="5">
        <v>2.0</v>
      </c>
      <c r="F434" s="20"/>
      <c r="G434" s="20"/>
      <c r="H434" s="5" t="s">
        <v>41</v>
      </c>
      <c r="I434" s="5" t="s">
        <v>122</v>
      </c>
      <c r="J434" s="5" t="s">
        <v>114</v>
      </c>
      <c r="K434" s="5" t="s">
        <v>2608</v>
      </c>
      <c r="L434" s="5" t="s">
        <v>2609</v>
      </c>
      <c r="M434" s="5" t="s">
        <v>8</v>
      </c>
      <c r="N434" s="5" t="s">
        <v>80</v>
      </c>
      <c r="O434" s="5" t="str">
        <f>IF(B434="","",IFERROR(LOOKUP(2,1/('Call Log'!$C$2:$C$5000=B434),'Call Log'!$B$2:$B$5000),""))</f>
        <v/>
      </c>
      <c r="P434" s="5">
        <f>IF(B434="","",COUNTIFS('Call Log'!$C$2:$C$5000,B434,'Call Log'!$A$2:$A$5000,"&gt;="&amp;(TODAY()-WEEKDAY(TODAY(),2)+1)))</f>
        <v>0</v>
      </c>
      <c r="Q434" s="5">
        <f>IF(B434="","",COUNTIF('Call Log'!$C$2:$C$5000,B434))</f>
        <v>0</v>
      </c>
      <c r="R434" s="21" t="str">
        <f>IF(B434="","",IFERROR(IF(MAXIFS('Call Log'!$A$2:$A$5000,'Call Log'!$C$2:$C$5000,B434)=0,"",MAXIFS('Call Log'!$A$2:$A$5000,'Call Log'!$C$2:$C$5000,B434)),""))</f>
        <v/>
      </c>
      <c r="S434" s="5"/>
      <c r="T434" s="21"/>
      <c r="U434" s="21"/>
      <c r="V434" s="5"/>
      <c r="W434" s="20"/>
      <c r="X434" s="5"/>
      <c r="Y434" s="5"/>
      <c r="Z434" s="5" t="s">
        <v>132</v>
      </c>
      <c r="AA434" s="5" t="s">
        <v>2610</v>
      </c>
    </row>
    <row r="435" ht="15.0" customHeight="1">
      <c r="A435" s="5" t="s">
        <v>2611</v>
      </c>
      <c r="B435" s="5" t="s">
        <v>2612</v>
      </c>
      <c r="C435" s="5" t="s">
        <v>2491</v>
      </c>
      <c r="D435" s="5"/>
      <c r="E435" s="5"/>
      <c r="F435" s="20"/>
      <c r="G435" s="20"/>
      <c r="H435" s="5" t="s">
        <v>41</v>
      </c>
      <c r="I435" s="5" t="s">
        <v>865</v>
      </c>
      <c r="J435" s="5" t="s">
        <v>114</v>
      </c>
      <c r="K435" s="5" t="s">
        <v>2613</v>
      </c>
      <c r="L435" s="5"/>
      <c r="M435" s="5" t="s">
        <v>8</v>
      </c>
      <c r="N435" s="5" t="s">
        <v>80</v>
      </c>
      <c r="O435" s="5" t="str">
        <f>IF(B435="","",IFERROR(LOOKUP(2,1/('Call Log'!$C$2:$C$5000=B435),'Call Log'!$B$2:$B$5000),""))</f>
        <v/>
      </c>
      <c r="P435" s="5">
        <f>IF(B435="","",COUNTIFS('Call Log'!$C$2:$C$5000,B435,'Call Log'!$A$2:$A$5000,"&gt;="&amp;(TODAY()-WEEKDAY(TODAY(),2)+1)))</f>
        <v>0</v>
      </c>
      <c r="Q435" s="5">
        <f>IF(B435="","",COUNTIF('Call Log'!$C$2:$C$5000,B435))</f>
        <v>0</v>
      </c>
      <c r="R435" s="21" t="str">
        <f>IF(B435="","",IFERROR(IF(MAXIFS('Call Log'!$A$2:$A$5000,'Call Log'!$C$2:$C$5000,B435)=0,"",MAXIFS('Call Log'!$A$2:$A$5000,'Call Log'!$C$2:$C$5000,B435)),""))</f>
        <v/>
      </c>
      <c r="S435" s="5"/>
      <c r="T435" s="21"/>
      <c r="U435" s="21"/>
      <c r="V435" s="5"/>
      <c r="W435" s="20"/>
      <c r="X435" s="5"/>
      <c r="Y435" s="5"/>
      <c r="Z435" s="5" t="s">
        <v>132</v>
      </c>
      <c r="AA435" s="5" t="s">
        <v>2614</v>
      </c>
    </row>
    <row r="436" ht="15.0" customHeight="1">
      <c r="A436" s="5" t="s">
        <v>2615</v>
      </c>
      <c r="B436" s="5" t="s">
        <v>2616</v>
      </c>
      <c r="C436" s="5" t="s">
        <v>2617</v>
      </c>
      <c r="D436" s="5"/>
      <c r="E436" s="5"/>
      <c r="F436" s="20"/>
      <c r="G436" s="20"/>
      <c r="H436" s="5" t="s">
        <v>43</v>
      </c>
      <c r="I436" s="5" t="s">
        <v>1093</v>
      </c>
      <c r="J436" s="5" t="s">
        <v>114</v>
      </c>
      <c r="K436" s="5" t="s">
        <v>2618</v>
      </c>
      <c r="L436" s="5"/>
      <c r="M436" s="5" t="s">
        <v>8</v>
      </c>
      <c r="N436" s="5" t="s">
        <v>80</v>
      </c>
      <c r="O436" s="5" t="str">
        <f>IF(B436="","",IFERROR(LOOKUP(2,1/('Call Log'!$C$2:$C$5000=B436),'Call Log'!$B$2:$B$5000),""))</f>
        <v/>
      </c>
      <c r="P436" s="5">
        <f>IF(B436="","",COUNTIFS('Call Log'!$C$2:$C$5000,B436,'Call Log'!$A$2:$A$5000,"&gt;="&amp;(TODAY()-WEEKDAY(TODAY(),2)+1)))</f>
        <v>0</v>
      </c>
      <c r="Q436" s="5">
        <f>IF(B436="","",COUNTIF('Call Log'!$C$2:$C$5000,B436))</f>
        <v>0</v>
      </c>
      <c r="R436" s="21" t="str">
        <f>IF(B436="","",IFERROR(IF(MAXIFS('Call Log'!$A$2:$A$5000,'Call Log'!$C$2:$C$5000,B436)=0,"",MAXIFS('Call Log'!$A$2:$A$5000,'Call Log'!$C$2:$C$5000,B436)),""))</f>
        <v/>
      </c>
      <c r="S436" s="5"/>
      <c r="T436" s="21"/>
      <c r="U436" s="21"/>
      <c r="V436" s="5"/>
      <c r="W436" s="20"/>
      <c r="X436" s="5"/>
      <c r="Y436" s="5"/>
      <c r="Z436" s="5" t="s">
        <v>132</v>
      </c>
      <c r="AA436" s="5" t="s">
        <v>2619</v>
      </c>
    </row>
    <row r="437" ht="15.0" customHeight="1">
      <c r="A437" s="5" t="s">
        <v>2620</v>
      </c>
      <c r="B437" s="5" t="s">
        <v>2621</v>
      </c>
      <c r="C437" s="5" t="s">
        <v>2622</v>
      </c>
      <c r="D437" s="5"/>
      <c r="E437" s="5"/>
      <c r="F437" s="20"/>
      <c r="G437" s="20"/>
      <c r="H437" s="5" t="s">
        <v>41</v>
      </c>
      <c r="I437" s="5" t="s">
        <v>246</v>
      </c>
      <c r="J437" s="5" t="s">
        <v>114</v>
      </c>
      <c r="K437" s="5" t="s">
        <v>2623</v>
      </c>
      <c r="L437" s="5" t="s">
        <v>2624</v>
      </c>
      <c r="M437" s="5" t="s">
        <v>8</v>
      </c>
      <c r="N437" s="5" t="s">
        <v>80</v>
      </c>
      <c r="O437" s="5" t="str">
        <f>IF(B437="","",IFERROR(LOOKUP(2,1/('Call Log'!$C$2:$C$5000=B437),'Call Log'!$B$2:$B$5000),""))</f>
        <v/>
      </c>
      <c r="P437" s="5">
        <f>IF(B437="","",COUNTIFS('Call Log'!$C$2:$C$5000,B437,'Call Log'!$A$2:$A$5000,"&gt;="&amp;(TODAY()-WEEKDAY(TODAY(),2)+1)))</f>
        <v>0</v>
      </c>
      <c r="Q437" s="5">
        <f>IF(B437="","",COUNTIF('Call Log'!$C$2:$C$5000,B437))</f>
        <v>0</v>
      </c>
      <c r="R437" s="21" t="str">
        <f>IF(B437="","",IFERROR(IF(MAXIFS('Call Log'!$A$2:$A$5000,'Call Log'!$C$2:$C$5000,B437)=0,"",MAXIFS('Call Log'!$A$2:$A$5000,'Call Log'!$C$2:$C$5000,B437)),""))</f>
        <v/>
      </c>
      <c r="S437" s="5"/>
      <c r="T437" s="21"/>
      <c r="U437" s="21"/>
      <c r="V437" s="5"/>
      <c r="W437" s="20"/>
      <c r="X437" s="5"/>
      <c r="Y437" s="5"/>
      <c r="Z437" s="5" t="s">
        <v>132</v>
      </c>
      <c r="AA437" s="5" t="s">
        <v>2625</v>
      </c>
    </row>
    <row r="438" ht="15.0" customHeight="1">
      <c r="A438" s="5" t="s">
        <v>2626</v>
      </c>
      <c r="B438" s="5" t="s">
        <v>2627</v>
      </c>
      <c r="C438" s="5" t="s">
        <v>2628</v>
      </c>
      <c r="D438" s="5"/>
      <c r="E438" s="5">
        <v>3.0</v>
      </c>
      <c r="F438" s="20"/>
      <c r="G438" s="20"/>
      <c r="H438" s="5" t="s">
        <v>41</v>
      </c>
      <c r="I438" s="5" t="s">
        <v>231</v>
      </c>
      <c r="J438" s="5" t="s">
        <v>114</v>
      </c>
      <c r="K438" s="5" t="s">
        <v>2629</v>
      </c>
      <c r="L438" s="5"/>
      <c r="M438" s="5" t="s">
        <v>8</v>
      </c>
      <c r="N438" s="5" t="s">
        <v>80</v>
      </c>
      <c r="O438" s="5" t="str">
        <f>IF(B438="","",IFERROR(LOOKUP(2,1/('Call Log'!$C$2:$C$5000=B438),'Call Log'!$B$2:$B$5000),""))</f>
        <v/>
      </c>
      <c r="P438" s="5">
        <f>IF(B438="","",COUNTIFS('Call Log'!$C$2:$C$5000,B438,'Call Log'!$A$2:$A$5000,"&gt;="&amp;(TODAY()-WEEKDAY(TODAY(),2)+1)))</f>
        <v>0</v>
      </c>
      <c r="Q438" s="5">
        <f>IF(B438="","",COUNTIF('Call Log'!$C$2:$C$5000,B438))</f>
        <v>0</v>
      </c>
      <c r="R438" s="21" t="str">
        <f>IF(B438="","",IFERROR(IF(MAXIFS('Call Log'!$A$2:$A$5000,'Call Log'!$C$2:$C$5000,B438)=0,"",MAXIFS('Call Log'!$A$2:$A$5000,'Call Log'!$C$2:$C$5000,B438)),""))</f>
        <v/>
      </c>
      <c r="S438" s="5"/>
      <c r="T438" s="21"/>
      <c r="U438" s="21"/>
      <c r="V438" s="5"/>
      <c r="W438" s="20"/>
      <c r="X438" s="5"/>
      <c r="Y438" s="5"/>
      <c r="Z438" s="5" t="s">
        <v>132</v>
      </c>
      <c r="AA438" s="5" t="s">
        <v>2630</v>
      </c>
    </row>
    <row r="439" ht="15.0" customHeight="1">
      <c r="A439" s="5" t="s">
        <v>2631</v>
      </c>
      <c r="B439" s="5" t="s">
        <v>2632</v>
      </c>
      <c r="C439" s="5" t="s">
        <v>2633</v>
      </c>
      <c r="D439" s="5"/>
      <c r="E439" s="5"/>
      <c r="F439" s="20"/>
      <c r="G439" s="20"/>
      <c r="H439" s="5" t="s">
        <v>40</v>
      </c>
      <c r="I439" s="5" t="s">
        <v>161</v>
      </c>
      <c r="J439" s="5" t="s">
        <v>114</v>
      </c>
      <c r="K439" s="5" t="s">
        <v>2634</v>
      </c>
      <c r="L439" s="5" t="s">
        <v>2635</v>
      </c>
      <c r="M439" s="5" t="s">
        <v>8</v>
      </c>
      <c r="N439" s="5" t="s">
        <v>80</v>
      </c>
      <c r="O439" s="5" t="str">
        <f>IF(B439="","",IFERROR(LOOKUP(2,1/('Call Log'!$C$2:$C$5000=B439),'Call Log'!$B$2:$B$5000),""))</f>
        <v/>
      </c>
      <c r="P439" s="5">
        <f>IF(B439="","",COUNTIFS('Call Log'!$C$2:$C$5000,B439,'Call Log'!$A$2:$A$5000,"&gt;="&amp;(TODAY()-WEEKDAY(TODAY(),2)+1)))</f>
        <v>0</v>
      </c>
      <c r="Q439" s="5">
        <f>IF(B439="","",COUNTIF('Call Log'!$C$2:$C$5000,B439))</f>
        <v>0</v>
      </c>
      <c r="R439" s="21" t="str">
        <f>IF(B439="","",IFERROR(IF(MAXIFS('Call Log'!$A$2:$A$5000,'Call Log'!$C$2:$C$5000,B439)=0,"",MAXIFS('Call Log'!$A$2:$A$5000,'Call Log'!$C$2:$C$5000,B439)),""))</f>
        <v/>
      </c>
      <c r="S439" s="5"/>
      <c r="T439" s="21"/>
      <c r="U439" s="21"/>
      <c r="V439" s="5"/>
      <c r="W439" s="20"/>
      <c r="X439" s="5"/>
      <c r="Y439" s="5"/>
      <c r="Z439" s="5" t="s">
        <v>132</v>
      </c>
      <c r="AA439" s="5" t="s">
        <v>2636</v>
      </c>
    </row>
    <row r="440" ht="15.0" customHeight="1">
      <c r="A440" s="5" t="s">
        <v>2637</v>
      </c>
      <c r="B440" s="5" t="s">
        <v>2638</v>
      </c>
      <c r="C440" s="5" t="s">
        <v>2639</v>
      </c>
      <c r="D440" s="5"/>
      <c r="E440" s="5"/>
      <c r="F440" s="20"/>
      <c r="G440" s="20"/>
      <c r="H440" s="5" t="s">
        <v>40</v>
      </c>
      <c r="I440" s="5" t="s">
        <v>184</v>
      </c>
      <c r="J440" s="5" t="s">
        <v>114</v>
      </c>
      <c r="K440" s="5" t="s">
        <v>2640</v>
      </c>
      <c r="L440" s="5" t="s">
        <v>2641</v>
      </c>
      <c r="M440" s="5" t="s">
        <v>8</v>
      </c>
      <c r="N440" s="5" t="s">
        <v>80</v>
      </c>
      <c r="O440" s="5" t="str">
        <f>IF(B440="","",IFERROR(LOOKUP(2,1/('Call Log'!$C$2:$C$5000=B440),'Call Log'!$B$2:$B$5000),""))</f>
        <v/>
      </c>
      <c r="P440" s="5">
        <f>IF(B440="","",COUNTIFS('Call Log'!$C$2:$C$5000,B440,'Call Log'!$A$2:$A$5000,"&gt;="&amp;(TODAY()-WEEKDAY(TODAY(),2)+1)))</f>
        <v>0</v>
      </c>
      <c r="Q440" s="5">
        <f>IF(B440="","",COUNTIF('Call Log'!$C$2:$C$5000,B440))</f>
        <v>0</v>
      </c>
      <c r="R440" s="21" t="str">
        <f>IF(B440="","",IFERROR(IF(MAXIFS('Call Log'!$A$2:$A$5000,'Call Log'!$C$2:$C$5000,B440)=0,"",MAXIFS('Call Log'!$A$2:$A$5000,'Call Log'!$C$2:$C$5000,B440)),""))</f>
        <v/>
      </c>
      <c r="S440" s="5"/>
      <c r="T440" s="21"/>
      <c r="U440" s="21"/>
      <c r="V440" s="5"/>
      <c r="W440" s="20"/>
      <c r="X440" s="5"/>
      <c r="Y440" s="5"/>
      <c r="Z440" s="5" t="s">
        <v>132</v>
      </c>
      <c r="AA440" s="5" t="s">
        <v>2642</v>
      </c>
    </row>
    <row r="441" ht="15.0" customHeight="1">
      <c r="A441" s="5" t="s">
        <v>2643</v>
      </c>
      <c r="B441" s="5" t="s">
        <v>2644</v>
      </c>
      <c r="C441" s="5" t="s">
        <v>2645</v>
      </c>
      <c r="D441" s="5"/>
      <c r="E441" s="5"/>
      <c r="F441" s="20"/>
      <c r="G441" s="20"/>
      <c r="H441" s="5" t="s">
        <v>40</v>
      </c>
      <c r="I441" s="5" t="s">
        <v>865</v>
      </c>
      <c r="J441" s="5" t="s">
        <v>114</v>
      </c>
      <c r="K441" s="5" t="s">
        <v>2646</v>
      </c>
      <c r="L441" s="5"/>
      <c r="M441" s="5" t="s">
        <v>8</v>
      </c>
      <c r="N441" s="5" t="s">
        <v>80</v>
      </c>
      <c r="O441" s="5" t="str">
        <f>IF(B441="","",IFERROR(LOOKUP(2,1/('Call Log'!$C$2:$C$5000=B441),'Call Log'!$B$2:$B$5000),""))</f>
        <v/>
      </c>
      <c r="P441" s="5">
        <f>IF(B441="","",COUNTIFS('Call Log'!$C$2:$C$5000,B441,'Call Log'!$A$2:$A$5000,"&gt;="&amp;(TODAY()-WEEKDAY(TODAY(),2)+1)))</f>
        <v>0</v>
      </c>
      <c r="Q441" s="5">
        <f>IF(B441="","",COUNTIF('Call Log'!$C$2:$C$5000,B441))</f>
        <v>0</v>
      </c>
      <c r="R441" s="21" t="str">
        <f>IF(B441="","",IFERROR(IF(MAXIFS('Call Log'!$A$2:$A$5000,'Call Log'!$C$2:$C$5000,B441)=0,"",MAXIFS('Call Log'!$A$2:$A$5000,'Call Log'!$C$2:$C$5000,B441)),""))</f>
        <v/>
      </c>
      <c r="S441" s="5"/>
      <c r="T441" s="21"/>
      <c r="U441" s="21"/>
      <c r="V441" s="5"/>
      <c r="W441" s="20"/>
      <c r="X441" s="5"/>
      <c r="Y441" s="5"/>
      <c r="Z441" s="5" t="s">
        <v>132</v>
      </c>
      <c r="AA441" s="5" t="s">
        <v>2647</v>
      </c>
    </row>
    <row r="442" ht="15.0" customHeight="1">
      <c r="A442" s="5" t="s">
        <v>2648</v>
      </c>
      <c r="B442" s="5" t="s">
        <v>2649</v>
      </c>
      <c r="C442" s="5" t="s">
        <v>2650</v>
      </c>
      <c r="D442" s="5"/>
      <c r="E442" s="5"/>
      <c r="F442" s="20"/>
      <c r="G442" s="20"/>
      <c r="H442" s="5" t="s">
        <v>40</v>
      </c>
      <c r="I442" s="5" t="s">
        <v>1744</v>
      </c>
      <c r="J442" s="5" t="s">
        <v>114</v>
      </c>
      <c r="K442" s="5" t="s">
        <v>2651</v>
      </c>
      <c r="L442" s="5"/>
      <c r="M442" s="5" t="s">
        <v>8</v>
      </c>
      <c r="N442" s="5" t="s">
        <v>80</v>
      </c>
      <c r="O442" s="5" t="str">
        <f>IF(B442="","",IFERROR(LOOKUP(2,1/('Call Log'!$C$2:$C$5000=B442),'Call Log'!$B$2:$B$5000),""))</f>
        <v/>
      </c>
      <c r="P442" s="5">
        <f>IF(B442="","",COUNTIFS('Call Log'!$C$2:$C$5000,B442,'Call Log'!$A$2:$A$5000,"&gt;="&amp;(TODAY()-WEEKDAY(TODAY(),2)+1)))</f>
        <v>0</v>
      </c>
      <c r="Q442" s="5">
        <f>IF(B442="","",COUNTIF('Call Log'!$C$2:$C$5000,B442))</f>
        <v>0</v>
      </c>
      <c r="R442" s="21" t="str">
        <f>IF(B442="","",IFERROR(IF(MAXIFS('Call Log'!$A$2:$A$5000,'Call Log'!$C$2:$C$5000,B442)=0,"",MAXIFS('Call Log'!$A$2:$A$5000,'Call Log'!$C$2:$C$5000,B442)),""))</f>
        <v/>
      </c>
      <c r="S442" s="5"/>
      <c r="T442" s="21"/>
      <c r="U442" s="21"/>
      <c r="V442" s="5"/>
      <c r="W442" s="20"/>
      <c r="X442" s="5"/>
      <c r="Y442" s="5"/>
      <c r="Z442" s="5" t="s">
        <v>132</v>
      </c>
      <c r="AA442" s="5" t="s">
        <v>2652</v>
      </c>
    </row>
    <row r="443" ht="15.0" customHeight="1">
      <c r="A443" s="5" t="s">
        <v>2653</v>
      </c>
      <c r="B443" s="5" t="s">
        <v>2654</v>
      </c>
      <c r="C443" s="5" t="s">
        <v>2655</v>
      </c>
      <c r="D443" s="5"/>
      <c r="E443" s="5"/>
      <c r="F443" s="20"/>
      <c r="G443" s="20"/>
      <c r="H443" s="5" t="s">
        <v>41</v>
      </c>
      <c r="I443" s="5" t="s">
        <v>129</v>
      </c>
      <c r="J443" s="5" t="s">
        <v>114</v>
      </c>
      <c r="K443" s="5" t="s">
        <v>2656</v>
      </c>
      <c r="L443" s="5"/>
      <c r="M443" s="5" t="s">
        <v>8</v>
      </c>
      <c r="N443" s="5" t="s">
        <v>80</v>
      </c>
      <c r="O443" s="5" t="str">
        <f>IF(B443="","",IFERROR(LOOKUP(2,1/('Call Log'!$C$2:$C$5000=B443),'Call Log'!$B$2:$B$5000),""))</f>
        <v/>
      </c>
      <c r="P443" s="5">
        <f>IF(B443="","",COUNTIFS('Call Log'!$C$2:$C$5000,B443,'Call Log'!$A$2:$A$5000,"&gt;="&amp;(TODAY()-WEEKDAY(TODAY(),2)+1)))</f>
        <v>0</v>
      </c>
      <c r="Q443" s="5">
        <f>IF(B443="","",COUNTIF('Call Log'!$C$2:$C$5000,B443))</f>
        <v>0</v>
      </c>
      <c r="R443" s="21" t="str">
        <f>IF(B443="","",IFERROR(IF(MAXIFS('Call Log'!$A$2:$A$5000,'Call Log'!$C$2:$C$5000,B443)=0,"",MAXIFS('Call Log'!$A$2:$A$5000,'Call Log'!$C$2:$C$5000,B443)),""))</f>
        <v/>
      </c>
      <c r="S443" s="5"/>
      <c r="T443" s="21"/>
      <c r="U443" s="21"/>
      <c r="V443" s="5"/>
      <c r="W443" s="20"/>
      <c r="X443" s="5"/>
      <c r="Y443" s="5"/>
      <c r="Z443" s="5" t="s">
        <v>132</v>
      </c>
      <c r="AA443" s="5" t="s">
        <v>2657</v>
      </c>
    </row>
    <row r="444" ht="15.0" customHeight="1">
      <c r="A444" s="5" t="s">
        <v>2658</v>
      </c>
      <c r="B444" s="5" t="s">
        <v>2659</v>
      </c>
      <c r="C444" s="5" t="s">
        <v>2660</v>
      </c>
      <c r="D444" s="5"/>
      <c r="E444" s="5"/>
      <c r="F444" s="20"/>
      <c r="G444" s="20"/>
      <c r="H444" s="5" t="s">
        <v>40</v>
      </c>
      <c r="I444" s="5" t="s">
        <v>622</v>
      </c>
      <c r="J444" s="5" t="s">
        <v>114</v>
      </c>
      <c r="K444" s="5" t="s">
        <v>2661</v>
      </c>
      <c r="L444" s="5"/>
      <c r="M444" s="5" t="s">
        <v>8</v>
      </c>
      <c r="N444" s="5" t="s">
        <v>80</v>
      </c>
      <c r="O444" s="5" t="str">
        <f>IF(B444="","",IFERROR(LOOKUP(2,1/('Call Log'!$C$2:$C$5000=B444),'Call Log'!$B$2:$B$5000),""))</f>
        <v/>
      </c>
      <c r="P444" s="5">
        <f>IF(B444="","",COUNTIFS('Call Log'!$C$2:$C$5000,B444,'Call Log'!$A$2:$A$5000,"&gt;="&amp;(TODAY()-WEEKDAY(TODAY(),2)+1)))</f>
        <v>0</v>
      </c>
      <c r="Q444" s="5">
        <f>IF(B444="","",COUNTIF('Call Log'!$C$2:$C$5000,B444))</f>
        <v>0</v>
      </c>
      <c r="R444" s="21" t="str">
        <f>IF(B444="","",IFERROR(IF(MAXIFS('Call Log'!$A$2:$A$5000,'Call Log'!$C$2:$C$5000,B444)=0,"",MAXIFS('Call Log'!$A$2:$A$5000,'Call Log'!$C$2:$C$5000,B444)),""))</f>
        <v/>
      </c>
      <c r="S444" s="5"/>
      <c r="T444" s="21"/>
      <c r="U444" s="21"/>
      <c r="V444" s="5"/>
      <c r="W444" s="20"/>
      <c r="X444" s="5"/>
      <c r="Y444" s="5"/>
      <c r="Z444" s="5" t="s">
        <v>132</v>
      </c>
      <c r="AA444" s="5" t="s">
        <v>2662</v>
      </c>
    </row>
    <row r="445" ht="15.0" customHeight="1">
      <c r="A445" s="5" t="s">
        <v>2663</v>
      </c>
      <c r="B445" s="5" t="s">
        <v>2664</v>
      </c>
      <c r="C445" s="5" t="s">
        <v>2665</v>
      </c>
      <c r="D445" s="5"/>
      <c r="E445" s="5">
        <v>1.0</v>
      </c>
      <c r="F445" s="20"/>
      <c r="G445" s="20"/>
      <c r="H445" s="5" t="s">
        <v>40</v>
      </c>
      <c r="I445" s="5" t="s">
        <v>857</v>
      </c>
      <c r="J445" s="5" t="s">
        <v>114</v>
      </c>
      <c r="K445" s="5" t="s">
        <v>2666</v>
      </c>
      <c r="L445" s="5"/>
      <c r="M445" s="5" t="s">
        <v>8</v>
      </c>
      <c r="N445" s="5" t="s">
        <v>80</v>
      </c>
      <c r="O445" s="5" t="str">
        <f>IF(B445="","",IFERROR(LOOKUP(2,1/('Call Log'!$C$2:$C$5000=B445),'Call Log'!$B$2:$B$5000),""))</f>
        <v/>
      </c>
      <c r="P445" s="5">
        <f>IF(B445="","",COUNTIFS('Call Log'!$C$2:$C$5000,B445,'Call Log'!$A$2:$A$5000,"&gt;="&amp;(TODAY()-WEEKDAY(TODAY(),2)+1)))</f>
        <v>0</v>
      </c>
      <c r="Q445" s="5">
        <f>IF(B445="","",COUNTIF('Call Log'!$C$2:$C$5000,B445))</f>
        <v>0</v>
      </c>
      <c r="R445" s="21" t="str">
        <f>IF(B445="","",IFERROR(IF(MAXIFS('Call Log'!$A$2:$A$5000,'Call Log'!$C$2:$C$5000,B445)=0,"",MAXIFS('Call Log'!$A$2:$A$5000,'Call Log'!$C$2:$C$5000,B445)),""))</f>
        <v/>
      </c>
      <c r="S445" s="5"/>
      <c r="T445" s="21"/>
      <c r="U445" s="21"/>
      <c r="V445" s="5"/>
      <c r="W445" s="20"/>
      <c r="X445" s="5"/>
      <c r="Y445" s="5"/>
      <c r="Z445" s="5" t="s">
        <v>132</v>
      </c>
      <c r="AA445" s="5" t="s">
        <v>2667</v>
      </c>
    </row>
    <row r="446" ht="15.0" customHeight="1">
      <c r="A446" s="5" t="s">
        <v>2668</v>
      </c>
      <c r="B446" s="5" t="s">
        <v>2669</v>
      </c>
      <c r="C446" s="5" t="s">
        <v>2670</v>
      </c>
      <c r="D446" s="5"/>
      <c r="E446" s="5"/>
      <c r="F446" s="20"/>
      <c r="G446" s="20"/>
      <c r="H446" s="5" t="s">
        <v>41</v>
      </c>
      <c r="I446" s="5" t="s">
        <v>129</v>
      </c>
      <c r="J446" s="5" t="s">
        <v>114</v>
      </c>
      <c r="K446" s="5" t="s">
        <v>2671</v>
      </c>
      <c r="L446" s="5" t="s">
        <v>2672</v>
      </c>
      <c r="M446" s="5" t="s">
        <v>8</v>
      </c>
      <c r="N446" s="5" t="s">
        <v>80</v>
      </c>
      <c r="O446" s="5" t="str">
        <f>IF(B446="","",IFERROR(LOOKUP(2,1/('Call Log'!$C$2:$C$5000=B446),'Call Log'!$B$2:$B$5000),""))</f>
        <v/>
      </c>
      <c r="P446" s="5">
        <f>IF(B446="","",COUNTIFS('Call Log'!$C$2:$C$5000,B446,'Call Log'!$A$2:$A$5000,"&gt;="&amp;(TODAY()-WEEKDAY(TODAY(),2)+1)))</f>
        <v>0</v>
      </c>
      <c r="Q446" s="5">
        <f>IF(B446="","",COUNTIF('Call Log'!$C$2:$C$5000,B446))</f>
        <v>0</v>
      </c>
      <c r="R446" s="21" t="str">
        <f>IF(B446="","",IFERROR(IF(MAXIFS('Call Log'!$A$2:$A$5000,'Call Log'!$C$2:$C$5000,B446)=0,"",MAXIFS('Call Log'!$A$2:$A$5000,'Call Log'!$C$2:$C$5000,B446)),""))</f>
        <v/>
      </c>
      <c r="S446" s="5"/>
      <c r="T446" s="21"/>
      <c r="U446" s="21"/>
      <c r="V446" s="5"/>
      <c r="W446" s="20"/>
      <c r="X446" s="5"/>
      <c r="Y446" s="5"/>
      <c r="Z446" s="5" t="s">
        <v>132</v>
      </c>
      <c r="AA446" s="5" t="s">
        <v>2673</v>
      </c>
    </row>
    <row r="447" ht="15.0" customHeight="1">
      <c r="A447" s="5" t="s">
        <v>2674</v>
      </c>
      <c r="B447" s="5" t="s">
        <v>2675</v>
      </c>
      <c r="C447" s="5" t="s">
        <v>2676</v>
      </c>
      <c r="D447" s="5"/>
      <c r="E447" s="5"/>
      <c r="F447" s="20"/>
      <c r="G447" s="20"/>
      <c r="H447" s="5" t="s">
        <v>40</v>
      </c>
      <c r="I447" s="5" t="s">
        <v>175</v>
      </c>
      <c r="J447" s="5" t="s">
        <v>114</v>
      </c>
      <c r="K447" s="5" t="s">
        <v>2677</v>
      </c>
      <c r="L447" s="5"/>
      <c r="M447" s="5" t="s">
        <v>8</v>
      </c>
      <c r="N447" s="5" t="s">
        <v>80</v>
      </c>
      <c r="O447" s="5" t="str">
        <f>IF(B447="","",IFERROR(LOOKUP(2,1/('Call Log'!$C$2:$C$5000=B447),'Call Log'!$B$2:$B$5000),""))</f>
        <v/>
      </c>
      <c r="P447" s="5">
        <f>IF(B447="","",COUNTIFS('Call Log'!$C$2:$C$5000,B447,'Call Log'!$A$2:$A$5000,"&gt;="&amp;(TODAY()-WEEKDAY(TODAY(),2)+1)))</f>
        <v>0</v>
      </c>
      <c r="Q447" s="5">
        <f>IF(B447="","",COUNTIF('Call Log'!$C$2:$C$5000,B447))</f>
        <v>0</v>
      </c>
      <c r="R447" s="21" t="str">
        <f>IF(B447="","",IFERROR(IF(MAXIFS('Call Log'!$A$2:$A$5000,'Call Log'!$C$2:$C$5000,B447)=0,"",MAXIFS('Call Log'!$A$2:$A$5000,'Call Log'!$C$2:$C$5000,B447)),""))</f>
        <v/>
      </c>
      <c r="S447" s="5"/>
      <c r="T447" s="21"/>
      <c r="U447" s="21"/>
      <c r="V447" s="5"/>
      <c r="W447" s="20"/>
      <c r="X447" s="5"/>
      <c r="Y447" s="5"/>
      <c r="Z447" s="5" t="s">
        <v>132</v>
      </c>
      <c r="AA447" s="5" t="s">
        <v>2678</v>
      </c>
    </row>
    <row r="448" ht="15.0" customHeight="1">
      <c r="A448" s="5" t="s">
        <v>2679</v>
      </c>
      <c r="B448" s="5" t="s">
        <v>2680</v>
      </c>
      <c r="C448" s="5" t="s">
        <v>2681</v>
      </c>
      <c r="D448" s="5"/>
      <c r="E448" s="5"/>
      <c r="F448" s="20"/>
      <c r="G448" s="20"/>
      <c r="H448" s="5" t="s">
        <v>43</v>
      </c>
      <c r="I448" s="5" t="s">
        <v>198</v>
      </c>
      <c r="J448" s="5" t="s">
        <v>114</v>
      </c>
      <c r="K448" s="5" t="s">
        <v>2682</v>
      </c>
      <c r="L448" s="5"/>
      <c r="M448" s="5" t="s">
        <v>8</v>
      </c>
      <c r="N448" s="5" t="s">
        <v>80</v>
      </c>
      <c r="O448" s="5" t="str">
        <f>IF(B448="","",IFERROR(LOOKUP(2,1/('Call Log'!$C$2:$C$5000=B448),'Call Log'!$B$2:$B$5000),""))</f>
        <v/>
      </c>
      <c r="P448" s="5">
        <f>IF(B448="","",COUNTIFS('Call Log'!$C$2:$C$5000,B448,'Call Log'!$A$2:$A$5000,"&gt;="&amp;(TODAY()-WEEKDAY(TODAY(),2)+1)))</f>
        <v>0</v>
      </c>
      <c r="Q448" s="5">
        <f>IF(B448="","",COUNTIF('Call Log'!$C$2:$C$5000,B448))</f>
        <v>0</v>
      </c>
      <c r="R448" s="21" t="str">
        <f>IF(B448="","",IFERROR(IF(MAXIFS('Call Log'!$A$2:$A$5000,'Call Log'!$C$2:$C$5000,B448)=0,"",MAXIFS('Call Log'!$A$2:$A$5000,'Call Log'!$C$2:$C$5000,B448)),""))</f>
        <v/>
      </c>
      <c r="S448" s="5"/>
      <c r="T448" s="21"/>
      <c r="U448" s="21"/>
      <c r="V448" s="5"/>
      <c r="W448" s="20"/>
      <c r="X448" s="5"/>
      <c r="Y448" s="5"/>
      <c r="Z448" s="5" t="s">
        <v>132</v>
      </c>
      <c r="AA448" s="5" t="s">
        <v>2683</v>
      </c>
    </row>
    <row r="449" ht="15.0" customHeight="1">
      <c r="A449" s="5" t="s">
        <v>2684</v>
      </c>
      <c r="B449" s="5" t="s">
        <v>2685</v>
      </c>
      <c r="C449" s="5" t="s">
        <v>2686</v>
      </c>
      <c r="D449" s="5"/>
      <c r="E449" s="5"/>
      <c r="F449" s="20"/>
      <c r="G449" s="20"/>
      <c r="H449" s="5" t="s">
        <v>41</v>
      </c>
      <c r="I449" s="5" t="s">
        <v>175</v>
      </c>
      <c r="J449" s="5" t="s">
        <v>114</v>
      </c>
      <c r="K449" s="5" t="s">
        <v>2687</v>
      </c>
      <c r="L449" s="5"/>
      <c r="M449" s="5" t="s">
        <v>8</v>
      </c>
      <c r="N449" s="5" t="s">
        <v>80</v>
      </c>
      <c r="O449" s="5" t="str">
        <f>IF(B449="","",IFERROR(LOOKUP(2,1/('Call Log'!$C$2:$C$5000=B449),'Call Log'!$B$2:$B$5000),""))</f>
        <v/>
      </c>
      <c r="P449" s="5">
        <f>IF(B449="","",COUNTIFS('Call Log'!$C$2:$C$5000,B449,'Call Log'!$A$2:$A$5000,"&gt;="&amp;(TODAY()-WEEKDAY(TODAY(),2)+1)))</f>
        <v>0</v>
      </c>
      <c r="Q449" s="5">
        <f>IF(B449="","",COUNTIF('Call Log'!$C$2:$C$5000,B449))</f>
        <v>0</v>
      </c>
      <c r="R449" s="21" t="str">
        <f>IF(B449="","",IFERROR(IF(MAXIFS('Call Log'!$A$2:$A$5000,'Call Log'!$C$2:$C$5000,B449)=0,"",MAXIFS('Call Log'!$A$2:$A$5000,'Call Log'!$C$2:$C$5000,B449)),""))</f>
        <v/>
      </c>
      <c r="S449" s="5"/>
      <c r="T449" s="21"/>
      <c r="U449" s="21"/>
      <c r="V449" s="5"/>
      <c r="W449" s="20"/>
      <c r="X449" s="5"/>
      <c r="Y449" s="5"/>
      <c r="Z449" s="5" t="s">
        <v>178</v>
      </c>
      <c r="AA449" s="5" t="s">
        <v>2688</v>
      </c>
    </row>
    <row r="450" ht="15.0" customHeight="1">
      <c r="A450" s="5" t="s">
        <v>2689</v>
      </c>
      <c r="B450" s="5" t="s">
        <v>2690</v>
      </c>
      <c r="C450" s="5" t="s">
        <v>2691</v>
      </c>
      <c r="D450" s="5"/>
      <c r="E450" s="5"/>
      <c r="F450" s="20"/>
      <c r="G450" s="20"/>
      <c r="H450" s="5" t="s">
        <v>41</v>
      </c>
      <c r="I450" s="5" t="s">
        <v>2692</v>
      </c>
      <c r="J450" s="5" t="s">
        <v>114</v>
      </c>
      <c r="K450" s="5" t="s">
        <v>2693</v>
      </c>
      <c r="L450" s="5" t="s">
        <v>2694</v>
      </c>
      <c r="M450" s="5" t="s">
        <v>8</v>
      </c>
      <c r="N450" s="5" t="s">
        <v>80</v>
      </c>
      <c r="O450" s="5" t="str">
        <f>IF(B450="","",IFERROR(LOOKUP(2,1/('Call Log'!$C$2:$C$5000=B450),'Call Log'!$B$2:$B$5000),""))</f>
        <v/>
      </c>
      <c r="P450" s="5">
        <f>IF(B450="","",COUNTIFS('Call Log'!$C$2:$C$5000,B450,'Call Log'!$A$2:$A$5000,"&gt;="&amp;(TODAY()-WEEKDAY(TODAY(),2)+1)))</f>
        <v>0</v>
      </c>
      <c r="Q450" s="5">
        <f>IF(B450="","",COUNTIF('Call Log'!$C$2:$C$5000,B450))</f>
        <v>0</v>
      </c>
      <c r="R450" s="21" t="str">
        <f>IF(B450="","",IFERROR(IF(MAXIFS('Call Log'!$A$2:$A$5000,'Call Log'!$C$2:$C$5000,B450)=0,"",MAXIFS('Call Log'!$A$2:$A$5000,'Call Log'!$C$2:$C$5000,B450)),""))</f>
        <v/>
      </c>
      <c r="S450" s="5"/>
      <c r="T450" s="21"/>
      <c r="U450" s="21"/>
      <c r="V450" s="5"/>
      <c r="W450" s="20"/>
      <c r="X450" s="5"/>
      <c r="Y450" s="5"/>
      <c r="Z450" s="5" t="s">
        <v>132</v>
      </c>
      <c r="AA450" s="5" t="s">
        <v>2695</v>
      </c>
    </row>
    <row r="451" ht="15.0" customHeight="1">
      <c r="A451" s="5" t="s">
        <v>2696</v>
      </c>
      <c r="B451" s="5" t="s">
        <v>2697</v>
      </c>
      <c r="C451" s="5" t="s">
        <v>2698</v>
      </c>
      <c r="D451" s="5"/>
      <c r="E451" s="5"/>
      <c r="F451" s="20"/>
      <c r="G451" s="20"/>
      <c r="H451" s="5" t="s">
        <v>41</v>
      </c>
      <c r="I451" s="5" t="s">
        <v>2699</v>
      </c>
      <c r="J451" s="5" t="s">
        <v>114</v>
      </c>
      <c r="K451" s="5" t="s">
        <v>2700</v>
      </c>
      <c r="L451" s="5"/>
      <c r="M451" s="5" t="s">
        <v>8</v>
      </c>
      <c r="N451" s="5" t="s">
        <v>80</v>
      </c>
      <c r="O451" s="5" t="str">
        <f>IF(B451="","",IFERROR(LOOKUP(2,1/('Call Log'!$C$2:$C$5000=B451),'Call Log'!$B$2:$B$5000),""))</f>
        <v/>
      </c>
      <c r="P451" s="5">
        <f>IF(B451="","",COUNTIFS('Call Log'!$C$2:$C$5000,B451,'Call Log'!$A$2:$A$5000,"&gt;="&amp;(TODAY()-WEEKDAY(TODAY(),2)+1)))</f>
        <v>0</v>
      </c>
      <c r="Q451" s="5">
        <f>IF(B451="","",COUNTIF('Call Log'!$C$2:$C$5000,B451))</f>
        <v>0</v>
      </c>
      <c r="R451" s="21" t="str">
        <f>IF(B451="","",IFERROR(IF(MAXIFS('Call Log'!$A$2:$A$5000,'Call Log'!$C$2:$C$5000,B451)=0,"",MAXIFS('Call Log'!$A$2:$A$5000,'Call Log'!$C$2:$C$5000,B451)),""))</f>
        <v/>
      </c>
      <c r="S451" s="5"/>
      <c r="T451" s="21"/>
      <c r="U451" s="21"/>
      <c r="V451" s="5"/>
      <c r="W451" s="20"/>
      <c r="X451" s="5"/>
      <c r="Y451" s="5"/>
      <c r="Z451" s="5" t="s">
        <v>132</v>
      </c>
      <c r="AA451" s="5" t="s">
        <v>2701</v>
      </c>
    </row>
    <row r="452" ht="15.0" customHeight="1">
      <c r="A452" s="5" t="s">
        <v>2702</v>
      </c>
      <c r="B452" s="5" t="s">
        <v>2703</v>
      </c>
      <c r="C452" s="5" t="s">
        <v>2704</v>
      </c>
      <c r="D452" s="5"/>
      <c r="E452" s="5"/>
      <c r="F452" s="20"/>
      <c r="G452" s="20"/>
      <c r="H452" s="5" t="s">
        <v>41</v>
      </c>
      <c r="I452" s="5" t="s">
        <v>161</v>
      </c>
      <c r="J452" s="5" t="s">
        <v>114</v>
      </c>
      <c r="K452" s="5" t="s">
        <v>2705</v>
      </c>
      <c r="L452" s="5"/>
      <c r="M452" s="5" t="s">
        <v>8</v>
      </c>
      <c r="N452" s="5" t="s">
        <v>80</v>
      </c>
      <c r="O452" s="5" t="str">
        <f>IF(B452="","",IFERROR(LOOKUP(2,1/('Call Log'!$C$2:$C$5000=B452),'Call Log'!$B$2:$B$5000),""))</f>
        <v/>
      </c>
      <c r="P452" s="5">
        <f>IF(B452="","",COUNTIFS('Call Log'!$C$2:$C$5000,B452,'Call Log'!$A$2:$A$5000,"&gt;="&amp;(TODAY()-WEEKDAY(TODAY(),2)+1)))</f>
        <v>0</v>
      </c>
      <c r="Q452" s="5">
        <f>IF(B452="","",COUNTIF('Call Log'!$C$2:$C$5000,B452))</f>
        <v>0</v>
      </c>
      <c r="R452" s="21" t="str">
        <f>IF(B452="","",IFERROR(IF(MAXIFS('Call Log'!$A$2:$A$5000,'Call Log'!$C$2:$C$5000,B452)=0,"",MAXIFS('Call Log'!$A$2:$A$5000,'Call Log'!$C$2:$C$5000,B452)),""))</f>
        <v/>
      </c>
      <c r="S452" s="5"/>
      <c r="T452" s="21"/>
      <c r="U452" s="21"/>
      <c r="V452" s="5"/>
      <c r="W452" s="20"/>
      <c r="X452" s="5"/>
      <c r="Y452" s="5"/>
      <c r="Z452" s="5" t="s">
        <v>132</v>
      </c>
      <c r="AA452" s="5" t="s">
        <v>2706</v>
      </c>
    </row>
    <row r="453" ht="15.0" customHeight="1">
      <c r="A453" s="5" t="s">
        <v>2707</v>
      </c>
      <c r="B453" s="5" t="s">
        <v>2708</v>
      </c>
      <c r="C453" s="5" t="s">
        <v>2709</v>
      </c>
      <c r="D453" s="5"/>
      <c r="E453" s="5"/>
      <c r="F453" s="20"/>
      <c r="G453" s="20"/>
      <c r="H453" s="5" t="s">
        <v>40</v>
      </c>
      <c r="I453" s="5" t="s">
        <v>370</v>
      </c>
      <c r="J453" s="5" t="s">
        <v>114</v>
      </c>
      <c r="K453" s="5" t="s">
        <v>2710</v>
      </c>
      <c r="L453" s="5"/>
      <c r="M453" s="5" t="s">
        <v>8</v>
      </c>
      <c r="N453" s="5" t="s">
        <v>80</v>
      </c>
      <c r="O453" s="5" t="str">
        <f>IF(B453="","",IFERROR(LOOKUP(2,1/('Call Log'!$C$2:$C$5000=B453),'Call Log'!$B$2:$B$5000),""))</f>
        <v/>
      </c>
      <c r="P453" s="5">
        <f>IF(B453="","",COUNTIFS('Call Log'!$C$2:$C$5000,B453,'Call Log'!$A$2:$A$5000,"&gt;="&amp;(TODAY()-WEEKDAY(TODAY(),2)+1)))</f>
        <v>0</v>
      </c>
      <c r="Q453" s="5">
        <f>IF(B453="","",COUNTIF('Call Log'!$C$2:$C$5000,B453))</f>
        <v>0</v>
      </c>
      <c r="R453" s="21" t="str">
        <f>IF(B453="","",IFERROR(IF(MAXIFS('Call Log'!$A$2:$A$5000,'Call Log'!$C$2:$C$5000,B453)=0,"",MAXIFS('Call Log'!$A$2:$A$5000,'Call Log'!$C$2:$C$5000,B453)),""))</f>
        <v/>
      </c>
      <c r="S453" s="5"/>
      <c r="T453" s="21"/>
      <c r="U453" s="21"/>
      <c r="V453" s="5"/>
      <c r="W453" s="20"/>
      <c r="X453" s="5"/>
      <c r="Y453" s="5"/>
      <c r="Z453" s="5" t="s">
        <v>178</v>
      </c>
      <c r="AA453" s="5" t="s">
        <v>2711</v>
      </c>
    </row>
    <row r="454" ht="15.0" customHeight="1">
      <c r="A454" s="5" t="s">
        <v>2712</v>
      </c>
      <c r="B454" s="5" t="s">
        <v>2713</v>
      </c>
      <c r="C454" s="5" t="s">
        <v>2714</v>
      </c>
      <c r="D454" s="5"/>
      <c r="E454" s="5">
        <v>2.0</v>
      </c>
      <c r="F454" s="20"/>
      <c r="G454" s="20"/>
      <c r="H454" s="5" t="s">
        <v>40</v>
      </c>
      <c r="I454" s="5" t="s">
        <v>129</v>
      </c>
      <c r="J454" s="5" t="s">
        <v>114</v>
      </c>
      <c r="K454" s="5" t="s">
        <v>2715</v>
      </c>
      <c r="L454" s="5"/>
      <c r="M454" s="5" t="s">
        <v>8</v>
      </c>
      <c r="N454" s="5" t="s">
        <v>80</v>
      </c>
      <c r="O454" s="5" t="str">
        <f>IF(B454="","",IFERROR(LOOKUP(2,1/('Call Log'!$C$2:$C$5000=B454),'Call Log'!$B$2:$B$5000),""))</f>
        <v/>
      </c>
      <c r="P454" s="5">
        <f>IF(B454="","",COUNTIFS('Call Log'!$C$2:$C$5000,B454,'Call Log'!$A$2:$A$5000,"&gt;="&amp;(TODAY()-WEEKDAY(TODAY(),2)+1)))</f>
        <v>0</v>
      </c>
      <c r="Q454" s="5">
        <f>IF(B454="","",COUNTIF('Call Log'!$C$2:$C$5000,B454))</f>
        <v>0</v>
      </c>
      <c r="R454" s="21" t="str">
        <f>IF(B454="","",IFERROR(IF(MAXIFS('Call Log'!$A$2:$A$5000,'Call Log'!$C$2:$C$5000,B454)=0,"",MAXIFS('Call Log'!$A$2:$A$5000,'Call Log'!$C$2:$C$5000,B454)),""))</f>
        <v/>
      </c>
      <c r="S454" s="5"/>
      <c r="T454" s="21"/>
      <c r="U454" s="21"/>
      <c r="V454" s="5"/>
      <c r="W454" s="20"/>
      <c r="X454" s="5"/>
      <c r="Y454" s="5"/>
      <c r="Z454" s="5" t="s">
        <v>132</v>
      </c>
      <c r="AA454" s="5" t="s">
        <v>2716</v>
      </c>
    </row>
    <row r="455" ht="15.0" customHeight="1">
      <c r="A455" s="5" t="s">
        <v>2717</v>
      </c>
      <c r="B455" s="5" t="s">
        <v>2718</v>
      </c>
      <c r="C455" s="5" t="s">
        <v>2719</v>
      </c>
      <c r="D455" s="5"/>
      <c r="E455" s="5"/>
      <c r="F455" s="20"/>
      <c r="G455" s="20"/>
      <c r="H455" s="5" t="s">
        <v>40</v>
      </c>
      <c r="I455" s="5" t="s">
        <v>370</v>
      </c>
      <c r="J455" s="5" t="s">
        <v>114</v>
      </c>
      <c r="K455" s="5" t="s">
        <v>2720</v>
      </c>
      <c r="L455" s="5"/>
      <c r="M455" s="5" t="s">
        <v>8</v>
      </c>
      <c r="N455" s="5" t="s">
        <v>80</v>
      </c>
      <c r="O455" s="5" t="str">
        <f>IF(B455="","",IFERROR(LOOKUP(2,1/('Call Log'!$C$2:$C$5000=B455),'Call Log'!$B$2:$B$5000),""))</f>
        <v/>
      </c>
      <c r="P455" s="5">
        <f>IF(B455="","",COUNTIFS('Call Log'!$C$2:$C$5000,B455,'Call Log'!$A$2:$A$5000,"&gt;="&amp;(TODAY()-WEEKDAY(TODAY(),2)+1)))</f>
        <v>0</v>
      </c>
      <c r="Q455" s="5">
        <f>IF(B455="","",COUNTIF('Call Log'!$C$2:$C$5000,B455))</f>
        <v>0</v>
      </c>
      <c r="R455" s="21" t="str">
        <f>IF(B455="","",IFERROR(IF(MAXIFS('Call Log'!$A$2:$A$5000,'Call Log'!$C$2:$C$5000,B455)=0,"",MAXIFS('Call Log'!$A$2:$A$5000,'Call Log'!$C$2:$C$5000,B455)),""))</f>
        <v/>
      </c>
      <c r="S455" s="5"/>
      <c r="T455" s="21"/>
      <c r="U455" s="21"/>
      <c r="V455" s="5"/>
      <c r="W455" s="20"/>
      <c r="X455" s="5"/>
      <c r="Y455" s="5"/>
      <c r="Z455" s="5" t="s">
        <v>178</v>
      </c>
      <c r="AA455" s="5" t="s">
        <v>2721</v>
      </c>
    </row>
    <row r="456" ht="15.0" customHeight="1">
      <c r="A456" s="5" t="s">
        <v>2722</v>
      </c>
      <c r="B456" s="5" t="s">
        <v>2723</v>
      </c>
      <c r="C456" s="5" t="s">
        <v>2724</v>
      </c>
      <c r="D456" s="5"/>
      <c r="E456" s="5"/>
      <c r="F456" s="20"/>
      <c r="G456" s="20"/>
      <c r="H456" s="5" t="s">
        <v>41</v>
      </c>
      <c r="I456" s="5" t="s">
        <v>129</v>
      </c>
      <c r="J456" s="5" t="s">
        <v>114</v>
      </c>
      <c r="K456" s="5" t="s">
        <v>2725</v>
      </c>
      <c r="L456" s="5" t="s">
        <v>2726</v>
      </c>
      <c r="M456" s="5" t="s">
        <v>8</v>
      </c>
      <c r="N456" s="5" t="s">
        <v>80</v>
      </c>
      <c r="O456" s="5" t="str">
        <f>IF(B456="","",IFERROR(LOOKUP(2,1/('Call Log'!$C$2:$C$5000=B456),'Call Log'!$B$2:$B$5000),""))</f>
        <v/>
      </c>
      <c r="P456" s="5">
        <f>IF(B456="","",COUNTIFS('Call Log'!$C$2:$C$5000,B456,'Call Log'!$A$2:$A$5000,"&gt;="&amp;(TODAY()-WEEKDAY(TODAY(),2)+1)))</f>
        <v>0</v>
      </c>
      <c r="Q456" s="5">
        <f>IF(B456="","",COUNTIF('Call Log'!$C$2:$C$5000,B456))</f>
        <v>0</v>
      </c>
      <c r="R456" s="21" t="str">
        <f>IF(B456="","",IFERROR(IF(MAXIFS('Call Log'!$A$2:$A$5000,'Call Log'!$C$2:$C$5000,B456)=0,"",MAXIFS('Call Log'!$A$2:$A$5000,'Call Log'!$C$2:$C$5000,B456)),""))</f>
        <v/>
      </c>
      <c r="S456" s="5"/>
      <c r="T456" s="21"/>
      <c r="U456" s="21"/>
      <c r="V456" s="5"/>
      <c r="W456" s="20"/>
      <c r="X456" s="5"/>
      <c r="Y456" s="5"/>
      <c r="Z456" s="5" t="s">
        <v>132</v>
      </c>
      <c r="AA456" s="5" t="s">
        <v>2727</v>
      </c>
    </row>
    <row r="457" ht="15.0" customHeight="1">
      <c r="A457" s="5" t="s">
        <v>2728</v>
      </c>
      <c r="B457" s="5" t="s">
        <v>2729</v>
      </c>
      <c r="C457" s="5" t="s">
        <v>2730</v>
      </c>
      <c r="D457" s="5"/>
      <c r="E457" s="5">
        <v>2.0</v>
      </c>
      <c r="F457" s="20"/>
      <c r="G457" s="20"/>
      <c r="H457" s="5" t="s">
        <v>41</v>
      </c>
      <c r="I457" s="5" t="s">
        <v>904</v>
      </c>
      <c r="J457" s="5" t="s">
        <v>114</v>
      </c>
      <c r="K457" s="5" t="s">
        <v>2731</v>
      </c>
      <c r="L457" s="5" t="s">
        <v>2732</v>
      </c>
      <c r="M457" s="5" t="s">
        <v>8</v>
      </c>
      <c r="N457" s="5" t="s">
        <v>80</v>
      </c>
      <c r="O457" s="5" t="str">
        <f>IF(B457="","",IFERROR(LOOKUP(2,1/('Call Log'!$C$2:$C$5000=B457),'Call Log'!$B$2:$B$5000),""))</f>
        <v/>
      </c>
      <c r="P457" s="5">
        <f>IF(B457="","",COUNTIFS('Call Log'!$C$2:$C$5000,B457,'Call Log'!$A$2:$A$5000,"&gt;="&amp;(TODAY()-WEEKDAY(TODAY(),2)+1)))</f>
        <v>0</v>
      </c>
      <c r="Q457" s="5">
        <f>IF(B457="","",COUNTIF('Call Log'!$C$2:$C$5000,B457))</f>
        <v>0</v>
      </c>
      <c r="R457" s="21" t="str">
        <f>IF(B457="","",IFERROR(IF(MAXIFS('Call Log'!$A$2:$A$5000,'Call Log'!$C$2:$C$5000,B457)=0,"",MAXIFS('Call Log'!$A$2:$A$5000,'Call Log'!$C$2:$C$5000,B457)),""))</f>
        <v/>
      </c>
      <c r="S457" s="5"/>
      <c r="T457" s="21"/>
      <c r="U457" s="21"/>
      <c r="V457" s="5"/>
      <c r="W457" s="20"/>
      <c r="X457" s="5"/>
      <c r="Y457" s="5"/>
      <c r="Z457" s="5" t="s">
        <v>132</v>
      </c>
      <c r="AA457" s="5" t="s">
        <v>2733</v>
      </c>
    </row>
    <row r="458" ht="15.0" customHeight="1">
      <c r="A458" s="5" t="s">
        <v>2734</v>
      </c>
      <c r="B458" s="5" t="s">
        <v>2735</v>
      </c>
      <c r="C458" s="5" t="s">
        <v>2736</v>
      </c>
      <c r="D458" s="5"/>
      <c r="E458" s="5"/>
      <c r="F458" s="20"/>
      <c r="G458" s="20"/>
      <c r="H458" s="5" t="s">
        <v>40</v>
      </c>
      <c r="I458" s="5" t="s">
        <v>357</v>
      </c>
      <c r="J458" s="5" t="s">
        <v>114</v>
      </c>
      <c r="K458" s="5" t="s">
        <v>2737</v>
      </c>
      <c r="L458" s="5"/>
      <c r="M458" s="5" t="s">
        <v>8</v>
      </c>
      <c r="N458" s="5" t="s">
        <v>80</v>
      </c>
      <c r="O458" s="5" t="str">
        <f>IF(B458="","",IFERROR(LOOKUP(2,1/('Call Log'!$C$2:$C$5000=B458),'Call Log'!$B$2:$B$5000),""))</f>
        <v/>
      </c>
      <c r="P458" s="5">
        <f>IF(B458="","",COUNTIFS('Call Log'!$C$2:$C$5000,B458,'Call Log'!$A$2:$A$5000,"&gt;="&amp;(TODAY()-WEEKDAY(TODAY(),2)+1)))</f>
        <v>0</v>
      </c>
      <c r="Q458" s="5">
        <f>IF(B458="","",COUNTIF('Call Log'!$C$2:$C$5000,B458))</f>
        <v>0</v>
      </c>
      <c r="R458" s="21" t="str">
        <f>IF(B458="","",IFERROR(IF(MAXIFS('Call Log'!$A$2:$A$5000,'Call Log'!$C$2:$C$5000,B458)=0,"",MAXIFS('Call Log'!$A$2:$A$5000,'Call Log'!$C$2:$C$5000,B458)),""))</f>
        <v/>
      </c>
      <c r="S458" s="5"/>
      <c r="T458" s="21"/>
      <c r="U458" s="21"/>
      <c r="V458" s="5"/>
      <c r="W458" s="20"/>
      <c r="X458" s="5"/>
      <c r="Y458" s="5"/>
      <c r="Z458" s="5" t="s">
        <v>132</v>
      </c>
      <c r="AA458" s="5" t="s">
        <v>2738</v>
      </c>
    </row>
    <row r="459" ht="15.0" customHeight="1">
      <c r="A459" s="5" t="s">
        <v>2739</v>
      </c>
      <c r="B459" s="5" t="s">
        <v>2740</v>
      </c>
      <c r="C459" s="5" t="s">
        <v>2741</v>
      </c>
      <c r="D459" s="5"/>
      <c r="E459" s="5"/>
      <c r="F459" s="20"/>
      <c r="G459" s="20"/>
      <c r="H459" s="5" t="s">
        <v>40</v>
      </c>
      <c r="I459" s="5" t="s">
        <v>708</v>
      </c>
      <c r="J459" s="5" t="s">
        <v>114</v>
      </c>
      <c r="K459" s="5" t="s">
        <v>2742</v>
      </c>
      <c r="L459" s="5"/>
      <c r="M459" s="5" t="s">
        <v>8</v>
      </c>
      <c r="N459" s="5" t="s">
        <v>80</v>
      </c>
      <c r="O459" s="5" t="str">
        <f>IF(B459="","",IFERROR(LOOKUP(2,1/('Call Log'!$C$2:$C$5000=B459),'Call Log'!$B$2:$B$5000),""))</f>
        <v/>
      </c>
      <c r="P459" s="5">
        <f>IF(B459="","",COUNTIFS('Call Log'!$C$2:$C$5000,B459,'Call Log'!$A$2:$A$5000,"&gt;="&amp;(TODAY()-WEEKDAY(TODAY(),2)+1)))</f>
        <v>0</v>
      </c>
      <c r="Q459" s="5">
        <f>IF(B459="","",COUNTIF('Call Log'!$C$2:$C$5000,B459))</f>
        <v>0</v>
      </c>
      <c r="R459" s="21" t="str">
        <f>IF(B459="","",IFERROR(IF(MAXIFS('Call Log'!$A$2:$A$5000,'Call Log'!$C$2:$C$5000,B459)=0,"",MAXIFS('Call Log'!$A$2:$A$5000,'Call Log'!$C$2:$C$5000,B459)),""))</f>
        <v/>
      </c>
      <c r="S459" s="5"/>
      <c r="T459" s="21"/>
      <c r="U459" s="21"/>
      <c r="V459" s="5"/>
      <c r="W459" s="20"/>
      <c r="X459" s="5"/>
      <c r="Y459" s="5"/>
      <c r="Z459" s="5" t="s">
        <v>132</v>
      </c>
      <c r="AA459" s="5" t="s">
        <v>2743</v>
      </c>
    </row>
    <row r="460" ht="15.0" customHeight="1">
      <c r="A460" s="5" t="s">
        <v>2744</v>
      </c>
      <c r="B460" s="5" t="s">
        <v>2745</v>
      </c>
      <c r="C460" s="5" t="s">
        <v>2746</v>
      </c>
      <c r="D460" s="5"/>
      <c r="E460" s="5">
        <v>1.0</v>
      </c>
      <c r="F460" s="20"/>
      <c r="G460" s="20"/>
      <c r="H460" s="5" t="s">
        <v>41</v>
      </c>
      <c r="I460" s="5" t="s">
        <v>146</v>
      </c>
      <c r="J460" s="5" t="s">
        <v>114</v>
      </c>
      <c r="K460" s="5" t="s">
        <v>2747</v>
      </c>
      <c r="L460" s="5" t="s">
        <v>2748</v>
      </c>
      <c r="M460" s="5" t="s">
        <v>8</v>
      </c>
      <c r="N460" s="5" t="s">
        <v>80</v>
      </c>
      <c r="O460" s="5" t="str">
        <f>IF(B460="","",IFERROR(LOOKUP(2,1/('Call Log'!$C$2:$C$5000=B460),'Call Log'!$B$2:$B$5000),""))</f>
        <v/>
      </c>
      <c r="P460" s="5">
        <f>IF(B460="","",COUNTIFS('Call Log'!$C$2:$C$5000,B460,'Call Log'!$A$2:$A$5000,"&gt;="&amp;(TODAY()-WEEKDAY(TODAY(),2)+1)))</f>
        <v>0</v>
      </c>
      <c r="Q460" s="5">
        <f>IF(B460="","",COUNTIF('Call Log'!$C$2:$C$5000,B460))</f>
        <v>0</v>
      </c>
      <c r="R460" s="21" t="str">
        <f>IF(B460="","",IFERROR(IF(MAXIFS('Call Log'!$A$2:$A$5000,'Call Log'!$C$2:$C$5000,B460)=0,"",MAXIFS('Call Log'!$A$2:$A$5000,'Call Log'!$C$2:$C$5000,B460)),""))</f>
        <v/>
      </c>
      <c r="S460" s="5"/>
      <c r="T460" s="21"/>
      <c r="U460" s="21"/>
      <c r="V460" s="5"/>
      <c r="W460" s="20"/>
      <c r="X460" s="5"/>
      <c r="Y460" s="5"/>
      <c r="Z460" s="5" t="s">
        <v>132</v>
      </c>
      <c r="AA460" s="5" t="s">
        <v>2749</v>
      </c>
    </row>
    <row r="461" ht="15.0" customHeight="1">
      <c r="A461" s="5" t="s">
        <v>2750</v>
      </c>
      <c r="B461" s="5" t="s">
        <v>2751</v>
      </c>
      <c r="C461" s="5" t="s">
        <v>2752</v>
      </c>
      <c r="D461" s="5"/>
      <c r="E461" s="5"/>
      <c r="F461" s="20"/>
      <c r="G461" s="20"/>
      <c r="H461" s="5" t="s">
        <v>41</v>
      </c>
      <c r="I461" s="5" t="s">
        <v>206</v>
      </c>
      <c r="J461" s="5" t="s">
        <v>114</v>
      </c>
      <c r="K461" s="5" t="s">
        <v>2753</v>
      </c>
      <c r="L461" s="5"/>
      <c r="M461" s="5" t="s">
        <v>8</v>
      </c>
      <c r="N461" s="5" t="s">
        <v>80</v>
      </c>
      <c r="O461" s="5" t="str">
        <f>IF(B461="","",IFERROR(LOOKUP(2,1/('Call Log'!$C$2:$C$5000=B461),'Call Log'!$B$2:$B$5000),""))</f>
        <v/>
      </c>
      <c r="P461" s="5">
        <f>IF(B461="","",COUNTIFS('Call Log'!$C$2:$C$5000,B461,'Call Log'!$A$2:$A$5000,"&gt;="&amp;(TODAY()-WEEKDAY(TODAY(),2)+1)))</f>
        <v>0</v>
      </c>
      <c r="Q461" s="5">
        <f>IF(B461="","",COUNTIF('Call Log'!$C$2:$C$5000,B461))</f>
        <v>0</v>
      </c>
      <c r="R461" s="21" t="str">
        <f>IF(B461="","",IFERROR(IF(MAXIFS('Call Log'!$A$2:$A$5000,'Call Log'!$C$2:$C$5000,B461)=0,"",MAXIFS('Call Log'!$A$2:$A$5000,'Call Log'!$C$2:$C$5000,B461)),""))</f>
        <v/>
      </c>
      <c r="S461" s="5"/>
      <c r="T461" s="21"/>
      <c r="U461" s="21"/>
      <c r="V461" s="5"/>
      <c r="W461" s="20"/>
      <c r="X461" s="5"/>
      <c r="Y461" s="5"/>
      <c r="Z461" s="5" t="s">
        <v>132</v>
      </c>
      <c r="AA461" s="5" t="s">
        <v>2754</v>
      </c>
    </row>
    <row r="462" ht="15.0" customHeight="1">
      <c r="A462" s="5" t="s">
        <v>2755</v>
      </c>
      <c r="B462" s="5" t="s">
        <v>2756</v>
      </c>
      <c r="C462" s="5" t="s">
        <v>2757</v>
      </c>
      <c r="D462" s="5"/>
      <c r="E462" s="5">
        <v>1.0</v>
      </c>
      <c r="F462" s="20"/>
      <c r="G462" s="20"/>
      <c r="H462" s="5" t="s">
        <v>41</v>
      </c>
      <c r="I462" s="5" t="s">
        <v>161</v>
      </c>
      <c r="J462" s="5" t="s">
        <v>114</v>
      </c>
      <c r="K462" s="5" t="s">
        <v>2758</v>
      </c>
      <c r="L462" s="5" t="s">
        <v>2759</v>
      </c>
      <c r="M462" s="5" t="s">
        <v>8</v>
      </c>
      <c r="N462" s="5" t="s">
        <v>80</v>
      </c>
      <c r="O462" s="5" t="str">
        <f>IF(B462="","",IFERROR(LOOKUP(2,1/('Call Log'!$C$2:$C$5000=B462),'Call Log'!$B$2:$B$5000),""))</f>
        <v/>
      </c>
      <c r="P462" s="5">
        <f>IF(B462="","",COUNTIFS('Call Log'!$C$2:$C$5000,B462,'Call Log'!$A$2:$A$5000,"&gt;="&amp;(TODAY()-WEEKDAY(TODAY(),2)+1)))</f>
        <v>0</v>
      </c>
      <c r="Q462" s="5">
        <f>IF(B462="","",COUNTIF('Call Log'!$C$2:$C$5000,B462))</f>
        <v>0</v>
      </c>
      <c r="R462" s="21" t="str">
        <f>IF(B462="","",IFERROR(IF(MAXIFS('Call Log'!$A$2:$A$5000,'Call Log'!$C$2:$C$5000,B462)=0,"",MAXIFS('Call Log'!$A$2:$A$5000,'Call Log'!$C$2:$C$5000,B462)),""))</f>
        <v/>
      </c>
      <c r="S462" s="5"/>
      <c r="T462" s="21"/>
      <c r="U462" s="21"/>
      <c r="V462" s="5"/>
      <c r="W462" s="20"/>
      <c r="X462" s="5"/>
      <c r="Y462" s="5"/>
      <c r="Z462" s="5" t="s">
        <v>132</v>
      </c>
      <c r="AA462" s="5" t="s">
        <v>2760</v>
      </c>
    </row>
    <row r="463" ht="15.0" customHeight="1">
      <c r="A463" s="5" t="s">
        <v>2761</v>
      </c>
      <c r="B463" s="5" t="s">
        <v>2762</v>
      </c>
      <c r="C463" s="5" t="s">
        <v>2709</v>
      </c>
      <c r="D463" s="5"/>
      <c r="E463" s="5"/>
      <c r="F463" s="20"/>
      <c r="G463" s="20"/>
      <c r="H463" s="5" t="s">
        <v>41</v>
      </c>
      <c r="I463" s="5" t="s">
        <v>198</v>
      </c>
      <c r="J463" s="5" t="s">
        <v>114</v>
      </c>
      <c r="K463" s="5" t="s">
        <v>2763</v>
      </c>
      <c r="L463" s="5"/>
      <c r="M463" s="5" t="s">
        <v>8</v>
      </c>
      <c r="N463" s="5" t="s">
        <v>80</v>
      </c>
      <c r="O463" s="5" t="str">
        <f>IF(B463="","",IFERROR(LOOKUP(2,1/('Call Log'!$C$2:$C$5000=B463),'Call Log'!$B$2:$B$5000),""))</f>
        <v/>
      </c>
      <c r="P463" s="5">
        <f>IF(B463="","",COUNTIFS('Call Log'!$C$2:$C$5000,B463,'Call Log'!$A$2:$A$5000,"&gt;="&amp;(TODAY()-WEEKDAY(TODAY(),2)+1)))</f>
        <v>0</v>
      </c>
      <c r="Q463" s="5">
        <f>IF(B463="","",COUNTIF('Call Log'!$C$2:$C$5000,B463))</f>
        <v>0</v>
      </c>
      <c r="R463" s="21" t="str">
        <f>IF(B463="","",IFERROR(IF(MAXIFS('Call Log'!$A$2:$A$5000,'Call Log'!$C$2:$C$5000,B463)=0,"",MAXIFS('Call Log'!$A$2:$A$5000,'Call Log'!$C$2:$C$5000,B463)),""))</f>
        <v/>
      </c>
      <c r="S463" s="5"/>
      <c r="T463" s="21"/>
      <c r="U463" s="21"/>
      <c r="V463" s="5"/>
      <c r="W463" s="20"/>
      <c r="X463" s="5"/>
      <c r="Y463" s="5"/>
      <c r="Z463" s="5" t="s">
        <v>178</v>
      </c>
      <c r="AA463" s="5" t="s">
        <v>2711</v>
      </c>
    </row>
    <row r="464" ht="15.0" customHeight="1">
      <c r="A464" s="5" t="s">
        <v>2764</v>
      </c>
      <c r="B464" s="5" t="s">
        <v>2765</v>
      </c>
      <c r="C464" s="5" t="s">
        <v>2766</v>
      </c>
      <c r="D464" s="5"/>
      <c r="E464" s="5"/>
      <c r="F464" s="20"/>
      <c r="G464" s="20"/>
      <c r="H464" s="5" t="s">
        <v>40</v>
      </c>
      <c r="I464" s="5" t="s">
        <v>667</v>
      </c>
      <c r="J464" s="5" t="s">
        <v>114</v>
      </c>
      <c r="K464" s="5" t="s">
        <v>2767</v>
      </c>
      <c r="L464" s="5"/>
      <c r="M464" s="5" t="s">
        <v>8</v>
      </c>
      <c r="N464" s="5" t="s">
        <v>80</v>
      </c>
      <c r="O464" s="5" t="str">
        <f>IF(B464="","",IFERROR(LOOKUP(2,1/('Call Log'!$C$2:$C$5000=B464),'Call Log'!$B$2:$B$5000),""))</f>
        <v/>
      </c>
      <c r="P464" s="5">
        <f>IF(B464="","",COUNTIFS('Call Log'!$C$2:$C$5000,B464,'Call Log'!$A$2:$A$5000,"&gt;="&amp;(TODAY()-WEEKDAY(TODAY(),2)+1)))</f>
        <v>0</v>
      </c>
      <c r="Q464" s="5">
        <f>IF(B464="","",COUNTIF('Call Log'!$C$2:$C$5000,B464))</f>
        <v>0</v>
      </c>
      <c r="R464" s="21" t="str">
        <f>IF(B464="","",IFERROR(IF(MAXIFS('Call Log'!$A$2:$A$5000,'Call Log'!$C$2:$C$5000,B464)=0,"",MAXIFS('Call Log'!$A$2:$A$5000,'Call Log'!$C$2:$C$5000,B464)),""))</f>
        <v/>
      </c>
      <c r="S464" s="5"/>
      <c r="T464" s="21"/>
      <c r="U464" s="21"/>
      <c r="V464" s="5"/>
      <c r="W464" s="20"/>
      <c r="X464" s="5"/>
      <c r="Y464" s="5"/>
      <c r="Z464" s="5" t="s">
        <v>132</v>
      </c>
      <c r="AA464" s="5" t="s">
        <v>2768</v>
      </c>
    </row>
    <row r="465" ht="15.0" customHeight="1">
      <c r="A465" s="5" t="s">
        <v>2769</v>
      </c>
      <c r="B465" s="5" t="s">
        <v>2770</v>
      </c>
      <c r="C465" s="5" t="s">
        <v>2771</v>
      </c>
      <c r="D465" s="5"/>
      <c r="E465" s="5"/>
      <c r="F465" s="20"/>
      <c r="G465" s="20"/>
      <c r="H465" s="5" t="s">
        <v>41</v>
      </c>
      <c r="I465" s="5" t="s">
        <v>422</v>
      </c>
      <c r="J465" s="5" t="s">
        <v>114</v>
      </c>
      <c r="K465" s="5" t="s">
        <v>2772</v>
      </c>
      <c r="L465" s="5"/>
      <c r="M465" s="5" t="s">
        <v>8</v>
      </c>
      <c r="N465" s="5" t="s">
        <v>80</v>
      </c>
      <c r="O465" s="5" t="str">
        <f>IF(B465="","",IFERROR(LOOKUP(2,1/('Call Log'!$C$2:$C$5000=B465),'Call Log'!$B$2:$B$5000),""))</f>
        <v/>
      </c>
      <c r="P465" s="5">
        <f>IF(B465="","",COUNTIFS('Call Log'!$C$2:$C$5000,B465,'Call Log'!$A$2:$A$5000,"&gt;="&amp;(TODAY()-WEEKDAY(TODAY(),2)+1)))</f>
        <v>0</v>
      </c>
      <c r="Q465" s="5">
        <f>IF(B465="","",COUNTIF('Call Log'!$C$2:$C$5000,B465))</f>
        <v>0</v>
      </c>
      <c r="R465" s="21" t="str">
        <f>IF(B465="","",IFERROR(IF(MAXIFS('Call Log'!$A$2:$A$5000,'Call Log'!$C$2:$C$5000,B465)=0,"",MAXIFS('Call Log'!$A$2:$A$5000,'Call Log'!$C$2:$C$5000,B465)),""))</f>
        <v/>
      </c>
      <c r="S465" s="5"/>
      <c r="T465" s="21"/>
      <c r="U465" s="21"/>
      <c r="V465" s="5"/>
      <c r="W465" s="20"/>
      <c r="X465" s="5"/>
      <c r="Y465" s="5"/>
      <c r="Z465" s="5" t="s">
        <v>132</v>
      </c>
      <c r="AA465" s="5" t="s">
        <v>2773</v>
      </c>
    </row>
    <row r="466" ht="15.0" customHeight="1">
      <c r="A466" s="5" t="s">
        <v>2774</v>
      </c>
      <c r="B466" s="5" t="s">
        <v>2775</v>
      </c>
      <c r="C466" s="5" t="s">
        <v>2776</v>
      </c>
      <c r="D466" s="5"/>
      <c r="E466" s="5"/>
      <c r="F466" s="20"/>
      <c r="G466" s="20"/>
      <c r="H466" s="5" t="s">
        <v>40</v>
      </c>
      <c r="I466" s="5" t="s">
        <v>357</v>
      </c>
      <c r="J466" s="5" t="s">
        <v>114</v>
      </c>
      <c r="K466" s="5" t="s">
        <v>2777</v>
      </c>
      <c r="L466" s="5"/>
      <c r="M466" s="5" t="s">
        <v>8</v>
      </c>
      <c r="N466" s="5" t="s">
        <v>80</v>
      </c>
      <c r="O466" s="5" t="str">
        <f>IF(B466="","",IFERROR(LOOKUP(2,1/('Call Log'!$C$2:$C$5000=B466),'Call Log'!$B$2:$B$5000),""))</f>
        <v/>
      </c>
      <c r="P466" s="5">
        <f>IF(B466="","",COUNTIFS('Call Log'!$C$2:$C$5000,B466,'Call Log'!$A$2:$A$5000,"&gt;="&amp;(TODAY()-WEEKDAY(TODAY(),2)+1)))</f>
        <v>0</v>
      </c>
      <c r="Q466" s="5">
        <f>IF(B466="","",COUNTIF('Call Log'!$C$2:$C$5000,B466))</f>
        <v>0</v>
      </c>
      <c r="R466" s="21" t="str">
        <f>IF(B466="","",IFERROR(IF(MAXIFS('Call Log'!$A$2:$A$5000,'Call Log'!$C$2:$C$5000,B466)=0,"",MAXIFS('Call Log'!$A$2:$A$5000,'Call Log'!$C$2:$C$5000,B466)),""))</f>
        <v/>
      </c>
      <c r="S466" s="5"/>
      <c r="T466" s="21"/>
      <c r="U466" s="21"/>
      <c r="V466" s="5"/>
      <c r="W466" s="20"/>
      <c r="X466" s="5"/>
      <c r="Y466" s="5"/>
      <c r="Z466" s="5" t="s">
        <v>132</v>
      </c>
      <c r="AA466" s="5" t="s">
        <v>2778</v>
      </c>
    </row>
    <row r="467" ht="15.0" customHeight="1">
      <c r="A467" s="5" t="s">
        <v>2779</v>
      </c>
      <c r="B467" s="5" t="s">
        <v>2780</v>
      </c>
      <c r="C467" s="5" t="s">
        <v>2781</v>
      </c>
      <c r="D467" s="5"/>
      <c r="E467" s="5"/>
      <c r="F467" s="20"/>
      <c r="G467" s="20"/>
      <c r="H467" s="5" t="s">
        <v>41</v>
      </c>
      <c r="I467" s="5" t="s">
        <v>2059</v>
      </c>
      <c r="J467" s="5" t="s">
        <v>114</v>
      </c>
      <c r="K467" s="5" t="s">
        <v>2782</v>
      </c>
      <c r="L467" s="5"/>
      <c r="M467" s="5" t="s">
        <v>8</v>
      </c>
      <c r="N467" s="5" t="s">
        <v>80</v>
      </c>
      <c r="O467" s="5" t="str">
        <f>IF(B467="","",IFERROR(LOOKUP(2,1/('Call Log'!$C$2:$C$5000=B467),'Call Log'!$B$2:$B$5000),""))</f>
        <v/>
      </c>
      <c r="P467" s="5">
        <f>IF(B467="","",COUNTIFS('Call Log'!$C$2:$C$5000,B467,'Call Log'!$A$2:$A$5000,"&gt;="&amp;(TODAY()-WEEKDAY(TODAY(),2)+1)))</f>
        <v>0</v>
      </c>
      <c r="Q467" s="5">
        <f>IF(B467="","",COUNTIF('Call Log'!$C$2:$C$5000,B467))</f>
        <v>0</v>
      </c>
      <c r="R467" s="21" t="str">
        <f>IF(B467="","",IFERROR(IF(MAXIFS('Call Log'!$A$2:$A$5000,'Call Log'!$C$2:$C$5000,B467)=0,"",MAXIFS('Call Log'!$A$2:$A$5000,'Call Log'!$C$2:$C$5000,B467)),""))</f>
        <v/>
      </c>
      <c r="S467" s="5"/>
      <c r="T467" s="21"/>
      <c r="U467" s="21"/>
      <c r="V467" s="5"/>
      <c r="W467" s="20"/>
      <c r="X467" s="5"/>
      <c r="Y467" s="5"/>
      <c r="Z467" s="5" t="s">
        <v>132</v>
      </c>
      <c r="AA467" s="5" t="s">
        <v>2783</v>
      </c>
    </row>
    <row r="468" ht="15.0" customHeight="1">
      <c r="A468" s="5" t="s">
        <v>2784</v>
      </c>
      <c r="B468" s="5" t="s">
        <v>2785</v>
      </c>
      <c r="C468" s="5" t="s">
        <v>2786</v>
      </c>
      <c r="D468" s="5"/>
      <c r="E468" s="5"/>
      <c r="F468" s="20"/>
      <c r="G468" s="20"/>
      <c r="H468" s="5" t="s">
        <v>41</v>
      </c>
      <c r="I468" s="5" t="s">
        <v>231</v>
      </c>
      <c r="J468" s="5" t="s">
        <v>114</v>
      </c>
      <c r="K468" s="5" t="s">
        <v>2787</v>
      </c>
      <c r="L468" s="5"/>
      <c r="M468" s="5" t="s">
        <v>8</v>
      </c>
      <c r="N468" s="5" t="s">
        <v>80</v>
      </c>
      <c r="O468" s="5" t="str">
        <f>IF(B468="","",IFERROR(LOOKUP(2,1/('Call Log'!$C$2:$C$5000=B468),'Call Log'!$B$2:$B$5000),""))</f>
        <v/>
      </c>
      <c r="P468" s="5">
        <f>IF(B468="","",COUNTIFS('Call Log'!$C$2:$C$5000,B468,'Call Log'!$A$2:$A$5000,"&gt;="&amp;(TODAY()-WEEKDAY(TODAY(),2)+1)))</f>
        <v>0</v>
      </c>
      <c r="Q468" s="5">
        <f>IF(B468="","",COUNTIF('Call Log'!$C$2:$C$5000,B468))</f>
        <v>0</v>
      </c>
      <c r="R468" s="21" t="str">
        <f>IF(B468="","",IFERROR(IF(MAXIFS('Call Log'!$A$2:$A$5000,'Call Log'!$C$2:$C$5000,B468)=0,"",MAXIFS('Call Log'!$A$2:$A$5000,'Call Log'!$C$2:$C$5000,B468)),""))</f>
        <v/>
      </c>
      <c r="S468" s="5"/>
      <c r="T468" s="21"/>
      <c r="U468" s="21"/>
      <c r="V468" s="5"/>
      <c r="W468" s="20"/>
      <c r="X468" s="5"/>
      <c r="Y468" s="5"/>
      <c r="Z468" s="5" t="s">
        <v>132</v>
      </c>
      <c r="AA468" s="5" t="s">
        <v>2788</v>
      </c>
    </row>
    <row r="469" ht="15.0" customHeight="1">
      <c r="A469" s="5" t="s">
        <v>2789</v>
      </c>
      <c r="B469" s="5" t="s">
        <v>2790</v>
      </c>
      <c r="C469" s="5" t="s">
        <v>2791</v>
      </c>
      <c r="D469" s="5"/>
      <c r="E469" s="5"/>
      <c r="F469" s="20"/>
      <c r="G469" s="20"/>
      <c r="H469" s="5" t="s">
        <v>41</v>
      </c>
      <c r="I469" s="5" t="s">
        <v>154</v>
      </c>
      <c r="J469" s="5" t="s">
        <v>114</v>
      </c>
      <c r="K469" s="5" t="s">
        <v>2792</v>
      </c>
      <c r="L469" s="5"/>
      <c r="M469" s="5" t="s">
        <v>8</v>
      </c>
      <c r="N469" s="5" t="s">
        <v>80</v>
      </c>
      <c r="O469" s="5" t="str">
        <f>IF(B469="","",IFERROR(LOOKUP(2,1/('Call Log'!$C$2:$C$5000=B469),'Call Log'!$B$2:$B$5000),""))</f>
        <v/>
      </c>
      <c r="P469" s="5">
        <f>IF(B469="","",COUNTIFS('Call Log'!$C$2:$C$5000,B469,'Call Log'!$A$2:$A$5000,"&gt;="&amp;(TODAY()-WEEKDAY(TODAY(),2)+1)))</f>
        <v>0</v>
      </c>
      <c r="Q469" s="5">
        <f>IF(B469="","",COUNTIF('Call Log'!$C$2:$C$5000,B469))</f>
        <v>0</v>
      </c>
      <c r="R469" s="21" t="str">
        <f>IF(B469="","",IFERROR(IF(MAXIFS('Call Log'!$A$2:$A$5000,'Call Log'!$C$2:$C$5000,B469)=0,"",MAXIFS('Call Log'!$A$2:$A$5000,'Call Log'!$C$2:$C$5000,B469)),""))</f>
        <v/>
      </c>
      <c r="S469" s="5"/>
      <c r="T469" s="21"/>
      <c r="U469" s="21"/>
      <c r="V469" s="5"/>
      <c r="W469" s="20"/>
      <c r="X469" s="5"/>
      <c r="Y469" s="5"/>
      <c r="Z469" s="5" t="s">
        <v>132</v>
      </c>
      <c r="AA469" s="5" t="s">
        <v>2793</v>
      </c>
    </row>
    <row r="470" ht="15.0" customHeight="1">
      <c r="A470" s="5" t="s">
        <v>2794</v>
      </c>
      <c r="B470" s="5" t="s">
        <v>2795</v>
      </c>
      <c r="C470" s="5" t="s">
        <v>2796</v>
      </c>
      <c r="D470" s="5"/>
      <c r="E470" s="5"/>
      <c r="F470" s="20"/>
      <c r="G470" s="20"/>
      <c r="H470" s="5" t="s">
        <v>40</v>
      </c>
      <c r="I470" s="5" t="s">
        <v>357</v>
      </c>
      <c r="J470" s="5" t="s">
        <v>114</v>
      </c>
      <c r="K470" s="5" t="s">
        <v>2797</v>
      </c>
      <c r="L470" s="5"/>
      <c r="M470" s="5" t="s">
        <v>8</v>
      </c>
      <c r="N470" s="5" t="s">
        <v>80</v>
      </c>
      <c r="O470" s="5" t="str">
        <f>IF(B470="","",IFERROR(LOOKUP(2,1/('Call Log'!$C$2:$C$5000=B470),'Call Log'!$B$2:$B$5000),""))</f>
        <v/>
      </c>
      <c r="P470" s="5">
        <f>IF(B470="","",COUNTIFS('Call Log'!$C$2:$C$5000,B470,'Call Log'!$A$2:$A$5000,"&gt;="&amp;(TODAY()-WEEKDAY(TODAY(),2)+1)))</f>
        <v>0</v>
      </c>
      <c r="Q470" s="5">
        <f>IF(B470="","",COUNTIF('Call Log'!$C$2:$C$5000,B470))</f>
        <v>0</v>
      </c>
      <c r="R470" s="21" t="str">
        <f>IF(B470="","",IFERROR(IF(MAXIFS('Call Log'!$A$2:$A$5000,'Call Log'!$C$2:$C$5000,B470)=0,"",MAXIFS('Call Log'!$A$2:$A$5000,'Call Log'!$C$2:$C$5000,B470)),""))</f>
        <v/>
      </c>
      <c r="S470" s="5"/>
      <c r="T470" s="21"/>
      <c r="U470" s="21"/>
      <c r="V470" s="5"/>
      <c r="W470" s="20"/>
      <c r="X470" s="5"/>
      <c r="Y470" s="5"/>
      <c r="Z470" s="5" t="s">
        <v>132</v>
      </c>
      <c r="AA470" s="5" t="s">
        <v>2798</v>
      </c>
    </row>
    <row r="471" ht="15.0" customHeight="1">
      <c r="A471" s="5" t="s">
        <v>2799</v>
      </c>
      <c r="B471" s="5" t="s">
        <v>2800</v>
      </c>
      <c r="C471" s="5" t="s">
        <v>2801</v>
      </c>
      <c r="D471" s="5"/>
      <c r="E471" s="5"/>
      <c r="F471" s="20"/>
      <c r="G471" s="20"/>
      <c r="H471" s="5" t="s">
        <v>40</v>
      </c>
      <c r="I471" s="5" t="s">
        <v>547</v>
      </c>
      <c r="J471" s="5" t="s">
        <v>114</v>
      </c>
      <c r="K471" s="5" t="s">
        <v>2802</v>
      </c>
      <c r="L471" s="5" t="s">
        <v>2803</v>
      </c>
      <c r="M471" s="5" t="s">
        <v>8</v>
      </c>
      <c r="N471" s="5" t="s">
        <v>80</v>
      </c>
      <c r="O471" s="5" t="str">
        <f>IF(B471="","",IFERROR(LOOKUP(2,1/('Call Log'!$C$2:$C$5000=B471),'Call Log'!$B$2:$B$5000),""))</f>
        <v/>
      </c>
      <c r="P471" s="5">
        <f>IF(B471="","",COUNTIFS('Call Log'!$C$2:$C$5000,B471,'Call Log'!$A$2:$A$5000,"&gt;="&amp;(TODAY()-WEEKDAY(TODAY(),2)+1)))</f>
        <v>0</v>
      </c>
      <c r="Q471" s="5">
        <f>IF(B471="","",COUNTIF('Call Log'!$C$2:$C$5000,B471))</f>
        <v>0</v>
      </c>
      <c r="R471" s="21" t="str">
        <f>IF(B471="","",IFERROR(IF(MAXIFS('Call Log'!$A$2:$A$5000,'Call Log'!$C$2:$C$5000,B471)=0,"",MAXIFS('Call Log'!$A$2:$A$5000,'Call Log'!$C$2:$C$5000,B471)),""))</f>
        <v/>
      </c>
      <c r="S471" s="5"/>
      <c r="T471" s="21"/>
      <c r="U471" s="21"/>
      <c r="V471" s="5"/>
      <c r="W471" s="20"/>
      <c r="X471" s="5"/>
      <c r="Y471" s="5"/>
      <c r="Z471" s="5" t="s">
        <v>132</v>
      </c>
      <c r="AA471" s="5" t="s">
        <v>2804</v>
      </c>
    </row>
    <row r="472" ht="15.0" customHeight="1">
      <c r="A472" s="5" t="s">
        <v>2805</v>
      </c>
      <c r="B472" s="5" t="s">
        <v>2806</v>
      </c>
      <c r="C472" s="5" t="s">
        <v>2807</v>
      </c>
      <c r="D472" s="5"/>
      <c r="E472" s="5"/>
      <c r="F472" s="20"/>
      <c r="G472" s="20"/>
      <c r="H472" s="5" t="s">
        <v>41</v>
      </c>
      <c r="I472" s="5" t="s">
        <v>357</v>
      </c>
      <c r="J472" s="5" t="s">
        <v>114</v>
      </c>
      <c r="K472" s="5" t="s">
        <v>2808</v>
      </c>
      <c r="L472" s="5"/>
      <c r="M472" s="5" t="s">
        <v>8</v>
      </c>
      <c r="N472" s="5" t="s">
        <v>80</v>
      </c>
      <c r="O472" s="5" t="str">
        <f>IF(B472="","",IFERROR(LOOKUP(2,1/('Call Log'!$C$2:$C$5000=B472),'Call Log'!$B$2:$B$5000),""))</f>
        <v/>
      </c>
      <c r="P472" s="5">
        <f>IF(B472="","",COUNTIFS('Call Log'!$C$2:$C$5000,B472,'Call Log'!$A$2:$A$5000,"&gt;="&amp;(TODAY()-WEEKDAY(TODAY(),2)+1)))</f>
        <v>0</v>
      </c>
      <c r="Q472" s="5">
        <f>IF(B472="","",COUNTIF('Call Log'!$C$2:$C$5000,B472))</f>
        <v>0</v>
      </c>
      <c r="R472" s="21" t="str">
        <f>IF(B472="","",IFERROR(IF(MAXIFS('Call Log'!$A$2:$A$5000,'Call Log'!$C$2:$C$5000,B472)=0,"",MAXIFS('Call Log'!$A$2:$A$5000,'Call Log'!$C$2:$C$5000,B472)),""))</f>
        <v/>
      </c>
      <c r="S472" s="5"/>
      <c r="T472" s="21"/>
      <c r="U472" s="21"/>
      <c r="V472" s="5"/>
      <c r="W472" s="20"/>
      <c r="X472" s="5"/>
      <c r="Y472" s="5"/>
      <c r="Z472" s="5" t="s">
        <v>132</v>
      </c>
      <c r="AA472" s="5" t="s">
        <v>2809</v>
      </c>
    </row>
    <row r="473" ht="15.0" customHeight="1">
      <c r="A473" s="5" t="s">
        <v>2810</v>
      </c>
      <c r="B473" s="5" t="s">
        <v>2811</v>
      </c>
      <c r="C473" s="5" t="s">
        <v>2812</v>
      </c>
      <c r="D473" s="5"/>
      <c r="E473" s="5"/>
      <c r="F473" s="20"/>
      <c r="G473" s="20"/>
      <c r="H473" s="5" t="s">
        <v>40</v>
      </c>
      <c r="I473" s="5" t="s">
        <v>2536</v>
      </c>
      <c r="J473" s="5" t="s">
        <v>114</v>
      </c>
      <c r="K473" s="5" t="s">
        <v>2813</v>
      </c>
      <c r="L473" s="5"/>
      <c r="M473" s="5" t="s">
        <v>8</v>
      </c>
      <c r="N473" s="5" t="s">
        <v>80</v>
      </c>
      <c r="O473" s="5" t="str">
        <f>IF(B473="","",IFERROR(LOOKUP(2,1/('Call Log'!$C$2:$C$5000=B473),'Call Log'!$B$2:$B$5000),""))</f>
        <v/>
      </c>
      <c r="P473" s="5">
        <f>IF(B473="","",COUNTIFS('Call Log'!$C$2:$C$5000,B473,'Call Log'!$A$2:$A$5000,"&gt;="&amp;(TODAY()-WEEKDAY(TODAY(),2)+1)))</f>
        <v>0</v>
      </c>
      <c r="Q473" s="5">
        <f>IF(B473="","",COUNTIF('Call Log'!$C$2:$C$5000,B473))</f>
        <v>0</v>
      </c>
      <c r="R473" s="21" t="str">
        <f>IF(B473="","",IFERROR(IF(MAXIFS('Call Log'!$A$2:$A$5000,'Call Log'!$C$2:$C$5000,B473)=0,"",MAXIFS('Call Log'!$A$2:$A$5000,'Call Log'!$C$2:$C$5000,B473)),""))</f>
        <v/>
      </c>
      <c r="S473" s="5"/>
      <c r="T473" s="21"/>
      <c r="U473" s="21"/>
      <c r="V473" s="5"/>
      <c r="W473" s="20"/>
      <c r="X473" s="5"/>
      <c r="Y473" s="5"/>
      <c r="Z473" s="5" t="s">
        <v>132</v>
      </c>
      <c r="AA473" s="5" t="s">
        <v>2814</v>
      </c>
    </row>
    <row r="474" ht="15.0" customHeight="1">
      <c r="A474" s="5" t="s">
        <v>2815</v>
      </c>
      <c r="B474" s="5" t="s">
        <v>2816</v>
      </c>
      <c r="C474" s="5" t="s">
        <v>2817</v>
      </c>
      <c r="D474" s="5"/>
      <c r="E474" s="5"/>
      <c r="F474" s="20"/>
      <c r="G474" s="20"/>
      <c r="H474" s="5" t="s">
        <v>40</v>
      </c>
      <c r="I474" s="5" t="s">
        <v>129</v>
      </c>
      <c r="J474" s="5" t="s">
        <v>114</v>
      </c>
      <c r="K474" s="5" t="s">
        <v>2818</v>
      </c>
      <c r="L474" s="5"/>
      <c r="M474" s="5" t="s">
        <v>8</v>
      </c>
      <c r="N474" s="5" t="s">
        <v>80</v>
      </c>
      <c r="O474" s="5" t="str">
        <f>IF(B474="","",IFERROR(LOOKUP(2,1/('Call Log'!$C$2:$C$5000=B474),'Call Log'!$B$2:$B$5000),""))</f>
        <v/>
      </c>
      <c r="P474" s="5">
        <f>IF(B474="","",COUNTIFS('Call Log'!$C$2:$C$5000,B474,'Call Log'!$A$2:$A$5000,"&gt;="&amp;(TODAY()-WEEKDAY(TODAY(),2)+1)))</f>
        <v>0</v>
      </c>
      <c r="Q474" s="5">
        <f>IF(B474="","",COUNTIF('Call Log'!$C$2:$C$5000,B474))</f>
        <v>0</v>
      </c>
      <c r="R474" s="21" t="str">
        <f>IF(B474="","",IFERROR(IF(MAXIFS('Call Log'!$A$2:$A$5000,'Call Log'!$C$2:$C$5000,B474)=0,"",MAXIFS('Call Log'!$A$2:$A$5000,'Call Log'!$C$2:$C$5000,B474)),""))</f>
        <v/>
      </c>
      <c r="S474" s="5"/>
      <c r="T474" s="21"/>
      <c r="U474" s="21"/>
      <c r="V474" s="5"/>
      <c r="W474" s="20"/>
      <c r="X474" s="5"/>
      <c r="Y474" s="5"/>
      <c r="Z474" s="5" t="s">
        <v>132</v>
      </c>
      <c r="AA474" s="5" t="s">
        <v>2819</v>
      </c>
    </row>
    <row r="475" ht="15.0" customHeight="1">
      <c r="A475" s="5" t="s">
        <v>2820</v>
      </c>
      <c r="B475" s="5" t="s">
        <v>2821</v>
      </c>
      <c r="C475" s="5" t="s">
        <v>2822</v>
      </c>
      <c r="D475" s="5"/>
      <c r="E475" s="5"/>
      <c r="F475" s="20"/>
      <c r="G475" s="20"/>
      <c r="H475" s="5" t="s">
        <v>40</v>
      </c>
      <c r="I475" s="5" t="s">
        <v>1055</v>
      </c>
      <c r="J475" s="5" t="s">
        <v>114</v>
      </c>
      <c r="K475" s="5" t="s">
        <v>2823</v>
      </c>
      <c r="L475" s="5" t="s">
        <v>2824</v>
      </c>
      <c r="M475" s="5" t="s">
        <v>8</v>
      </c>
      <c r="N475" s="5" t="s">
        <v>80</v>
      </c>
      <c r="O475" s="5" t="str">
        <f>IF(B475="","",IFERROR(LOOKUP(2,1/('Call Log'!$C$2:$C$5000=B475),'Call Log'!$B$2:$B$5000),""))</f>
        <v/>
      </c>
      <c r="P475" s="5">
        <f>IF(B475="","",COUNTIFS('Call Log'!$C$2:$C$5000,B475,'Call Log'!$A$2:$A$5000,"&gt;="&amp;(TODAY()-WEEKDAY(TODAY(),2)+1)))</f>
        <v>0</v>
      </c>
      <c r="Q475" s="5">
        <f>IF(B475="","",COUNTIF('Call Log'!$C$2:$C$5000,B475))</f>
        <v>0</v>
      </c>
      <c r="R475" s="21" t="str">
        <f>IF(B475="","",IFERROR(IF(MAXIFS('Call Log'!$A$2:$A$5000,'Call Log'!$C$2:$C$5000,B475)=0,"",MAXIFS('Call Log'!$A$2:$A$5000,'Call Log'!$C$2:$C$5000,B475)),""))</f>
        <v/>
      </c>
      <c r="S475" s="5"/>
      <c r="T475" s="21"/>
      <c r="U475" s="21"/>
      <c r="V475" s="5"/>
      <c r="W475" s="20"/>
      <c r="X475" s="5"/>
      <c r="Y475" s="5"/>
      <c r="Z475" s="5" t="s">
        <v>132</v>
      </c>
      <c r="AA475" s="5" t="s">
        <v>2825</v>
      </c>
    </row>
    <row r="476" ht="15.0" customHeight="1">
      <c r="A476" s="5" t="s">
        <v>2826</v>
      </c>
      <c r="B476" s="5" t="s">
        <v>2827</v>
      </c>
      <c r="C476" s="5" t="s">
        <v>2828</v>
      </c>
      <c r="D476" s="5"/>
      <c r="E476" s="5"/>
      <c r="F476" s="20"/>
      <c r="G476" s="20"/>
      <c r="H476" s="5" t="s">
        <v>40</v>
      </c>
      <c r="I476" s="5" t="s">
        <v>622</v>
      </c>
      <c r="J476" s="5" t="s">
        <v>114</v>
      </c>
      <c r="K476" s="5" t="s">
        <v>2829</v>
      </c>
      <c r="L476" s="5"/>
      <c r="M476" s="5" t="s">
        <v>8</v>
      </c>
      <c r="N476" s="5" t="s">
        <v>80</v>
      </c>
      <c r="O476" s="5" t="str">
        <f>IF(B476="","",IFERROR(LOOKUP(2,1/('Call Log'!$C$2:$C$5000=B476),'Call Log'!$B$2:$B$5000),""))</f>
        <v/>
      </c>
      <c r="P476" s="5">
        <f>IF(B476="","",COUNTIFS('Call Log'!$C$2:$C$5000,B476,'Call Log'!$A$2:$A$5000,"&gt;="&amp;(TODAY()-WEEKDAY(TODAY(),2)+1)))</f>
        <v>0</v>
      </c>
      <c r="Q476" s="5">
        <f>IF(B476="","",COUNTIF('Call Log'!$C$2:$C$5000,B476))</f>
        <v>0</v>
      </c>
      <c r="R476" s="21" t="str">
        <f>IF(B476="","",IFERROR(IF(MAXIFS('Call Log'!$A$2:$A$5000,'Call Log'!$C$2:$C$5000,B476)=0,"",MAXIFS('Call Log'!$A$2:$A$5000,'Call Log'!$C$2:$C$5000,B476)),""))</f>
        <v/>
      </c>
      <c r="S476" s="5"/>
      <c r="T476" s="21"/>
      <c r="U476" s="21"/>
      <c r="V476" s="5"/>
      <c r="W476" s="20"/>
      <c r="X476" s="5"/>
      <c r="Y476" s="5"/>
      <c r="Z476" s="5" t="s">
        <v>132</v>
      </c>
      <c r="AA476" s="5" t="s">
        <v>2830</v>
      </c>
    </row>
    <row r="477" ht="15.0" customHeight="1">
      <c r="A477" s="5" t="s">
        <v>2831</v>
      </c>
      <c r="B477" s="5" t="s">
        <v>2832</v>
      </c>
      <c r="C477" s="5" t="s">
        <v>2833</v>
      </c>
      <c r="D477" s="5"/>
      <c r="E477" s="5"/>
      <c r="F477" s="20"/>
      <c r="G477" s="20"/>
      <c r="H477" s="5" t="s">
        <v>41</v>
      </c>
      <c r="I477" s="5" t="s">
        <v>857</v>
      </c>
      <c r="J477" s="5" t="s">
        <v>114</v>
      </c>
      <c r="K477" s="5" t="s">
        <v>2834</v>
      </c>
      <c r="L477" s="5"/>
      <c r="M477" s="5" t="s">
        <v>8</v>
      </c>
      <c r="N477" s="5" t="s">
        <v>80</v>
      </c>
      <c r="O477" s="5" t="str">
        <f>IF(B477="","",IFERROR(LOOKUP(2,1/('Call Log'!$C$2:$C$5000=B477),'Call Log'!$B$2:$B$5000),""))</f>
        <v/>
      </c>
      <c r="P477" s="5">
        <f>IF(B477="","",COUNTIFS('Call Log'!$C$2:$C$5000,B477,'Call Log'!$A$2:$A$5000,"&gt;="&amp;(TODAY()-WEEKDAY(TODAY(),2)+1)))</f>
        <v>0</v>
      </c>
      <c r="Q477" s="5">
        <f>IF(B477="","",COUNTIF('Call Log'!$C$2:$C$5000,B477))</f>
        <v>0</v>
      </c>
      <c r="R477" s="21" t="str">
        <f>IF(B477="","",IFERROR(IF(MAXIFS('Call Log'!$A$2:$A$5000,'Call Log'!$C$2:$C$5000,B477)=0,"",MAXIFS('Call Log'!$A$2:$A$5000,'Call Log'!$C$2:$C$5000,B477)),""))</f>
        <v/>
      </c>
      <c r="S477" s="5"/>
      <c r="T477" s="21"/>
      <c r="U477" s="21"/>
      <c r="V477" s="5"/>
      <c r="W477" s="20"/>
      <c r="X477" s="5"/>
      <c r="Y477" s="5"/>
      <c r="Z477" s="5" t="s">
        <v>132</v>
      </c>
      <c r="AA477" s="5" t="s">
        <v>2835</v>
      </c>
    </row>
    <row r="478" ht="15.0" customHeight="1">
      <c r="A478" s="5" t="s">
        <v>2836</v>
      </c>
      <c r="B478" s="5" t="s">
        <v>2837</v>
      </c>
      <c r="C478" s="5" t="s">
        <v>2838</v>
      </c>
      <c r="D478" s="5"/>
      <c r="E478" s="5"/>
      <c r="F478" s="20"/>
      <c r="G478" s="20"/>
      <c r="H478" s="5" t="s">
        <v>40</v>
      </c>
      <c r="I478" s="5" t="s">
        <v>2059</v>
      </c>
      <c r="J478" s="5" t="s">
        <v>114</v>
      </c>
      <c r="K478" s="5" t="s">
        <v>2839</v>
      </c>
      <c r="L478" s="5" t="s">
        <v>2840</v>
      </c>
      <c r="M478" s="5" t="s">
        <v>8</v>
      </c>
      <c r="N478" s="5" t="s">
        <v>80</v>
      </c>
      <c r="O478" s="5" t="str">
        <f>IF(B478="","",IFERROR(LOOKUP(2,1/('Call Log'!$C$2:$C$5000=B478),'Call Log'!$B$2:$B$5000),""))</f>
        <v/>
      </c>
      <c r="P478" s="5">
        <f>IF(B478="","",COUNTIFS('Call Log'!$C$2:$C$5000,B478,'Call Log'!$A$2:$A$5000,"&gt;="&amp;(TODAY()-WEEKDAY(TODAY(),2)+1)))</f>
        <v>0</v>
      </c>
      <c r="Q478" s="5">
        <f>IF(B478="","",COUNTIF('Call Log'!$C$2:$C$5000,B478))</f>
        <v>0</v>
      </c>
      <c r="R478" s="21" t="str">
        <f>IF(B478="","",IFERROR(IF(MAXIFS('Call Log'!$A$2:$A$5000,'Call Log'!$C$2:$C$5000,B478)=0,"",MAXIFS('Call Log'!$A$2:$A$5000,'Call Log'!$C$2:$C$5000,B478)),""))</f>
        <v/>
      </c>
      <c r="S478" s="5"/>
      <c r="T478" s="21"/>
      <c r="U478" s="21"/>
      <c r="V478" s="5"/>
      <c r="W478" s="20"/>
      <c r="X478" s="5"/>
      <c r="Y478" s="5"/>
      <c r="Z478" s="5" t="s">
        <v>132</v>
      </c>
      <c r="AA478" s="5" t="s">
        <v>2841</v>
      </c>
    </row>
    <row r="479" ht="15.0" customHeight="1">
      <c r="A479" s="5" t="s">
        <v>2842</v>
      </c>
      <c r="B479" s="5" t="s">
        <v>2843</v>
      </c>
      <c r="C479" s="5" t="s">
        <v>2844</v>
      </c>
      <c r="D479" s="5"/>
      <c r="E479" s="5"/>
      <c r="F479" s="20"/>
      <c r="G479" s="20"/>
      <c r="H479" s="5" t="s">
        <v>40</v>
      </c>
      <c r="I479" s="5" t="s">
        <v>1320</v>
      </c>
      <c r="J479" s="5" t="s">
        <v>114</v>
      </c>
      <c r="K479" s="5" t="s">
        <v>2845</v>
      </c>
      <c r="L479" s="5"/>
      <c r="M479" s="5" t="s">
        <v>8</v>
      </c>
      <c r="N479" s="5" t="s">
        <v>80</v>
      </c>
      <c r="O479" s="5" t="str">
        <f>IF(B479="","",IFERROR(LOOKUP(2,1/('Call Log'!$C$2:$C$5000=B479),'Call Log'!$B$2:$B$5000),""))</f>
        <v/>
      </c>
      <c r="P479" s="5">
        <f>IF(B479="","",COUNTIFS('Call Log'!$C$2:$C$5000,B479,'Call Log'!$A$2:$A$5000,"&gt;="&amp;(TODAY()-WEEKDAY(TODAY(),2)+1)))</f>
        <v>0</v>
      </c>
      <c r="Q479" s="5">
        <f>IF(B479="","",COUNTIF('Call Log'!$C$2:$C$5000,B479))</f>
        <v>0</v>
      </c>
      <c r="R479" s="21" t="str">
        <f>IF(B479="","",IFERROR(IF(MAXIFS('Call Log'!$A$2:$A$5000,'Call Log'!$C$2:$C$5000,B479)=0,"",MAXIFS('Call Log'!$A$2:$A$5000,'Call Log'!$C$2:$C$5000,B479)),""))</f>
        <v/>
      </c>
      <c r="S479" s="5"/>
      <c r="T479" s="21"/>
      <c r="U479" s="21"/>
      <c r="V479" s="5"/>
      <c r="W479" s="20"/>
      <c r="X479" s="5"/>
      <c r="Y479" s="5"/>
      <c r="Z479" s="5" t="s">
        <v>132</v>
      </c>
      <c r="AA479" s="5" t="s">
        <v>2846</v>
      </c>
    </row>
    <row r="480" ht="15.0" customHeight="1">
      <c r="A480" s="5" t="s">
        <v>2847</v>
      </c>
      <c r="B480" s="5" t="s">
        <v>2848</v>
      </c>
      <c r="C480" s="5" t="s">
        <v>2849</v>
      </c>
      <c r="D480" s="5"/>
      <c r="E480" s="5">
        <v>1.0</v>
      </c>
      <c r="F480" s="20"/>
      <c r="G480" s="20"/>
      <c r="H480" s="5" t="s">
        <v>41</v>
      </c>
      <c r="I480" s="5" t="s">
        <v>146</v>
      </c>
      <c r="J480" s="5" t="s">
        <v>114</v>
      </c>
      <c r="K480" s="5" t="s">
        <v>2850</v>
      </c>
      <c r="L480" s="5"/>
      <c r="M480" s="5" t="s">
        <v>8</v>
      </c>
      <c r="N480" s="5" t="s">
        <v>80</v>
      </c>
      <c r="O480" s="5" t="str">
        <f>IF(B480="","",IFERROR(LOOKUP(2,1/('Call Log'!$C$2:$C$5000=B480),'Call Log'!$B$2:$B$5000),""))</f>
        <v/>
      </c>
      <c r="P480" s="5">
        <f>IF(B480="","",COUNTIFS('Call Log'!$C$2:$C$5000,B480,'Call Log'!$A$2:$A$5000,"&gt;="&amp;(TODAY()-WEEKDAY(TODAY(),2)+1)))</f>
        <v>0</v>
      </c>
      <c r="Q480" s="5">
        <f>IF(B480="","",COUNTIF('Call Log'!$C$2:$C$5000,B480))</f>
        <v>0</v>
      </c>
      <c r="R480" s="21" t="str">
        <f>IF(B480="","",IFERROR(IF(MAXIFS('Call Log'!$A$2:$A$5000,'Call Log'!$C$2:$C$5000,B480)=0,"",MAXIFS('Call Log'!$A$2:$A$5000,'Call Log'!$C$2:$C$5000,B480)),""))</f>
        <v/>
      </c>
      <c r="S480" s="5"/>
      <c r="T480" s="21"/>
      <c r="U480" s="21"/>
      <c r="V480" s="5"/>
      <c r="W480" s="20"/>
      <c r="X480" s="5"/>
      <c r="Y480" s="5"/>
      <c r="Z480" s="5" t="s">
        <v>132</v>
      </c>
      <c r="AA480" s="5" t="s">
        <v>2851</v>
      </c>
    </row>
    <row r="481" ht="15.0" customHeight="1">
      <c r="A481" s="5" t="s">
        <v>2852</v>
      </c>
      <c r="B481" s="5" t="s">
        <v>2853</v>
      </c>
      <c r="C481" s="5" t="s">
        <v>2854</v>
      </c>
      <c r="D481" s="5"/>
      <c r="E481" s="5"/>
      <c r="F481" s="20"/>
      <c r="G481" s="20"/>
      <c r="H481" s="5" t="s">
        <v>40</v>
      </c>
      <c r="I481" s="5" t="s">
        <v>622</v>
      </c>
      <c r="J481" s="5" t="s">
        <v>114</v>
      </c>
      <c r="K481" s="5" t="s">
        <v>2855</v>
      </c>
      <c r="L481" s="5"/>
      <c r="M481" s="5" t="s">
        <v>8</v>
      </c>
      <c r="N481" s="5" t="s">
        <v>80</v>
      </c>
      <c r="O481" s="5" t="str">
        <f>IF(B481="","",IFERROR(LOOKUP(2,1/('Call Log'!$C$2:$C$5000=B481),'Call Log'!$B$2:$B$5000),""))</f>
        <v/>
      </c>
      <c r="P481" s="5">
        <f>IF(B481="","",COUNTIFS('Call Log'!$C$2:$C$5000,B481,'Call Log'!$A$2:$A$5000,"&gt;="&amp;(TODAY()-WEEKDAY(TODAY(),2)+1)))</f>
        <v>0</v>
      </c>
      <c r="Q481" s="5">
        <f>IF(B481="","",COUNTIF('Call Log'!$C$2:$C$5000,B481))</f>
        <v>0</v>
      </c>
      <c r="R481" s="21" t="str">
        <f>IF(B481="","",IFERROR(IF(MAXIFS('Call Log'!$A$2:$A$5000,'Call Log'!$C$2:$C$5000,B481)=0,"",MAXIFS('Call Log'!$A$2:$A$5000,'Call Log'!$C$2:$C$5000,B481)),""))</f>
        <v/>
      </c>
      <c r="S481" s="5"/>
      <c r="T481" s="21"/>
      <c r="U481" s="21"/>
      <c r="V481" s="5"/>
      <c r="W481" s="20"/>
      <c r="X481" s="5"/>
      <c r="Y481" s="5"/>
      <c r="Z481" s="5" t="s">
        <v>132</v>
      </c>
      <c r="AA481" s="5" t="s">
        <v>2856</v>
      </c>
    </row>
    <row r="482" ht="15.0" customHeight="1">
      <c r="A482" s="5" t="s">
        <v>2857</v>
      </c>
      <c r="B482" s="5" t="s">
        <v>2858</v>
      </c>
      <c r="C482" s="5" t="s">
        <v>2859</v>
      </c>
      <c r="D482" s="5"/>
      <c r="E482" s="5"/>
      <c r="F482" s="20"/>
      <c r="G482" s="20"/>
      <c r="H482" s="5" t="s">
        <v>41</v>
      </c>
      <c r="I482" s="5" t="s">
        <v>1093</v>
      </c>
      <c r="J482" s="5" t="s">
        <v>114</v>
      </c>
      <c r="K482" s="5" t="s">
        <v>2860</v>
      </c>
      <c r="L482" s="5"/>
      <c r="M482" s="5" t="s">
        <v>8</v>
      </c>
      <c r="N482" s="5" t="s">
        <v>80</v>
      </c>
      <c r="O482" s="5" t="str">
        <f>IF(B482="","",IFERROR(LOOKUP(2,1/('Call Log'!$C$2:$C$5000=B482),'Call Log'!$B$2:$B$5000),""))</f>
        <v/>
      </c>
      <c r="P482" s="5">
        <f>IF(B482="","",COUNTIFS('Call Log'!$C$2:$C$5000,B482,'Call Log'!$A$2:$A$5000,"&gt;="&amp;(TODAY()-WEEKDAY(TODAY(),2)+1)))</f>
        <v>0</v>
      </c>
      <c r="Q482" s="5">
        <f>IF(B482="","",COUNTIF('Call Log'!$C$2:$C$5000,B482))</f>
        <v>0</v>
      </c>
      <c r="R482" s="21" t="str">
        <f>IF(B482="","",IFERROR(IF(MAXIFS('Call Log'!$A$2:$A$5000,'Call Log'!$C$2:$C$5000,B482)=0,"",MAXIFS('Call Log'!$A$2:$A$5000,'Call Log'!$C$2:$C$5000,B482)),""))</f>
        <v/>
      </c>
      <c r="S482" s="5"/>
      <c r="T482" s="21"/>
      <c r="U482" s="21"/>
      <c r="V482" s="5"/>
      <c r="W482" s="20"/>
      <c r="X482" s="5"/>
      <c r="Y482" s="5"/>
      <c r="Z482" s="5" t="s">
        <v>132</v>
      </c>
      <c r="AA482" s="5" t="s">
        <v>2861</v>
      </c>
    </row>
    <row r="483" ht="15.0" customHeight="1">
      <c r="A483" s="5" t="s">
        <v>2862</v>
      </c>
      <c r="B483" s="5" t="s">
        <v>2863</v>
      </c>
      <c r="C483" s="5" t="s">
        <v>2864</v>
      </c>
      <c r="D483" s="5"/>
      <c r="E483" s="5"/>
      <c r="F483" s="20"/>
      <c r="G483" s="20"/>
      <c r="H483" s="5" t="s">
        <v>41</v>
      </c>
      <c r="I483" s="5" t="s">
        <v>154</v>
      </c>
      <c r="J483" s="5" t="s">
        <v>114</v>
      </c>
      <c r="K483" s="5" t="s">
        <v>2865</v>
      </c>
      <c r="L483" s="5"/>
      <c r="M483" s="5" t="s">
        <v>8</v>
      </c>
      <c r="N483" s="5" t="s">
        <v>80</v>
      </c>
      <c r="O483" s="5" t="str">
        <f>IF(B483="","",IFERROR(LOOKUP(2,1/('Call Log'!$C$2:$C$5000=B483),'Call Log'!$B$2:$B$5000),""))</f>
        <v/>
      </c>
      <c r="P483" s="5">
        <f>IF(B483="","",COUNTIFS('Call Log'!$C$2:$C$5000,B483,'Call Log'!$A$2:$A$5000,"&gt;="&amp;(TODAY()-WEEKDAY(TODAY(),2)+1)))</f>
        <v>0</v>
      </c>
      <c r="Q483" s="5">
        <f>IF(B483="","",COUNTIF('Call Log'!$C$2:$C$5000,B483))</f>
        <v>0</v>
      </c>
      <c r="R483" s="21" t="str">
        <f>IF(B483="","",IFERROR(IF(MAXIFS('Call Log'!$A$2:$A$5000,'Call Log'!$C$2:$C$5000,B483)=0,"",MAXIFS('Call Log'!$A$2:$A$5000,'Call Log'!$C$2:$C$5000,B483)),""))</f>
        <v/>
      </c>
      <c r="S483" s="5"/>
      <c r="T483" s="21"/>
      <c r="U483" s="21"/>
      <c r="V483" s="5"/>
      <c r="W483" s="20"/>
      <c r="X483" s="5"/>
      <c r="Y483" s="5"/>
      <c r="Z483" s="5" t="s">
        <v>132</v>
      </c>
      <c r="AA483" s="5" t="s">
        <v>2866</v>
      </c>
    </row>
    <row r="484" ht="15.0" customHeight="1">
      <c r="A484" s="5" t="s">
        <v>2867</v>
      </c>
      <c r="B484" s="5" t="s">
        <v>2868</v>
      </c>
      <c r="C484" s="5" t="s">
        <v>2869</v>
      </c>
      <c r="D484" s="5"/>
      <c r="E484" s="5"/>
      <c r="F484" s="20"/>
      <c r="G484" s="20"/>
      <c r="H484" s="5" t="s">
        <v>41</v>
      </c>
      <c r="I484" s="5" t="s">
        <v>461</v>
      </c>
      <c r="J484" s="5" t="s">
        <v>114</v>
      </c>
      <c r="K484" s="5" t="s">
        <v>2870</v>
      </c>
      <c r="L484" s="5" t="s">
        <v>2871</v>
      </c>
      <c r="M484" s="5" t="s">
        <v>8</v>
      </c>
      <c r="N484" s="5" t="s">
        <v>80</v>
      </c>
      <c r="O484" s="5" t="str">
        <f>IF(B484="","",IFERROR(LOOKUP(2,1/('Call Log'!$C$2:$C$5000=B484),'Call Log'!$B$2:$B$5000),""))</f>
        <v/>
      </c>
      <c r="P484" s="5">
        <f>IF(B484="","",COUNTIFS('Call Log'!$C$2:$C$5000,B484,'Call Log'!$A$2:$A$5000,"&gt;="&amp;(TODAY()-WEEKDAY(TODAY(),2)+1)))</f>
        <v>0</v>
      </c>
      <c r="Q484" s="5">
        <f>IF(B484="","",COUNTIF('Call Log'!$C$2:$C$5000,B484))</f>
        <v>0</v>
      </c>
      <c r="R484" s="21" t="str">
        <f>IF(B484="","",IFERROR(IF(MAXIFS('Call Log'!$A$2:$A$5000,'Call Log'!$C$2:$C$5000,B484)=0,"",MAXIFS('Call Log'!$A$2:$A$5000,'Call Log'!$C$2:$C$5000,B484)),""))</f>
        <v/>
      </c>
      <c r="S484" s="5"/>
      <c r="T484" s="21"/>
      <c r="U484" s="21"/>
      <c r="V484" s="5"/>
      <c r="W484" s="20"/>
      <c r="X484" s="5"/>
      <c r="Y484" s="5"/>
      <c r="Z484" s="5" t="s">
        <v>132</v>
      </c>
      <c r="AA484" s="5" t="s">
        <v>2872</v>
      </c>
    </row>
    <row r="485" ht="15.0" customHeight="1">
      <c r="A485" s="5" t="s">
        <v>2873</v>
      </c>
      <c r="B485" s="5" t="s">
        <v>2874</v>
      </c>
      <c r="C485" s="5" t="s">
        <v>2875</v>
      </c>
      <c r="D485" s="5"/>
      <c r="E485" s="5"/>
      <c r="F485" s="20"/>
      <c r="G485" s="20"/>
      <c r="H485" s="5" t="s">
        <v>41</v>
      </c>
      <c r="I485" s="5" t="s">
        <v>357</v>
      </c>
      <c r="J485" s="5" t="s">
        <v>114</v>
      </c>
      <c r="K485" s="5" t="s">
        <v>2876</v>
      </c>
      <c r="L485" s="5" t="s">
        <v>2877</v>
      </c>
      <c r="M485" s="5" t="s">
        <v>8</v>
      </c>
      <c r="N485" s="5" t="s">
        <v>80</v>
      </c>
      <c r="O485" s="5" t="str">
        <f>IF(B485="","",IFERROR(LOOKUP(2,1/('Call Log'!$C$2:$C$5000=B485),'Call Log'!$B$2:$B$5000),""))</f>
        <v/>
      </c>
      <c r="P485" s="5">
        <f>IF(B485="","",COUNTIFS('Call Log'!$C$2:$C$5000,B485,'Call Log'!$A$2:$A$5000,"&gt;="&amp;(TODAY()-WEEKDAY(TODAY(),2)+1)))</f>
        <v>0</v>
      </c>
      <c r="Q485" s="5">
        <f>IF(B485="","",COUNTIF('Call Log'!$C$2:$C$5000,B485))</f>
        <v>0</v>
      </c>
      <c r="R485" s="21" t="str">
        <f>IF(B485="","",IFERROR(IF(MAXIFS('Call Log'!$A$2:$A$5000,'Call Log'!$C$2:$C$5000,B485)=0,"",MAXIFS('Call Log'!$A$2:$A$5000,'Call Log'!$C$2:$C$5000,B485)),""))</f>
        <v/>
      </c>
      <c r="S485" s="5"/>
      <c r="T485" s="21"/>
      <c r="U485" s="21"/>
      <c r="V485" s="5"/>
      <c r="W485" s="20"/>
      <c r="X485" s="5"/>
      <c r="Y485" s="5"/>
      <c r="Z485" s="5" t="s">
        <v>132</v>
      </c>
      <c r="AA485" s="5" t="s">
        <v>2878</v>
      </c>
    </row>
    <row r="486" ht="15.0" customHeight="1">
      <c r="A486" s="5" t="s">
        <v>2879</v>
      </c>
      <c r="B486" s="5" t="s">
        <v>2880</v>
      </c>
      <c r="C486" s="5" t="s">
        <v>2881</v>
      </c>
      <c r="D486" s="5"/>
      <c r="E486" s="5"/>
      <c r="F486" s="20"/>
      <c r="G486" s="20"/>
      <c r="H486" s="5" t="s">
        <v>41</v>
      </c>
      <c r="I486" s="5" t="s">
        <v>2059</v>
      </c>
      <c r="J486" s="5" t="s">
        <v>114</v>
      </c>
      <c r="K486" s="5" t="s">
        <v>2882</v>
      </c>
      <c r="L486" s="5"/>
      <c r="M486" s="5" t="s">
        <v>8</v>
      </c>
      <c r="N486" s="5" t="s">
        <v>80</v>
      </c>
      <c r="O486" s="5" t="str">
        <f>IF(B486="","",IFERROR(LOOKUP(2,1/('Call Log'!$C$2:$C$5000=B486),'Call Log'!$B$2:$B$5000),""))</f>
        <v/>
      </c>
      <c r="P486" s="5">
        <f>IF(B486="","",COUNTIFS('Call Log'!$C$2:$C$5000,B486,'Call Log'!$A$2:$A$5000,"&gt;="&amp;(TODAY()-WEEKDAY(TODAY(),2)+1)))</f>
        <v>0</v>
      </c>
      <c r="Q486" s="5">
        <f>IF(B486="","",COUNTIF('Call Log'!$C$2:$C$5000,B486))</f>
        <v>0</v>
      </c>
      <c r="R486" s="21" t="str">
        <f>IF(B486="","",IFERROR(IF(MAXIFS('Call Log'!$A$2:$A$5000,'Call Log'!$C$2:$C$5000,B486)=0,"",MAXIFS('Call Log'!$A$2:$A$5000,'Call Log'!$C$2:$C$5000,B486)),""))</f>
        <v/>
      </c>
      <c r="S486" s="5"/>
      <c r="T486" s="21"/>
      <c r="U486" s="21"/>
      <c r="V486" s="5"/>
      <c r="W486" s="20"/>
      <c r="X486" s="5"/>
      <c r="Y486" s="5"/>
      <c r="Z486" s="5" t="s">
        <v>132</v>
      </c>
      <c r="AA486" s="5" t="s">
        <v>2883</v>
      </c>
    </row>
    <row r="487" ht="15.0" customHeight="1">
      <c r="A487" s="5" t="s">
        <v>2884</v>
      </c>
      <c r="B487" s="5" t="s">
        <v>2885</v>
      </c>
      <c r="C487" s="5" t="s">
        <v>2886</v>
      </c>
      <c r="D487" s="5"/>
      <c r="E487" s="5"/>
      <c r="F487" s="20"/>
      <c r="G487" s="20"/>
      <c r="H487" s="5" t="s">
        <v>41</v>
      </c>
      <c r="I487" s="5" t="s">
        <v>756</v>
      </c>
      <c r="J487" s="5" t="s">
        <v>114</v>
      </c>
      <c r="K487" s="5" t="s">
        <v>2887</v>
      </c>
      <c r="L487" s="5"/>
      <c r="M487" s="5" t="s">
        <v>8</v>
      </c>
      <c r="N487" s="5" t="s">
        <v>80</v>
      </c>
      <c r="O487" s="5" t="str">
        <f>IF(B487="","",IFERROR(LOOKUP(2,1/('Call Log'!$C$2:$C$5000=B487),'Call Log'!$B$2:$B$5000),""))</f>
        <v/>
      </c>
      <c r="P487" s="5">
        <f>IF(B487="","",COUNTIFS('Call Log'!$C$2:$C$5000,B487,'Call Log'!$A$2:$A$5000,"&gt;="&amp;(TODAY()-WEEKDAY(TODAY(),2)+1)))</f>
        <v>0</v>
      </c>
      <c r="Q487" s="5">
        <f>IF(B487="","",COUNTIF('Call Log'!$C$2:$C$5000,B487))</f>
        <v>0</v>
      </c>
      <c r="R487" s="21" t="str">
        <f>IF(B487="","",IFERROR(IF(MAXIFS('Call Log'!$A$2:$A$5000,'Call Log'!$C$2:$C$5000,B487)=0,"",MAXIFS('Call Log'!$A$2:$A$5000,'Call Log'!$C$2:$C$5000,B487)),""))</f>
        <v/>
      </c>
      <c r="S487" s="5"/>
      <c r="T487" s="21"/>
      <c r="U487" s="21"/>
      <c r="V487" s="5"/>
      <c r="W487" s="20"/>
      <c r="X487" s="5"/>
      <c r="Y487" s="5"/>
      <c r="Z487" s="5" t="s">
        <v>132</v>
      </c>
      <c r="AA487" s="5" t="s">
        <v>2888</v>
      </c>
    </row>
    <row r="488" ht="15.0" customHeight="1">
      <c r="A488" s="5" t="s">
        <v>2889</v>
      </c>
      <c r="B488" s="5" t="s">
        <v>2890</v>
      </c>
      <c r="C488" s="5" t="s">
        <v>2891</v>
      </c>
      <c r="D488" s="5"/>
      <c r="E488" s="5"/>
      <c r="F488" s="20"/>
      <c r="G488" s="20"/>
      <c r="H488" s="5" t="s">
        <v>41</v>
      </c>
      <c r="I488" s="5" t="s">
        <v>146</v>
      </c>
      <c r="J488" s="5" t="s">
        <v>114</v>
      </c>
      <c r="K488" s="5" t="s">
        <v>2892</v>
      </c>
      <c r="L488" s="5"/>
      <c r="M488" s="5" t="s">
        <v>8</v>
      </c>
      <c r="N488" s="5" t="s">
        <v>80</v>
      </c>
      <c r="O488" s="5" t="str">
        <f>IF(B488="","",IFERROR(LOOKUP(2,1/('Call Log'!$C$2:$C$5000=B488),'Call Log'!$B$2:$B$5000),""))</f>
        <v/>
      </c>
      <c r="P488" s="5">
        <f>IF(B488="","",COUNTIFS('Call Log'!$C$2:$C$5000,B488,'Call Log'!$A$2:$A$5000,"&gt;="&amp;(TODAY()-WEEKDAY(TODAY(),2)+1)))</f>
        <v>0</v>
      </c>
      <c r="Q488" s="5">
        <f>IF(B488="","",COUNTIF('Call Log'!$C$2:$C$5000,B488))</f>
        <v>0</v>
      </c>
      <c r="R488" s="21" t="str">
        <f>IF(B488="","",IFERROR(IF(MAXIFS('Call Log'!$A$2:$A$5000,'Call Log'!$C$2:$C$5000,B488)=0,"",MAXIFS('Call Log'!$A$2:$A$5000,'Call Log'!$C$2:$C$5000,B488)),""))</f>
        <v/>
      </c>
      <c r="S488" s="5"/>
      <c r="T488" s="21"/>
      <c r="U488" s="21"/>
      <c r="V488" s="5"/>
      <c r="W488" s="20"/>
      <c r="X488" s="5"/>
      <c r="Y488" s="5"/>
      <c r="Z488" s="5" t="s">
        <v>132</v>
      </c>
      <c r="AA488" s="5" t="s">
        <v>2893</v>
      </c>
    </row>
    <row r="489" ht="15.0" customHeight="1">
      <c r="A489" s="5" t="s">
        <v>2894</v>
      </c>
      <c r="B489" s="5" t="s">
        <v>2895</v>
      </c>
      <c r="C489" s="5" t="s">
        <v>2896</v>
      </c>
      <c r="D489" s="5"/>
      <c r="E489" s="5"/>
      <c r="F489" s="20"/>
      <c r="G489" s="20"/>
      <c r="H489" s="5" t="s">
        <v>40</v>
      </c>
      <c r="I489" s="5" t="s">
        <v>594</v>
      </c>
      <c r="J489" s="5" t="s">
        <v>114</v>
      </c>
      <c r="K489" s="5" t="s">
        <v>2897</v>
      </c>
      <c r="L489" s="5"/>
      <c r="M489" s="5" t="s">
        <v>8</v>
      </c>
      <c r="N489" s="5" t="s">
        <v>80</v>
      </c>
      <c r="O489" s="5" t="str">
        <f>IF(B489="","",IFERROR(LOOKUP(2,1/('Call Log'!$C$2:$C$5000=B489),'Call Log'!$B$2:$B$5000),""))</f>
        <v/>
      </c>
      <c r="P489" s="5">
        <f>IF(B489="","",COUNTIFS('Call Log'!$C$2:$C$5000,B489,'Call Log'!$A$2:$A$5000,"&gt;="&amp;(TODAY()-WEEKDAY(TODAY(),2)+1)))</f>
        <v>0</v>
      </c>
      <c r="Q489" s="5">
        <f>IF(B489="","",COUNTIF('Call Log'!$C$2:$C$5000,B489))</f>
        <v>0</v>
      </c>
      <c r="R489" s="21" t="str">
        <f>IF(B489="","",IFERROR(IF(MAXIFS('Call Log'!$A$2:$A$5000,'Call Log'!$C$2:$C$5000,B489)=0,"",MAXIFS('Call Log'!$A$2:$A$5000,'Call Log'!$C$2:$C$5000,B489)),""))</f>
        <v/>
      </c>
      <c r="S489" s="5"/>
      <c r="T489" s="21"/>
      <c r="U489" s="21"/>
      <c r="V489" s="5"/>
      <c r="W489" s="20"/>
      <c r="X489" s="5"/>
      <c r="Y489" s="5"/>
      <c r="Z489" s="5" t="s">
        <v>132</v>
      </c>
      <c r="AA489" s="5" t="s">
        <v>2898</v>
      </c>
    </row>
    <row r="490" ht="15.0" customHeight="1">
      <c r="A490" s="5" t="s">
        <v>2899</v>
      </c>
      <c r="B490" s="5" t="s">
        <v>2900</v>
      </c>
      <c r="C490" s="5" t="s">
        <v>2901</v>
      </c>
      <c r="D490" s="5"/>
      <c r="E490" s="5"/>
      <c r="F490" s="20"/>
      <c r="G490" s="20"/>
      <c r="H490" s="5" t="s">
        <v>41</v>
      </c>
      <c r="I490" s="5" t="s">
        <v>161</v>
      </c>
      <c r="J490" s="5" t="s">
        <v>114</v>
      </c>
      <c r="K490" s="5" t="s">
        <v>2902</v>
      </c>
      <c r="L490" s="5"/>
      <c r="M490" s="5" t="s">
        <v>8</v>
      </c>
      <c r="N490" s="5" t="s">
        <v>80</v>
      </c>
      <c r="O490" s="5" t="str">
        <f>IF(B490="","",IFERROR(LOOKUP(2,1/('Call Log'!$C$2:$C$5000=B490),'Call Log'!$B$2:$B$5000),""))</f>
        <v/>
      </c>
      <c r="P490" s="5">
        <f>IF(B490="","",COUNTIFS('Call Log'!$C$2:$C$5000,B490,'Call Log'!$A$2:$A$5000,"&gt;="&amp;(TODAY()-WEEKDAY(TODAY(),2)+1)))</f>
        <v>0</v>
      </c>
      <c r="Q490" s="5">
        <f>IF(B490="","",COUNTIF('Call Log'!$C$2:$C$5000,B490))</f>
        <v>0</v>
      </c>
      <c r="R490" s="21" t="str">
        <f>IF(B490="","",IFERROR(IF(MAXIFS('Call Log'!$A$2:$A$5000,'Call Log'!$C$2:$C$5000,B490)=0,"",MAXIFS('Call Log'!$A$2:$A$5000,'Call Log'!$C$2:$C$5000,B490)),""))</f>
        <v/>
      </c>
      <c r="S490" s="5"/>
      <c r="T490" s="21"/>
      <c r="U490" s="21"/>
      <c r="V490" s="5"/>
      <c r="W490" s="20"/>
      <c r="X490" s="5"/>
      <c r="Y490" s="5"/>
      <c r="Z490" s="5" t="s">
        <v>132</v>
      </c>
      <c r="AA490" s="5" t="s">
        <v>2903</v>
      </c>
    </row>
    <row r="491" ht="15.0" customHeight="1">
      <c r="A491" s="5" t="s">
        <v>2904</v>
      </c>
      <c r="B491" s="5" t="s">
        <v>2905</v>
      </c>
      <c r="C491" s="5" t="s">
        <v>2906</v>
      </c>
      <c r="D491" s="5"/>
      <c r="E491" s="5"/>
      <c r="F491" s="20"/>
      <c r="G491" s="20"/>
      <c r="H491" s="5" t="s">
        <v>43</v>
      </c>
      <c r="I491" s="5" t="s">
        <v>129</v>
      </c>
      <c r="J491" s="5" t="s">
        <v>114</v>
      </c>
      <c r="K491" s="5" t="s">
        <v>2907</v>
      </c>
      <c r="L491" s="5"/>
      <c r="M491" s="5" t="s">
        <v>8</v>
      </c>
      <c r="N491" s="5" t="s">
        <v>80</v>
      </c>
      <c r="O491" s="5" t="str">
        <f>IF(B491="","",IFERROR(LOOKUP(2,1/('Call Log'!$C$2:$C$5000=B491),'Call Log'!$B$2:$B$5000),""))</f>
        <v/>
      </c>
      <c r="P491" s="5">
        <f>IF(B491="","",COUNTIFS('Call Log'!$C$2:$C$5000,B491,'Call Log'!$A$2:$A$5000,"&gt;="&amp;(TODAY()-WEEKDAY(TODAY(),2)+1)))</f>
        <v>0</v>
      </c>
      <c r="Q491" s="5">
        <f>IF(B491="","",COUNTIF('Call Log'!$C$2:$C$5000,B491))</f>
        <v>0</v>
      </c>
      <c r="R491" s="21" t="str">
        <f>IF(B491="","",IFERROR(IF(MAXIFS('Call Log'!$A$2:$A$5000,'Call Log'!$C$2:$C$5000,B491)=0,"",MAXIFS('Call Log'!$A$2:$A$5000,'Call Log'!$C$2:$C$5000,B491)),""))</f>
        <v/>
      </c>
      <c r="S491" s="5"/>
      <c r="T491" s="21"/>
      <c r="U491" s="21"/>
      <c r="V491" s="5"/>
      <c r="W491" s="20"/>
      <c r="X491" s="5"/>
      <c r="Y491" s="5"/>
      <c r="Z491" s="5" t="s">
        <v>132</v>
      </c>
      <c r="AA491" s="5" t="s">
        <v>2908</v>
      </c>
    </row>
    <row r="492" ht="15.0" customHeight="1">
      <c r="A492" s="5" t="s">
        <v>2909</v>
      </c>
      <c r="B492" s="5" t="s">
        <v>2910</v>
      </c>
      <c r="C492" s="5" t="s">
        <v>2911</v>
      </c>
      <c r="D492" s="5"/>
      <c r="E492" s="5"/>
      <c r="F492" s="20"/>
      <c r="G492" s="20"/>
      <c r="H492" s="5" t="s">
        <v>41</v>
      </c>
      <c r="I492" s="5" t="s">
        <v>667</v>
      </c>
      <c r="J492" s="5" t="s">
        <v>114</v>
      </c>
      <c r="K492" s="5" t="s">
        <v>2912</v>
      </c>
      <c r="L492" s="5"/>
      <c r="M492" s="5" t="s">
        <v>8</v>
      </c>
      <c r="N492" s="5" t="s">
        <v>80</v>
      </c>
      <c r="O492" s="5" t="str">
        <f>IF(B492="","",IFERROR(LOOKUP(2,1/('Call Log'!$C$2:$C$5000=B492),'Call Log'!$B$2:$B$5000),""))</f>
        <v/>
      </c>
      <c r="P492" s="5">
        <f>IF(B492="","",COUNTIFS('Call Log'!$C$2:$C$5000,B492,'Call Log'!$A$2:$A$5000,"&gt;="&amp;(TODAY()-WEEKDAY(TODAY(),2)+1)))</f>
        <v>0</v>
      </c>
      <c r="Q492" s="5">
        <f>IF(B492="","",COUNTIF('Call Log'!$C$2:$C$5000,B492))</f>
        <v>0</v>
      </c>
      <c r="R492" s="21" t="str">
        <f>IF(B492="","",IFERROR(IF(MAXIFS('Call Log'!$A$2:$A$5000,'Call Log'!$C$2:$C$5000,B492)=0,"",MAXIFS('Call Log'!$A$2:$A$5000,'Call Log'!$C$2:$C$5000,B492)),""))</f>
        <v/>
      </c>
      <c r="S492" s="5"/>
      <c r="T492" s="21"/>
      <c r="U492" s="21"/>
      <c r="V492" s="5"/>
      <c r="W492" s="20"/>
      <c r="X492" s="5"/>
      <c r="Y492" s="5"/>
      <c r="Z492" s="5" t="s">
        <v>132</v>
      </c>
      <c r="AA492" s="5" t="s">
        <v>2913</v>
      </c>
    </row>
    <row r="493" ht="15.0" customHeight="1">
      <c r="A493" s="5" t="s">
        <v>2914</v>
      </c>
      <c r="B493" s="5" t="s">
        <v>2915</v>
      </c>
      <c r="C493" s="5" t="s">
        <v>2916</v>
      </c>
      <c r="D493" s="5"/>
      <c r="E493" s="5"/>
      <c r="F493" s="20"/>
      <c r="G493" s="20"/>
      <c r="H493" s="5" t="s">
        <v>40</v>
      </c>
      <c r="I493" s="5" t="s">
        <v>1093</v>
      </c>
      <c r="J493" s="5" t="s">
        <v>114</v>
      </c>
      <c r="K493" s="5" t="s">
        <v>2917</v>
      </c>
      <c r="L493" s="5"/>
      <c r="M493" s="5" t="s">
        <v>8</v>
      </c>
      <c r="N493" s="5" t="s">
        <v>80</v>
      </c>
      <c r="O493" s="5" t="str">
        <f>IF(B493="","",IFERROR(LOOKUP(2,1/('Call Log'!$C$2:$C$5000=B493),'Call Log'!$B$2:$B$5000),""))</f>
        <v/>
      </c>
      <c r="P493" s="5">
        <f>IF(B493="","",COUNTIFS('Call Log'!$C$2:$C$5000,B493,'Call Log'!$A$2:$A$5000,"&gt;="&amp;(TODAY()-WEEKDAY(TODAY(),2)+1)))</f>
        <v>0</v>
      </c>
      <c r="Q493" s="5">
        <f>IF(B493="","",COUNTIF('Call Log'!$C$2:$C$5000,B493))</f>
        <v>0</v>
      </c>
      <c r="R493" s="21" t="str">
        <f>IF(B493="","",IFERROR(IF(MAXIFS('Call Log'!$A$2:$A$5000,'Call Log'!$C$2:$C$5000,B493)=0,"",MAXIFS('Call Log'!$A$2:$A$5000,'Call Log'!$C$2:$C$5000,B493)),""))</f>
        <v/>
      </c>
      <c r="S493" s="5"/>
      <c r="T493" s="21"/>
      <c r="U493" s="21"/>
      <c r="V493" s="5"/>
      <c r="W493" s="20"/>
      <c r="X493" s="5"/>
      <c r="Y493" s="5"/>
      <c r="Z493" s="5" t="s">
        <v>132</v>
      </c>
      <c r="AA493" s="5" t="s">
        <v>2918</v>
      </c>
    </row>
    <row r="494" ht="15.0" customHeight="1">
      <c r="A494" s="5" t="s">
        <v>2919</v>
      </c>
      <c r="B494" s="5" t="s">
        <v>2920</v>
      </c>
      <c r="C494" s="5" t="s">
        <v>2921</v>
      </c>
      <c r="D494" s="5"/>
      <c r="E494" s="5">
        <v>2.0</v>
      </c>
      <c r="F494" s="20"/>
      <c r="G494" s="20"/>
      <c r="H494" s="5" t="s">
        <v>40</v>
      </c>
      <c r="I494" s="5" t="s">
        <v>113</v>
      </c>
      <c r="J494" s="5" t="s">
        <v>114</v>
      </c>
      <c r="K494" s="5" t="s">
        <v>2922</v>
      </c>
      <c r="L494" s="5"/>
      <c r="M494" s="5" t="s">
        <v>8</v>
      </c>
      <c r="N494" s="5" t="s">
        <v>80</v>
      </c>
      <c r="O494" s="5" t="str">
        <f>IF(B494="","",IFERROR(LOOKUP(2,1/('Call Log'!$C$2:$C$5000=B494),'Call Log'!$B$2:$B$5000),""))</f>
        <v/>
      </c>
      <c r="P494" s="5">
        <f>IF(B494="","",COUNTIFS('Call Log'!$C$2:$C$5000,B494,'Call Log'!$A$2:$A$5000,"&gt;="&amp;(TODAY()-WEEKDAY(TODAY(),2)+1)))</f>
        <v>0</v>
      </c>
      <c r="Q494" s="5">
        <f>IF(B494="","",COUNTIF('Call Log'!$C$2:$C$5000,B494))</f>
        <v>0</v>
      </c>
      <c r="R494" s="21" t="str">
        <f>IF(B494="","",IFERROR(IF(MAXIFS('Call Log'!$A$2:$A$5000,'Call Log'!$C$2:$C$5000,B494)=0,"",MAXIFS('Call Log'!$A$2:$A$5000,'Call Log'!$C$2:$C$5000,B494)),""))</f>
        <v/>
      </c>
      <c r="S494" s="5"/>
      <c r="T494" s="21"/>
      <c r="U494" s="21"/>
      <c r="V494" s="5"/>
      <c r="W494" s="20"/>
      <c r="X494" s="5"/>
      <c r="Y494" s="5"/>
      <c r="Z494" s="5" t="s">
        <v>132</v>
      </c>
      <c r="AA494" s="5" t="s">
        <v>2923</v>
      </c>
    </row>
    <row r="495" ht="15.0" customHeight="1">
      <c r="A495" s="5" t="s">
        <v>2924</v>
      </c>
      <c r="B495" s="5" t="s">
        <v>2925</v>
      </c>
      <c r="C495" s="5" t="s">
        <v>2926</v>
      </c>
      <c r="D495" s="5"/>
      <c r="E495" s="5"/>
      <c r="F495" s="20"/>
      <c r="G495" s="20"/>
      <c r="H495" s="5" t="s">
        <v>40</v>
      </c>
      <c r="I495" s="5" t="s">
        <v>461</v>
      </c>
      <c r="J495" s="5" t="s">
        <v>114</v>
      </c>
      <c r="K495" s="5" t="s">
        <v>2927</v>
      </c>
      <c r="L495" s="5"/>
      <c r="M495" s="5" t="s">
        <v>8</v>
      </c>
      <c r="N495" s="5" t="s">
        <v>80</v>
      </c>
      <c r="O495" s="5" t="str">
        <f>IF(B495="","",IFERROR(LOOKUP(2,1/('Call Log'!$C$2:$C$5000=B495),'Call Log'!$B$2:$B$5000),""))</f>
        <v/>
      </c>
      <c r="P495" s="5">
        <f>IF(B495="","",COUNTIFS('Call Log'!$C$2:$C$5000,B495,'Call Log'!$A$2:$A$5000,"&gt;="&amp;(TODAY()-WEEKDAY(TODAY(),2)+1)))</f>
        <v>0</v>
      </c>
      <c r="Q495" s="5">
        <f>IF(B495="","",COUNTIF('Call Log'!$C$2:$C$5000,B495))</f>
        <v>0</v>
      </c>
      <c r="R495" s="21" t="str">
        <f>IF(B495="","",IFERROR(IF(MAXIFS('Call Log'!$A$2:$A$5000,'Call Log'!$C$2:$C$5000,B495)=0,"",MAXIFS('Call Log'!$A$2:$A$5000,'Call Log'!$C$2:$C$5000,B495)),""))</f>
        <v/>
      </c>
      <c r="S495" s="5"/>
      <c r="T495" s="21"/>
      <c r="U495" s="21"/>
      <c r="V495" s="5"/>
      <c r="W495" s="20"/>
      <c r="X495" s="5"/>
      <c r="Y495" s="5"/>
      <c r="Z495" s="5" t="s">
        <v>132</v>
      </c>
      <c r="AA495" s="5" t="s">
        <v>2928</v>
      </c>
    </row>
    <row r="496" ht="15.0" customHeight="1">
      <c r="A496" s="5" t="s">
        <v>2929</v>
      </c>
      <c r="B496" s="5" t="s">
        <v>2930</v>
      </c>
      <c r="C496" s="5" t="s">
        <v>2931</v>
      </c>
      <c r="D496" s="5"/>
      <c r="E496" s="5"/>
      <c r="F496" s="20"/>
      <c r="G496" s="20"/>
      <c r="H496" s="5" t="s">
        <v>41</v>
      </c>
      <c r="I496" s="5" t="s">
        <v>547</v>
      </c>
      <c r="J496" s="5" t="s">
        <v>114</v>
      </c>
      <c r="K496" s="5" t="s">
        <v>2932</v>
      </c>
      <c r="L496" s="5"/>
      <c r="M496" s="5" t="s">
        <v>8</v>
      </c>
      <c r="N496" s="5" t="s">
        <v>80</v>
      </c>
      <c r="O496" s="5" t="str">
        <f>IF(B496="","",IFERROR(LOOKUP(2,1/('Call Log'!$C$2:$C$5000=B496),'Call Log'!$B$2:$B$5000),""))</f>
        <v/>
      </c>
      <c r="P496" s="5">
        <f>IF(B496="","",COUNTIFS('Call Log'!$C$2:$C$5000,B496,'Call Log'!$A$2:$A$5000,"&gt;="&amp;(TODAY()-WEEKDAY(TODAY(),2)+1)))</f>
        <v>0</v>
      </c>
      <c r="Q496" s="5">
        <f>IF(B496="","",COUNTIF('Call Log'!$C$2:$C$5000,B496))</f>
        <v>0</v>
      </c>
      <c r="R496" s="21" t="str">
        <f>IF(B496="","",IFERROR(IF(MAXIFS('Call Log'!$A$2:$A$5000,'Call Log'!$C$2:$C$5000,B496)=0,"",MAXIFS('Call Log'!$A$2:$A$5000,'Call Log'!$C$2:$C$5000,B496)),""))</f>
        <v/>
      </c>
      <c r="S496" s="5"/>
      <c r="T496" s="21"/>
      <c r="U496" s="21"/>
      <c r="V496" s="5"/>
      <c r="W496" s="20"/>
      <c r="X496" s="5"/>
      <c r="Y496" s="5"/>
      <c r="Z496" s="5" t="s">
        <v>132</v>
      </c>
      <c r="AA496" s="5" t="s">
        <v>2933</v>
      </c>
    </row>
    <row r="497" ht="15.0" customHeight="1">
      <c r="A497" s="5" t="s">
        <v>2934</v>
      </c>
      <c r="B497" s="5" t="s">
        <v>2935</v>
      </c>
      <c r="C497" s="5" t="s">
        <v>2936</v>
      </c>
      <c r="D497" s="5"/>
      <c r="E497" s="5"/>
      <c r="F497" s="20"/>
      <c r="G497" s="20"/>
      <c r="H497" s="5" t="s">
        <v>40</v>
      </c>
      <c r="I497" s="5" t="s">
        <v>594</v>
      </c>
      <c r="J497" s="5" t="s">
        <v>114</v>
      </c>
      <c r="K497" s="5" t="s">
        <v>2937</v>
      </c>
      <c r="L497" s="5"/>
      <c r="M497" s="5" t="s">
        <v>8</v>
      </c>
      <c r="N497" s="5" t="s">
        <v>80</v>
      </c>
      <c r="O497" s="5" t="str">
        <f>IF(B497="","",IFERROR(LOOKUP(2,1/('Call Log'!$C$2:$C$5000=B497),'Call Log'!$B$2:$B$5000),""))</f>
        <v/>
      </c>
      <c r="P497" s="5">
        <f>IF(B497="","",COUNTIFS('Call Log'!$C$2:$C$5000,B497,'Call Log'!$A$2:$A$5000,"&gt;="&amp;(TODAY()-WEEKDAY(TODAY(),2)+1)))</f>
        <v>0</v>
      </c>
      <c r="Q497" s="5">
        <f>IF(B497="","",COUNTIF('Call Log'!$C$2:$C$5000,B497))</f>
        <v>0</v>
      </c>
      <c r="R497" s="21" t="str">
        <f>IF(B497="","",IFERROR(IF(MAXIFS('Call Log'!$A$2:$A$5000,'Call Log'!$C$2:$C$5000,B497)=0,"",MAXIFS('Call Log'!$A$2:$A$5000,'Call Log'!$C$2:$C$5000,B497)),""))</f>
        <v/>
      </c>
      <c r="S497" s="5"/>
      <c r="T497" s="21"/>
      <c r="U497" s="21"/>
      <c r="V497" s="5"/>
      <c r="W497" s="20"/>
      <c r="X497" s="5"/>
      <c r="Y497" s="5"/>
      <c r="Z497" s="5" t="s">
        <v>132</v>
      </c>
      <c r="AA497" s="5" t="s">
        <v>2938</v>
      </c>
    </row>
    <row r="498" ht="15.0" customHeight="1">
      <c r="A498" s="5" t="s">
        <v>2939</v>
      </c>
      <c r="B498" s="5" t="s">
        <v>2940</v>
      </c>
      <c r="C498" s="5" t="s">
        <v>2941</v>
      </c>
      <c r="D498" s="5"/>
      <c r="E498" s="5"/>
      <c r="F498" s="20"/>
      <c r="G498" s="20"/>
      <c r="H498" s="5" t="s">
        <v>40</v>
      </c>
      <c r="I498" s="5" t="s">
        <v>461</v>
      </c>
      <c r="J498" s="5" t="s">
        <v>114</v>
      </c>
      <c r="K498" s="5" t="s">
        <v>2942</v>
      </c>
      <c r="L498" s="5"/>
      <c r="M498" s="5" t="s">
        <v>8</v>
      </c>
      <c r="N498" s="5" t="s">
        <v>80</v>
      </c>
      <c r="O498" s="5" t="str">
        <f>IF(B498="","",IFERROR(LOOKUP(2,1/('Call Log'!$C$2:$C$5000=B498),'Call Log'!$B$2:$B$5000),""))</f>
        <v/>
      </c>
      <c r="P498" s="5">
        <f>IF(B498="","",COUNTIFS('Call Log'!$C$2:$C$5000,B498,'Call Log'!$A$2:$A$5000,"&gt;="&amp;(TODAY()-WEEKDAY(TODAY(),2)+1)))</f>
        <v>0</v>
      </c>
      <c r="Q498" s="5">
        <f>IF(B498="","",COUNTIF('Call Log'!$C$2:$C$5000,B498))</f>
        <v>0</v>
      </c>
      <c r="R498" s="21" t="str">
        <f>IF(B498="","",IFERROR(IF(MAXIFS('Call Log'!$A$2:$A$5000,'Call Log'!$C$2:$C$5000,B498)=0,"",MAXIFS('Call Log'!$A$2:$A$5000,'Call Log'!$C$2:$C$5000,B498)),""))</f>
        <v/>
      </c>
      <c r="S498" s="5"/>
      <c r="T498" s="21"/>
      <c r="U498" s="21"/>
      <c r="V498" s="5"/>
      <c r="W498" s="20"/>
      <c r="X498" s="5"/>
      <c r="Y498" s="5"/>
      <c r="Z498" s="5" t="s">
        <v>132</v>
      </c>
      <c r="AA498" s="5" t="s">
        <v>2943</v>
      </c>
    </row>
    <row r="499" ht="15.0" customHeight="1">
      <c r="A499" s="5" t="s">
        <v>2944</v>
      </c>
      <c r="B499" s="5" t="s">
        <v>2945</v>
      </c>
      <c r="C499" s="5" t="s">
        <v>2946</v>
      </c>
      <c r="D499" s="5"/>
      <c r="E499" s="5"/>
      <c r="F499" s="20"/>
      <c r="G499" s="20"/>
      <c r="H499" s="5" t="s">
        <v>40</v>
      </c>
      <c r="I499" s="5" t="s">
        <v>357</v>
      </c>
      <c r="J499" s="5" t="s">
        <v>114</v>
      </c>
      <c r="K499" s="5" t="s">
        <v>2947</v>
      </c>
      <c r="L499" s="5"/>
      <c r="M499" s="5" t="s">
        <v>8</v>
      </c>
      <c r="N499" s="5" t="s">
        <v>80</v>
      </c>
      <c r="O499" s="5" t="str">
        <f>IF(B499="","",IFERROR(LOOKUP(2,1/('Call Log'!$C$2:$C$5000=B499),'Call Log'!$B$2:$B$5000),""))</f>
        <v/>
      </c>
      <c r="P499" s="5">
        <f>IF(B499="","",COUNTIFS('Call Log'!$C$2:$C$5000,B499,'Call Log'!$A$2:$A$5000,"&gt;="&amp;(TODAY()-WEEKDAY(TODAY(),2)+1)))</f>
        <v>0</v>
      </c>
      <c r="Q499" s="5">
        <f>IF(B499="","",COUNTIF('Call Log'!$C$2:$C$5000,B499))</f>
        <v>0</v>
      </c>
      <c r="R499" s="21" t="str">
        <f>IF(B499="","",IFERROR(IF(MAXIFS('Call Log'!$A$2:$A$5000,'Call Log'!$C$2:$C$5000,B499)=0,"",MAXIFS('Call Log'!$A$2:$A$5000,'Call Log'!$C$2:$C$5000,B499)),""))</f>
        <v/>
      </c>
      <c r="S499" s="5"/>
      <c r="T499" s="21"/>
      <c r="U499" s="21"/>
      <c r="V499" s="5"/>
      <c r="W499" s="20"/>
      <c r="X499" s="5"/>
      <c r="Y499" s="5"/>
      <c r="Z499" s="5" t="s">
        <v>132</v>
      </c>
      <c r="AA499" s="5" t="s">
        <v>2948</v>
      </c>
    </row>
    <row r="500" ht="15.0" customHeight="1">
      <c r="A500" s="5" t="s">
        <v>2949</v>
      </c>
      <c r="B500" s="5" t="s">
        <v>2950</v>
      </c>
      <c r="C500" s="5" t="s">
        <v>2951</v>
      </c>
      <c r="D500" s="5"/>
      <c r="E500" s="5"/>
      <c r="F500" s="20"/>
      <c r="G500" s="20"/>
      <c r="H500" s="5" t="s">
        <v>40</v>
      </c>
      <c r="I500" s="5" t="s">
        <v>1093</v>
      </c>
      <c r="J500" s="5" t="s">
        <v>114</v>
      </c>
      <c r="K500" s="5" t="s">
        <v>2952</v>
      </c>
      <c r="L500" s="5"/>
      <c r="M500" s="5" t="s">
        <v>8</v>
      </c>
      <c r="N500" s="5" t="s">
        <v>80</v>
      </c>
      <c r="O500" s="5" t="str">
        <f>IF(B500="","",IFERROR(LOOKUP(2,1/('Call Log'!$C$2:$C$5000=B500),'Call Log'!$B$2:$B$5000),""))</f>
        <v/>
      </c>
      <c r="P500" s="5">
        <f>IF(B500="","",COUNTIFS('Call Log'!$C$2:$C$5000,B500,'Call Log'!$A$2:$A$5000,"&gt;="&amp;(TODAY()-WEEKDAY(TODAY(),2)+1)))</f>
        <v>0</v>
      </c>
      <c r="Q500" s="5">
        <f>IF(B500="","",COUNTIF('Call Log'!$C$2:$C$5000,B500))</f>
        <v>0</v>
      </c>
      <c r="R500" s="21" t="str">
        <f>IF(B500="","",IFERROR(IF(MAXIFS('Call Log'!$A$2:$A$5000,'Call Log'!$C$2:$C$5000,B500)=0,"",MAXIFS('Call Log'!$A$2:$A$5000,'Call Log'!$C$2:$C$5000,B500)),""))</f>
        <v/>
      </c>
      <c r="S500" s="5"/>
      <c r="T500" s="21"/>
      <c r="U500" s="21"/>
      <c r="V500" s="5"/>
      <c r="W500" s="20"/>
      <c r="X500" s="5"/>
      <c r="Y500" s="5"/>
      <c r="Z500" s="5" t="s">
        <v>132</v>
      </c>
      <c r="AA500" s="5" t="s">
        <v>2953</v>
      </c>
    </row>
    <row r="501" ht="15.0" customHeight="1">
      <c r="A501" s="5" t="s">
        <v>2954</v>
      </c>
      <c r="B501" s="5" t="s">
        <v>2955</v>
      </c>
      <c r="C501" s="5" t="s">
        <v>2956</v>
      </c>
      <c r="D501" s="5"/>
      <c r="E501" s="5"/>
      <c r="F501" s="20"/>
      <c r="G501" s="20"/>
      <c r="H501" s="5" t="s">
        <v>40</v>
      </c>
      <c r="I501" s="5" t="s">
        <v>1048</v>
      </c>
      <c r="J501" s="5" t="s">
        <v>114</v>
      </c>
      <c r="K501" s="5" t="s">
        <v>2957</v>
      </c>
      <c r="L501" s="5"/>
      <c r="M501" s="5" t="s">
        <v>8</v>
      </c>
      <c r="N501" s="5" t="s">
        <v>80</v>
      </c>
      <c r="O501" s="5" t="str">
        <f>IF(B501="","",IFERROR(LOOKUP(2,1/('Call Log'!$C$2:$C$5000=B501),'Call Log'!$B$2:$B$5000),""))</f>
        <v/>
      </c>
      <c r="P501" s="5">
        <f>IF(B501="","",COUNTIFS('Call Log'!$C$2:$C$5000,B501,'Call Log'!$A$2:$A$5000,"&gt;="&amp;(TODAY()-WEEKDAY(TODAY(),2)+1)))</f>
        <v>0</v>
      </c>
      <c r="Q501" s="5">
        <f>IF(B501="","",COUNTIF('Call Log'!$C$2:$C$5000,B501))</f>
        <v>0</v>
      </c>
      <c r="R501" s="21" t="str">
        <f>IF(B501="","",IFERROR(IF(MAXIFS('Call Log'!$A$2:$A$5000,'Call Log'!$C$2:$C$5000,B501)=0,"",MAXIFS('Call Log'!$A$2:$A$5000,'Call Log'!$C$2:$C$5000,B501)),""))</f>
        <v/>
      </c>
      <c r="S501" s="5"/>
      <c r="T501" s="21"/>
      <c r="U501" s="21"/>
      <c r="V501" s="5"/>
      <c r="W501" s="20"/>
      <c r="X501" s="5"/>
      <c r="Y501" s="5"/>
      <c r="Z501" s="5" t="s">
        <v>132</v>
      </c>
      <c r="AA501" s="5" t="s">
        <v>2958</v>
      </c>
    </row>
    <row r="502" ht="15.0" customHeight="1">
      <c r="A502" s="5" t="s">
        <v>2959</v>
      </c>
      <c r="B502" s="5" t="s">
        <v>2960</v>
      </c>
      <c r="C502" s="5" t="s">
        <v>2961</v>
      </c>
      <c r="D502" s="5"/>
      <c r="E502" s="5"/>
      <c r="F502" s="20"/>
      <c r="G502" s="20"/>
      <c r="H502" s="5" t="s">
        <v>41</v>
      </c>
      <c r="I502" s="5" t="s">
        <v>122</v>
      </c>
      <c r="J502" s="5" t="s">
        <v>114</v>
      </c>
      <c r="K502" s="5" t="s">
        <v>2962</v>
      </c>
      <c r="L502" s="5"/>
      <c r="M502" s="5" t="s">
        <v>8</v>
      </c>
      <c r="N502" s="5" t="s">
        <v>80</v>
      </c>
      <c r="O502" s="5" t="str">
        <f>IF(B502="","",IFERROR(LOOKUP(2,1/('Call Log'!$C$2:$C$5000=B502),'Call Log'!$B$2:$B$5000),""))</f>
        <v/>
      </c>
      <c r="P502" s="5">
        <f>IF(B502="","",COUNTIFS('Call Log'!$C$2:$C$5000,B502,'Call Log'!$A$2:$A$5000,"&gt;="&amp;(TODAY()-WEEKDAY(TODAY(),2)+1)))</f>
        <v>0</v>
      </c>
      <c r="Q502" s="5">
        <f>IF(B502="","",COUNTIF('Call Log'!$C$2:$C$5000,B502))</f>
        <v>0</v>
      </c>
      <c r="R502" s="21" t="str">
        <f>IF(B502="","",IFERROR(IF(MAXIFS('Call Log'!$A$2:$A$5000,'Call Log'!$C$2:$C$5000,B502)=0,"",MAXIFS('Call Log'!$A$2:$A$5000,'Call Log'!$C$2:$C$5000,B502)),""))</f>
        <v/>
      </c>
      <c r="S502" s="5"/>
      <c r="T502" s="21"/>
      <c r="U502" s="21"/>
      <c r="V502" s="5"/>
      <c r="W502" s="20"/>
      <c r="X502" s="5"/>
      <c r="Y502" s="5"/>
      <c r="Z502" s="5" t="s">
        <v>132</v>
      </c>
      <c r="AA502" s="5" t="s">
        <v>2963</v>
      </c>
    </row>
    <row r="503" ht="15.0" customHeight="1">
      <c r="A503" s="5" t="s">
        <v>2964</v>
      </c>
      <c r="B503" s="5" t="s">
        <v>2965</v>
      </c>
      <c r="C503" s="5" t="s">
        <v>2966</v>
      </c>
      <c r="D503" s="5"/>
      <c r="E503" s="5"/>
      <c r="F503" s="20"/>
      <c r="G503" s="20"/>
      <c r="H503" s="5" t="s">
        <v>40</v>
      </c>
      <c r="I503" s="5" t="s">
        <v>865</v>
      </c>
      <c r="J503" s="5" t="s">
        <v>114</v>
      </c>
      <c r="K503" s="5" t="s">
        <v>2967</v>
      </c>
      <c r="L503" s="5"/>
      <c r="M503" s="5" t="s">
        <v>8</v>
      </c>
      <c r="N503" s="5" t="s">
        <v>80</v>
      </c>
      <c r="O503" s="5" t="str">
        <f>IF(B503="","",IFERROR(LOOKUP(2,1/('Call Log'!$C$2:$C$5000=B503),'Call Log'!$B$2:$B$5000),""))</f>
        <v/>
      </c>
      <c r="P503" s="5">
        <f>IF(B503="","",COUNTIFS('Call Log'!$C$2:$C$5000,B503,'Call Log'!$A$2:$A$5000,"&gt;="&amp;(TODAY()-WEEKDAY(TODAY(),2)+1)))</f>
        <v>0</v>
      </c>
      <c r="Q503" s="5">
        <f>IF(B503="","",COUNTIF('Call Log'!$C$2:$C$5000,B503))</f>
        <v>0</v>
      </c>
      <c r="R503" s="21" t="str">
        <f>IF(B503="","",IFERROR(IF(MAXIFS('Call Log'!$A$2:$A$5000,'Call Log'!$C$2:$C$5000,B503)=0,"",MAXIFS('Call Log'!$A$2:$A$5000,'Call Log'!$C$2:$C$5000,B503)),""))</f>
        <v/>
      </c>
      <c r="S503" s="5"/>
      <c r="T503" s="21"/>
      <c r="U503" s="21"/>
      <c r="V503" s="5"/>
      <c r="W503" s="20"/>
      <c r="X503" s="5"/>
      <c r="Y503" s="5"/>
      <c r="Z503" s="5" t="s">
        <v>132</v>
      </c>
      <c r="AA503" s="5" t="s">
        <v>2968</v>
      </c>
    </row>
    <row r="504" ht="15.0" customHeight="1">
      <c r="A504" s="5" t="s">
        <v>2969</v>
      </c>
      <c r="B504" s="5" t="s">
        <v>2970</v>
      </c>
      <c r="C504" s="5" t="s">
        <v>2971</v>
      </c>
      <c r="D504" s="5"/>
      <c r="E504" s="5"/>
      <c r="F504" s="20"/>
      <c r="G504" s="20"/>
      <c r="H504" s="5" t="s">
        <v>41</v>
      </c>
      <c r="I504" s="5" t="s">
        <v>175</v>
      </c>
      <c r="J504" s="5" t="s">
        <v>114</v>
      </c>
      <c r="K504" s="5" t="s">
        <v>2972</v>
      </c>
      <c r="L504" s="5"/>
      <c r="M504" s="5" t="s">
        <v>8</v>
      </c>
      <c r="N504" s="5" t="s">
        <v>80</v>
      </c>
      <c r="O504" s="5" t="str">
        <f>IF(B504="","",IFERROR(LOOKUP(2,1/('Call Log'!$C$2:$C$5000=B504),'Call Log'!$B$2:$B$5000),""))</f>
        <v/>
      </c>
      <c r="P504" s="5">
        <f>IF(B504="","",COUNTIFS('Call Log'!$C$2:$C$5000,B504,'Call Log'!$A$2:$A$5000,"&gt;="&amp;(TODAY()-WEEKDAY(TODAY(),2)+1)))</f>
        <v>0</v>
      </c>
      <c r="Q504" s="5">
        <f>IF(B504="","",COUNTIF('Call Log'!$C$2:$C$5000,B504))</f>
        <v>0</v>
      </c>
      <c r="R504" s="21" t="str">
        <f>IF(B504="","",IFERROR(IF(MAXIFS('Call Log'!$A$2:$A$5000,'Call Log'!$C$2:$C$5000,B504)=0,"",MAXIFS('Call Log'!$A$2:$A$5000,'Call Log'!$C$2:$C$5000,B504)),""))</f>
        <v/>
      </c>
      <c r="S504" s="5"/>
      <c r="T504" s="21"/>
      <c r="U504" s="21"/>
      <c r="V504" s="5"/>
      <c r="W504" s="20"/>
      <c r="X504" s="5"/>
      <c r="Y504" s="5"/>
      <c r="Z504" s="5" t="s">
        <v>132</v>
      </c>
      <c r="AA504" s="5" t="s">
        <v>2973</v>
      </c>
    </row>
    <row r="505" ht="15.0" customHeight="1">
      <c r="A505" s="5" t="s">
        <v>2974</v>
      </c>
      <c r="B505" s="5" t="s">
        <v>2975</v>
      </c>
      <c r="C505" s="5" t="s">
        <v>2976</v>
      </c>
      <c r="D505" s="5"/>
      <c r="E505" s="5"/>
      <c r="F505" s="20"/>
      <c r="G505" s="20"/>
      <c r="H505" s="5" t="s">
        <v>40</v>
      </c>
      <c r="I505" s="5" t="s">
        <v>667</v>
      </c>
      <c r="J505" s="5" t="s">
        <v>114</v>
      </c>
      <c r="K505" s="5" t="s">
        <v>2977</v>
      </c>
      <c r="L505" s="5" t="s">
        <v>2978</v>
      </c>
      <c r="M505" s="5" t="s">
        <v>8</v>
      </c>
      <c r="N505" s="5" t="s">
        <v>80</v>
      </c>
      <c r="O505" s="5" t="str">
        <f>IF(B505="","",IFERROR(LOOKUP(2,1/('Call Log'!$C$2:$C$5000=B505),'Call Log'!$B$2:$B$5000),""))</f>
        <v/>
      </c>
      <c r="P505" s="5">
        <f>IF(B505="","",COUNTIFS('Call Log'!$C$2:$C$5000,B505,'Call Log'!$A$2:$A$5000,"&gt;="&amp;(TODAY()-WEEKDAY(TODAY(),2)+1)))</f>
        <v>0</v>
      </c>
      <c r="Q505" s="5">
        <f>IF(B505="","",COUNTIF('Call Log'!$C$2:$C$5000,B505))</f>
        <v>0</v>
      </c>
      <c r="R505" s="21" t="str">
        <f>IF(B505="","",IFERROR(IF(MAXIFS('Call Log'!$A$2:$A$5000,'Call Log'!$C$2:$C$5000,B505)=0,"",MAXIFS('Call Log'!$A$2:$A$5000,'Call Log'!$C$2:$C$5000,B505)),""))</f>
        <v/>
      </c>
      <c r="S505" s="5"/>
      <c r="T505" s="21"/>
      <c r="U505" s="21"/>
      <c r="V505" s="5"/>
      <c r="W505" s="20"/>
      <c r="X505" s="5"/>
      <c r="Y505" s="5"/>
      <c r="Z505" s="5" t="s">
        <v>132</v>
      </c>
      <c r="AA505" s="5" t="s">
        <v>2979</v>
      </c>
    </row>
    <row r="506" ht="15.0" customHeight="1">
      <c r="A506" s="5" t="s">
        <v>2980</v>
      </c>
      <c r="B506" s="5" t="s">
        <v>2981</v>
      </c>
      <c r="C506" s="5" t="s">
        <v>2982</v>
      </c>
      <c r="D506" s="5"/>
      <c r="E506" s="5"/>
      <c r="F506" s="20"/>
      <c r="G506" s="20"/>
      <c r="H506" s="5" t="s">
        <v>41</v>
      </c>
      <c r="I506" s="5" t="s">
        <v>213</v>
      </c>
      <c r="J506" s="5" t="s">
        <v>114</v>
      </c>
      <c r="K506" s="5" t="s">
        <v>2983</v>
      </c>
      <c r="L506" s="5"/>
      <c r="M506" s="5" t="s">
        <v>8</v>
      </c>
      <c r="N506" s="5" t="s">
        <v>80</v>
      </c>
      <c r="O506" s="5" t="str">
        <f>IF(B506="","",IFERROR(LOOKUP(2,1/('Call Log'!$C$2:$C$5000=B506),'Call Log'!$B$2:$B$5000),""))</f>
        <v/>
      </c>
      <c r="P506" s="5">
        <f>IF(B506="","",COUNTIFS('Call Log'!$C$2:$C$5000,B506,'Call Log'!$A$2:$A$5000,"&gt;="&amp;(TODAY()-WEEKDAY(TODAY(),2)+1)))</f>
        <v>0</v>
      </c>
      <c r="Q506" s="5">
        <f>IF(B506="","",COUNTIF('Call Log'!$C$2:$C$5000,B506))</f>
        <v>0</v>
      </c>
      <c r="R506" s="21" t="str">
        <f>IF(B506="","",IFERROR(IF(MAXIFS('Call Log'!$A$2:$A$5000,'Call Log'!$C$2:$C$5000,B506)=0,"",MAXIFS('Call Log'!$A$2:$A$5000,'Call Log'!$C$2:$C$5000,B506)),""))</f>
        <v/>
      </c>
      <c r="S506" s="5"/>
      <c r="T506" s="21"/>
      <c r="U506" s="21"/>
      <c r="V506" s="5"/>
      <c r="W506" s="20"/>
      <c r="X506" s="5"/>
      <c r="Y506" s="5"/>
      <c r="Z506" s="5" t="s">
        <v>132</v>
      </c>
      <c r="AA506" s="5" t="s">
        <v>2984</v>
      </c>
    </row>
    <row r="507" ht="15.0" customHeight="1">
      <c r="A507" s="5" t="s">
        <v>2985</v>
      </c>
      <c r="B507" s="5" t="s">
        <v>2986</v>
      </c>
      <c r="C507" s="5" t="s">
        <v>2987</v>
      </c>
      <c r="D507" s="5"/>
      <c r="E507" s="5"/>
      <c r="F507" s="20"/>
      <c r="G507" s="20"/>
      <c r="H507" s="5" t="s">
        <v>41</v>
      </c>
      <c r="I507" s="5" t="s">
        <v>357</v>
      </c>
      <c r="J507" s="5" t="s">
        <v>114</v>
      </c>
      <c r="K507" s="5" t="s">
        <v>2988</v>
      </c>
      <c r="L507" s="5"/>
      <c r="M507" s="5" t="s">
        <v>8</v>
      </c>
      <c r="N507" s="5" t="s">
        <v>80</v>
      </c>
      <c r="O507" s="5" t="str">
        <f>IF(B507="","",IFERROR(LOOKUP(2,1/('Call Log'!$C$2:$C$5000=B507),'Call Log'!$B$2:$B$5000),""))</f>
        <v/>
      </c>
      <c r="P507" s="5">
        <f>IF(B507="","",COUNTIFS('Call Log'!$C$2:$C$5000,B507,'Call Log'!$A$2:$A$5000,"&gt;="&amp;(TODAY()-WEEKDAY(TODAY(),2)+1)))</f>
        <v>0</v>
      </c>
      <c r="Q507" s="5">
        <f>IF(B507="","",COUNTIF('Call Log'!$C$2:$C$5000,B507))</f>
        <v>0</v>
      </c>
      <c r="R507" s="21" t="str">
        <f>IF(B507="","",IFERROR(IF(MAXIFS('Call Log'!$A$2:$A$5000,'Call Log'!$C$2:$C$5000,B507)=0,"",MAXIFS('Call Log'!$A$2:$A$5000,'Call Log'!$C$2:$C$5000,B507)),""))</f>
        <v/>
      </c>
      <c r="S507" s="5"/>
      <c r="T507" s="21"/>
      <c r="U507" s="21"/>
      <c r="V507" s="5"/>
      <c r="W507" s="20"/>
      <c r="X507" s="5"/>
      <c r="Y507" s="5"/>
      <c r="Z507" s="5" t="s">
        <v>132</v>
      </c>
      <c r="AA507" s="5" t="s">
        <v>2989</v>
      </c>
    </row>
    <row r="508" ht="15.0" customHeight="1">
      <c r="A508" s="5" t="s">
        <v>2990</v>
      </c>
      <c r="B508" s="5" t="s">
        <v>2991</v>
      </c>
      <c r="C508" s="5" t="s">
        <v>2992</v>
      </c>
      <c r="D508" s="5"/>
      <c r="E508" s="5"/>
      <c r="F508" s="20"/>
      <c r="G508" s="20"/>
      <c r="H508" s="5" t="s">
        <v>40</v>
      </c>
      <c r="I508" s="5" t="s">
        <v>213</v>
      </c>
      <c r="J508" s="5" t="s">
        <v>114</v>
      </c>
      <c r="K508" s="5" t="s">
        <v>2993</v>
      </c>
      <c r="L508" s="5"/>
      <c r="M508" s="5" t="s">
        <v>8</v>
      </c>
      <c r="N508" s="5" t="s">
        <v>80</v>
      </c>
      <c r="O508" s="5" t="str">
        <f>IF(B508="","",IFERROR(LOOKUP(2,1/('Call Log'!$C$2:$C$5000=B508),'Call Log'!$B$2:$B$5000),""))</f>
        <v/>
      </c>
      <c r="P508" s="5">
        <f>IF(B508="","",COUNTIFS('Call Log'!$C$2:$C$5000,B508,'Call Log'!$A$2:$A$5000,"&gt;="&amp;(TODAY()-WEEKDAY(TODAY(),2)+1)))</f>
        <v>0</v>
      </c>
      <c r="Q508" s="5">
        <f>IF(B508="","",COUNTIF('Call Log'!$C$2:$C$5000,B508))</f>
        <v>0</v>
      </c>
      <c r="R508" s="21" t="str">
        <f>IF(B508="","",IFERROR(IF(MAXIFS('Call Log'!$A$2:$A$5000,'Call Log'!$C$2:$C$5000,B508)=0,"",MAXIFS('Call Log'!$A$2:$A$5000,'Call Log'!$C$2:$C$5000,B508)),""))</f>
        <v/>
      </c>
      <c r="S508" s="5"/>
      <c r="T508" s="21"/>
      <c r="U508" s="21"/>
      <c r="V508" s="5"/>
      <c r="W508" s="20"/>
      <c r="X508" s="5"/>
      <c r="Y508" s="5"/>
      <c r="Z508" s="5" t="s">
        <v>132</v>
      </c>
      <c r="AA508" s="5" t="s">
        <v>2994</v>
      </c>
    </row>
    <row r="509" ht="15.0" customHeight="1">
      <c r="A509" s="5" t="s">
        <v>2995</v>
      </c>
      <c r="B509" s="5" t="s">
        <v>2996</v>
      </c>
      <c r="C509" s="5" t="s">
        <v>2997</v>
      </c>
      <c r="D509" s="5"/>
      <c r="E509" s="5"/>
      <c r="F509" s="20"/>
      <c r="G509" s="20"/>
      <c r="H509" s="5" t="s">
        <v>40</v>
      </c>
      <c r="I509" s="5" t="s">
        <v>231</v>
      </c>
      <c r="J509" s="5" t="s">
        <v>114</v>
      </c>
      <c r="K509" s="5" t="s">
        <v>2998</v>
      </c>
      <c r="L509" s="5"/>
      <c r="M509" s="5" t="s">
        <v>8</v>
      </c>
      <c r="N509" s="5" t="s">
        <v>80</v>
      </c>
      <c r="O509" s="5" t="str">
        <f>IF(B509="","",IFERROR(LOOKUP(2,1/('Call Log'!$C$2:$C$5000=B509),'Call Log'!$B$2:$B$5000),""))</f>
        <v/>
      </c>
      <c r="P509" s="5">
        <f>IF(B509="","",COUNTIFS('Call Log'!$C$2:$C$5000,B509,'Call Log'!$A$2:$A$5000,"&gt;="&amp;(TODAY()-WEEKDAY(TODAY(),2)+1)))</f>
        <v>0</v>
      </c>
      <c r="Q509" s="5">
        <f>IF(B509="","",COUNTIF('Call Log'!$C$2:$C$5000,B509))</f>
        <v>0</v>
      </c>
      <c r="R509" s="21" t="str">
        <f>IF(B509="","",IFERROR(IF(MAXIFS('Call Log'!$A$2:$A$5000,'Call Log'!$C$2:$C$5000,B509)=0,"",MAXIFS('Call Log'!$A$2:$A$5000,'Call Log'!$C$2:$C$5000,B509)),""))</f>
        <v/>
      </c>
      <c r="S509" s="5"/>
      <c r="T509" s="21"/>
      <c r="U509" s="21"/>
      <c r="V509" s="5"/>
      <c r="W509" s="20"/>
      <c r="X509" s="5"/>
      <c r="Y509" s="5"/>
      <c r="Z509" s="5" t="s">
        <v>132</v>
      </c>
      <c r="AA509" s="5" t="s">
        <v>2999</v>
      </c>
    </row>
    <row r="510" ht="15.0" customHeight="1">
      <c r="A510" s="5" t="s">
        <v>3000</v>
      </c>
      <c r="B510" s="5" t="s">
        <v>3001</v>
      </c>
      <c r="C510" s="5" t="s">
        <v>3002</v>
      </c>
      <c r="D510" s="5"/>
      <c r="E510" s="5"/>
      <c r="F510" s="20"/>
      <c r="G510" s="20"/>
      <c r="H510" s="5" t="s">
        <v>40</v>
      </c>
      <c r="I510" s="5" t="s">
        <v>756</v>
      </c>
      <c r="J510" s="5" t="s">
        <v>114</v>
      </c>
      <c r="K510" s="5" t="s">
        <v>3003</v>
      </c>
      <c r="L510" s="5" t="s">
        <v>3004</v>
      </c>
      <c r="M510" s="5" t="s">
        <v>8</v>
      </c>
      <c r="N510" s="5" t="s">
        <v>80</v>
      </c>
      <c r="O510" s="5" t="str">
        <f>IF(B510="","",IFERROR(LOOKUP(2,1/('Call Log'!$C$2:$C$5000=B510),'Call Log'!$B$2:$B$5000),""))</f>
        <v/>
      </c>
      <c r="P510" s="5">
        <f>IF(B510="","",COUNTIFS('Call Log'!$C$2:$C$5000,B510,'Call Log'!$A$2:$A$5000,"&gt;="&amp;(TODAY()-WEEKDAY(TODAY(),2)+1)))</f>
        <v>0</v>
      </c>
      <c r="Q510" s="5">
        <f>IF(B510="","",COUNTIF('Call Log'!$C$2:$C$5000,B510))</f>
        <v>0</v>
      </c>
      <c r="R510" s="21" t="str">
        <f>IF(B510="","",IFERROR(IF(MAXIFS('Call Log'!$A$2:$A$5000,'Call Log'!$C$2:$C$5000,B510)=0,"",MAXIFS('Call Log'!$A$2:$A$5000,'Call Log'!$C$2:$C$5000,B510)),""))</f>
        <v/>
      </c>
      <c r="S510" s="5"/>
      <c r="T510" s="21"/>
      <c r="U510" s="21"/>
      <c r="V510" s="5"/>
      <c r="W510" s="20"/>
      <c r="X510" s="5"/>
      <c r="Y510" s="5"/>
      <c r="Z510" s="5" t="s">
        <v>132</v>
      </c>
      <c r="AA510" s="5" t="s">
        <v>3005</v>
      </c>
    </row>
    <row r="511" ht="15.0" customHeight="1">
      <c r="A511" s="5" t="s">
        <v>3006</v>
      </c>
      <c r="B511" s="5" t="s">
        <v>3007</v>
      </c>
      <c r="C511" s="5" t="s">
        <v>3008</v>
      </c>
      <c r="D511" s="5"/>
      <c r="E511" s="5"/>
      <c r="F511" s="20"/>
      <c r="G511" s="20"/>
      <c r="H511" s="5" t="s">
        <v>41</v>
      </c>
      <c r="I511" s="5" t="s">
        <v>206</v>
      </c>
      <c r="J511" s="5" t="s">
        <v>114</v>
      </c>
      <c r="K511" s="5" t="s">
        <v>3009</v>
      </c>
      <c r="L511" s="5"/>
      <c r="M511" s="5" t="s">
        <v>8</v>
      </c>
      <c r="N511" s="5" t="s">
        <v>80</v>
      </c>
      <c r="O511" s="5" t="str">
        <f>IF(B511="","",IFERROR(LOOKUP(2,1/('Call Log'!$C$2:$C$5000=B511),'Call Log'!$B$2:$B$5000),""))</f>
        <v/>
      </c>
      <c r="P511" s="5">
        <f>IF(B511="","",COUNTIFS('Call Log'!$C$2:$C$5000,B511,'Call Log'!$A$2:$A$5000,"&gt;="&amp;(TODAY()-WEEKDAY(TODAY(),2)+1)))</f>
        <v>0</v>
      </c>
      <c r="Q511" s="5">
        <f>IF(B511="","",COUNTIF('Call Log'!$C$2:$C$5000,B511))</f>
        <v>0</v>
      </c>
      <c r="R511" s="21" t="str">
        <f>IF(B511="","",IFERROR(IF(MAXIFS('Call Log'!$A$2:$A$5000,'Call Log'!$C$2:$C$5000,B511)=0,"",MAXIFS('Call Log'!$A$2:$A$5000,'Call Log'!$C$2:$C$5000,B511)),""))</f>
        <v/>
      </c>
      <c r="S511" s="5"/>
      <c r="T511" s="21"/>
      <c r="U511" s="21"/>
      <c r="V511" s="5"/>
      <c r="W511" s="20"/>
      <c r="X511" s="5"/>
      <c r="Y511" s="5"/>
      <c r="Z511" s="5" t="s">
        <v>132</v>
      </c>
      <c r="AA511" s="5" t="s">
        <v>3010</v>
      </c>
    </row>
    <row r="512" ht="15.0" customHeight="1">
      <c r="A512" s="5" t="s">
        <v>3011</v>
      </c>
      <c r="B512" s="5" t="s">
        <v>3012</v>
      </c>
      <c r="C512" s="5" t="s">
        <v>3013</v>
      </c>
      <c r="D512" s="5"/>
      <c r="E512" s="5"/>
      <c r="F512" s="20"/>
      <c r="G512" s="20"/>
      <c r="H512" s="5" t="s">
        <v>41</v>
      </c>
      <c r="I512" s="5" t="s">
        <v>213</v>
      </c>
      <c r="J512" s="5" t="s">
        <v>114</v>
      </c>
      <c r="K512" s="5" t="s">
        <v>3014</v>
      </c>
      <c r="L512" s="5"/>
      <c r="M512" s="5" t="s">
        <v>8</v>
      </c>
      <c r="N512" s="5" t="s">
        <v>80</v>
      </c>
      <c r="O512" s="5" t="str">
        <f>IF(B512="","",IFERROR(LOOKUP(2,1/('Call Log'!$C$2:$C$5000=B512),'Call Log'!$B$2:$B$5000),""))</f>
        <v/>
      </c>
      <c r="P512" s="5">
        <f>IF(B512="","",COUNTIFS('Call Log'!$C$2:$C$5000,B512,'Call Log'!$A$2:$A$5000,"&gt;="&amp;(TODAY()-WEEKDAY(TODAY(),2)+1)))</f>
        <v>0</v>
      </c>
      <c r="Q512" s="5">
        <f>IF(B512="","",COUNTIF('Call Log'!$C$2:$C$5000,B512))</f>
        <v>0</v>
      </c>
      <c r="R512" s="21" t="str">
        <f>IF(B512="","",IFERROR(IF(MAXIFS('Call Log'!$A$2:$A$5000,'Call Log'!$C$2:$C$5000,B512)=0,"",MAXIFS('Call Log'!$A$2:$A$5000,'Call Log'!$C$2:$C$5000,B512)),""))</f>
        <v/>
      </c>
      <c r="S512" s="5"/>
      <c r="T512" s="21"/>
      <c r="U512" s="21"/>
      <c r="V512" s="5"/>
      <c r="W512" s="20"/>
      <c r="X512" s="5"/>
      <c r="Y512" s="5"/>
      <c r="Z512" s="5" t="s">
        <v>132</v>
      </c>
      <c r="AA512" s="5" t="s">
        <v>3015</v>
      </c>
    </row>
    <row r="513" ht="15.0" customHeight="1">
      <c r="A513" s="5" t="s">
        <v>3016</v>
      </c>
      <c r="B513" s="5" t="s">
        <v>3017</v>
      </c>
      <c r="C513" s="5" t="s">
        <v>3018</v>
      </c>
      <c r="D513" s="5"/>
      <c r="E513" s="5"/>
      <c r="F513" s="20"/>
      <c r="G513" s="20"/>
      <c r="H513" s="5" t="s">
        <v>40</v>
      </c>
      <c r="I513" s="5" t="s">
        <v>231</v>
      </c>
      <c r="J513" s="5" t="s">
        <v>114</v>
      </c>
      <c r="K513" s="5" t="s">
        <v>3019</v>
      </c>
      <c r="L513" s="5"/>
      <c r="M513" s="5" t="s">
        <v>8</v>
      </c>
      <c r="N513" s="5" t="s">
        <v>80</v>
      </c>
      <c r="O513" s="5" t="str">
        <f>IF(B513="","",IFERROR(LOOKUP(2,1/('Call Log'!$C$2:$C$5000=B513),'Call Log'!$B$2:$B$5000),""))</f>
        <v/>
      </c>
      <c r="P513" s="5">
        <f>IF(B513="","",COUNTIFS('Call Log'!$C$2:$C$5000,B513,'Call Log'!$A$2:$A$5000,"&gt;="&amp;(TODAY()-WEEKDAY(TODAY(),2)+1)))</f>
        <v>0</v>
      </c>
      <c r="Q513" s="5">
        <f>IF(B513="","",COUNTIF('Call Log'!$C$2:$C$5000,B513))</f>
        <v>0</v>
      </c>
      <c r="R513" s="21" t="str">
        <f>IF(B513="","",IFERROR(IF(MAXIFS('Call Log'!$A$2:$A$5000,'Call Log'!$C$2:$C$5000,B513)=0,"",MAXIFS('Call Log'!$A$2:$A$5000,'Call Log'!$C$2:$C$5000,B513)),""))</f>
        <v/>
      </c>
      <c r="S513" s="5"/>
      <c r="T513" s="21"/>
      <c r="U513" s="21"/>
      <c r="V513" s="5"/>
      <c r="W513" s="20"/>
      <c r="X513" s="5"/>
      <c r="Y513" s="5"/>
      <c r="Z513" s="5" t="s">
        <v>132</v>
      </c>
      <c r="AA513" s="5" t="s">
        <v>3020</v>
      </c>
    </row>
    <row r="514" ht="15.0" customHeight="1">
      <c r="A514" s="5" t="s">
        <v>3021</v>
      </c>
      <c r="B514" s="5" t="s">
        <v>3022</v>
      </c>
      <c r="C514" s="5" t="s">
        <v>3023</v>
      </c>
      <c r="D514" s="5"/>
      <c r="E514" s="5"/>
      <c r="F514" s="20"/>
      <c r="G514" s="20"/>
      <c r="H514" s="5" t="s">
        <v>40</v>
      </c>
      <c r="I514" s="5" t="s">
        <v>865</v>
      </c>
      <c r="J514" s="5" t="s">
        <v>114</v>
      </c>
      <c r="K514" s="5" t="s">
        <v>3024</v>
      </c>
      <c r="L514" s="5"/>
      <c r="M514" s="5" t="s">
        <v>8</v>
      </c>
      <c r="N514" s="5" t="s">
        <v>80</v>
      </c>
      <c r="O514" s="5" t="str">
        <f>IF(B514="","",IFERROR(LOOKUP(2,1/('Call Log'!$C$2:$C$5000=B514),'Call Log'!$B$2:$B$5000),""))</f>
        <v/>
      </c>
      <c r="P514" s="5">
        <f>IF(B514="","",COUNTIFS('Call Log'!$C$2:$C$5000,B514,'Call Log'!$A$2:$A$5000,"&gt;="&amp;(TODAY()-WEEKDAY(TODAY(),2)+1)))</f>
        <v>0</v>
      </c>
      <c r="Q514" s="5">
        <f>IF(B514="","",COUNTIF('Call Log'!$C$2:$C$5000,B514))</f>
        <v>0</v>
      </c>
      <c r="R514" s="21" t="str">
        <f>IF(B514="","",IFERROR(IF(MAXIFS('Call Log'!$A$2:$A$5000,'Call Log'!$C$2:$C$5000,B514)=0,"",MAXIFS('Call Log'!$A$2:$A$5000,'Call Log'!$C$2:$C$5000,B514)),""))</f>
        <v/>
      </c>
      <c r="S514" s="5"/>
      <c r="T514" s="21"/>
      <c r="U514" s="21"/>
      <c r="V514" s="5"/>
      <c r="W514" s="20"/>
      <c r="X514" s="5"/>
      <c r="Y514" s="5"/>
      <c r="Z514" s="5" t="s">
        <v>132</v>
      </c>
      <c r="AA514" s="5" t="s">
        <v>3025</v>
      </c>
    </row>
    <row r="515" ht="15.0" customHeight="1">
      <c r="A515" s="5" t="s">
        <v>3026</v>
      </c>
      <c r="B515" s="5" t="s">
        <v>3027</v>
      </c>
      <c r="C515" s="5" t="s">
        <v>3028</v>
      </c>
      <c r="D515" s="5"/>
      <c r="E515" s="5"/>
      <c r="F515" s="20"/>
      <c r="G515" s="20"/>
      <c r="H515" s="5" t="s">
        <v>41</v>
      </c>
      <c r="I515" s="5" t="s">
        <v>461</v>
      </c>
      <c r="J515" s="5" t="s">
        <v>114</v>
      </c>
      <c r="K515" s="5" t="s">
        <v>3029</v>
      </c>
      <c r="L515" s="5"/>
      <c r="M515" s="5" t="s">
        <v>8</v>
      </c>
      <c r="N515" s="5" t="s">
        <v>80</v>
      </c>
      <c r="O515" s="5" t="str">
        <f>IF(B515="","",IFERROR(LOOKUP(2,1/('Call Log'!$C$2:$C$5000=B515),'Call Log'!$B$2:$B$5000),""))</f>
        <v/>
      </c>
      <c r="P515" s="5">
        <f>IF(B515="","",COUNTIFS('Call Log'!$C$2:$C$5000,B515,'Call Log'!$A$2:$A$5000,"&gt;="&amp;(TODAY()-WEEKDAY(TODAY(),2)+1)))</f>
        <v>0</v>
      </c>
      <c r="Q515" s="5">
        <f>IF(B515="","",COUNTIF('Call Log'!$C$2:$C$5000,B515))</f>
        <v>0</v>
      </c>
      <c r="R515" s="21" t="str">
        <f>IF(B515="","",IFERROR(IF(MAXIFS('Call Log'!$A$2:$A$5000,'Call Log'!$C$2:$C$5000,B515)=0,"",MAXIFS('Call Log'!$A$2:$A$5000,'Call Log'!$C$2:$C$5000,B515)),""))</f>
        <v/>
      </c>
      <c r="S515" s="5"/>
      <c r="T515" s="21"/>
      <c r="U515" s="21"/>
      <c r="V515" s="5"/>
      <c r="W515" s="20"/>
      <c r="X515" s="5"/>
      <c r="Y515" s="5"/>
      <c r="Z515" s="5" t="s">
        <v>132</v>
      </c>
      <c r="AA515" s="5" t="s">
        <v>3030</v>
      </c>
    </row>
    <row r="516" ht="15.0" customHeight="1">
      <c r="A516" s="5" t="s">
        <v>3031</v>
      </c>
      <c r="B516" s="5" t="s">
        <v>3032</v>
      </c>
      <c r="C516" s="5" t="s">
        <v>3033</v>
      </c>
      <c r="D516" s="5"/>
      <c r="E516" s="5"/>
      <c r="F516" s="20"/>
      <c r="G516" s="20"/>
      <c r="H516" s="5" t="s">
        <v>40</v>
      </c>
      <c r="I516" s="5" t="s">
        <v>594</v>
      </c>
      <c r="J516" s="5" t="s">
        <v>114</v>
      </c>
      <c r="K516" s="5" t="s">
        <v>3034</v>
      </c>
      <c r="L516" s="5"/>
      <c r="M516" s="5" t="s">
        <v>8</v>
      </c>
      <c r="N516" s="5" t="s">
        <v>80</v>
      </c>
      <c r="O516" s="5" t="str">
        <f>IF(B516="","",IFERROR(LOOKUP(2,1/('Call Log'!$C$2:$C$5000=B516),'Call Log'!$B$2:$B$5000),""))</f>
        <v/>
      </c>
      <c r="P516" s="5">
        <f>IF(B516="","",COUNTIFS('Call Log'!$C$2:$C$5000,B516,'Call Log'!$A$2:$A$5000,"&gt;="&amp;(TODAY()-WEEKDAY(TODAY(),2)+1)))</f>
        <v>0</v>
      </c>
      <c r="Q516" s="5">
        <f>IF(B516="","",COUNTIF('Call Log'!$C$2:$C$5000,B516))</f>
        <v>0</v>
      </c>
      <c r="R516" s="21" t="str">
        <f>IF(B516="","",IFERROR(IF(MAXIFS('Call Log'!$A$2:$A$5000,'Call Log'!$C$2:$C$5000,B516)=0,"",MAXIFS('Call Log'!$A$2:$A$5000,'Call Log'!$C$2:$C$5000,B516)),""))</f>
        <v/>
      </c>
      <c r="S516" s="5"/>
      <c r="T516" s="21"/>
      <c r="U516" s="21"/>
      <c r="V516" s="5"/>
      <c r="W516" s="20"/>
      <c r="X516" s="5"/>
      <c r="Y516" s="5"/>
      <c r="Z516" s="5" t="s">
        <v>132</v>
      </c>
      <c r="AA516" s="5" t="s">
        <v>3035</v>
      </c>
    </row>
    <row r="517" ht="15.0" customHeight="1">
      <c r="A517" s="5" t="s">
        <v>3036</v>
      </c>
      <c r="B517" s="5" t="s">
        <v>3037</v>
      </c>
      <c r="C517" s="5" t="s">
        <v>3038</v>
      </c>
      <c r="D517" s="5"/>
      <c r="E517" s="5"/>
      <c r="F517" s="20"/>
      <c r="G517" s="20"/>
      <c r="H517" s="5" t="s">
        <v>41</v>
      </c>
      <c r="I517" s="5" t="s">
        <v>1093</v>
      </c>
      <c r="J517" s="5" t="s">
        <v>114</v>
      </c>
      <c r="K517" s="5" t="s">
        <v>3039</v>
      </c>
      <c r="L517" s="5"/>
      <c r="M517" s="5" t="s">
        <v>8</v>
      </c>
      <c r="N517" s="5" t="s">
        <v>80</v>
      </c>
      <c r="O517" s="5" t="str">
        <f>IF(B517="","",IFERROR(LOOKUP(2,1/('Call Log'!$C$2:$C$5000=B517),'Call Log'!$B$2:$B$5000),""))</f>
        <v/>
      </c>
      <c r="P517" s="5">
        <f>IF(B517="","",COUNTIFS('Call Log'!$C$2:$C$5000,B517,'Call Log'!$A$2:$A$5000,"&gt;="&amp;(TODAY()-WEEKDAY(TODAY(),2)+1)))</f>
        <v>0</v>
      </c>
      <c r="Q517" s="5">
        <f>IF(B517="","",COUNTIF('Call Log'!$C$2:$C$5000,B517))</f>
        <v>0</v>
      </c>
      <c r="R517" s="21" t="str">
        <f>IF(B517="","",IFERROR(IF(MAXIFS('Call Log'!$A$2:$A$5000,'Call Log'!$C$2:$C$5000,B517)=0,"",MAXIFS('Call Log'!$A$2:$A$5000,'Call Log'!$C$2:$C$5000,B517)),""))</f>
        <v/>
      </c>
      <c r="S517" s="5"/>
      <c r="T517" s="21"/>
      <c r="U517" s="21"/>
      <c r="V517" s="5"/>
      <c r="W517" s="20"/>
      <c r="X517" s="5"/>
      <c r="Y517" s="5"/>
      <c r="Z517" s="5" t="s">
        <v>132</v>
      </c>
      <c r="AA517" s="5" t="s">
        <v>3040</v>
      </c>
    </row>
    <row r="518" ht="15.0" customHeight="1">
      <c r="A518" s="5" t="s">
        <v>3041</v>
      </c>
      <c r="B518" s="5" t="s">
        <v>3042</v>
      </c>
      <c r="C518" s="5" t="s">
        <v>3043</v>
      </c>
      <c r="D518" s="5"/>
      <c r="E518" s="5"/>
      <c r="F518" s="20"/>
      <c r="G518" s="20"/>
      <c r="H518" s="5" t="s">
        <v>41</v>
      </c>
      <c r="I518" s="5" t="s">
        <v>175</v>
      </c>
      <c r="J518" s="5" t="s">
        <v>114</v>
      </c>
      <c r="K518" s="5" t="s">
        <v>3044</v>
      </c>
      <c r="L518" s="5"/>
      <c r="M518" s="5" t="s">
        <v>8</v>
      </c>
      <c r="N518" s="5" t="s">
        <v>80</v>
      </c>
      <c r="O518" s="5" t="str">
        <f>IF(B518="","",IFERROR(LOOKUP(2,1/('Call Log'!$C$2:$C$5000=B518),'Call Log'!$B$2:$B$5000),""))</f>
        <v/>
      </c>
      <c r="P518" s="5">
        <f>IF(B518="","",COUNTIFS('Call Log'!$C$2:$C$5000,B518,'Call Log'!$A$2:$A$5000,"&gt;="&amp;(TODAY()-WEEKDAY(TODAY(),2)+1)))</f>
        <v>0</v>
      </c>
      <c r="Q518" s="5">
        <f>IF(B518="","",COUNTIF('Call Log'!$C$2:$C$5000,B518))</f>
        <v>0</v>
      </c>
      <c r="R518" s="21" t="str">
        <f>IF(B518="","",IFERROR(IF(MAXIFS('Call Log'!$A$2:$A$5000,'Call Log'!$C$2:$C$5000,B518)=0,"",MAXIFS('Call Log'!$A$2:$A$5000,'Call Log'!$C$2:$C$5000,B518)),""))</f>
        <v/>
      </c>
      <c r="S518" s="5"/>
      <c r="T518" s="21"/>
      <c r="U518" s="21"/>
      <c r="V518" s="5"/>
      <c r="W518" s="20"/>
      <c r="X518" s="5"/>
      <c r="Y518" s="5"/>
      <c r="Z518" s="5" t="s">
        <v>178</v>
      </c>
      <c r="AA518" s="5" t="s">
        <v>3045</v>
      </c>
    </row>
    <row r="519" ht="15.0" customHeight="1">
      <c r="A519" s="5" t="s">
        <v>3046</v>
      </c>
      <c r="B519" s="5" t="s">
        <v>3047</v>
      </c>
      <c r="C519" s="5" t="s">
        <v>3048</v>
      </c>
      <c r="D519" s="5"/>
      <c r="E519" s="5"/>
      <c r="F519" s="20"/>
      <c r="G519" s="20"/>
      <c r="H519" s="5" t="s">
        <v>40</v>
      </c>
      <c r="I519" s="5" t="s">
        <v>594</v>
      </c>
      <c r="J519" s="5" t="s">
        <v>114</v>
      </c>
      <c r="K519" s="5" t="s">
        <v>3049</v>
      </c>
      <c r="L519" s="5" t="s">
        <v>3050</v>
      </c>
      <c r="M519" s="5" t="s">
        <v>8</v>
      </c>
      <c r="N519" s="5" t="s">
        <v>80</v>
      </c>
      <c r="O519" s="5" t="str">
        <f>IF(B519="","",IFERROR(LOOKUP(2,1/('Call Log'!$C$2:$C$5000=B519),'Call Log'!$B$2:$B$5000),""))</f>
        <v/>
      </c>
      <c r="P519" s="5">
        <f>IF(B519="","",COUNTIFS('Call Log'!$C$2:$C$5000,B519,'Call Log'!$A$2:$A$5000,"&gt;="&amp;(TODAY()-WEEKDAY(TODAY(),2)+1)))</f>
        <v>0</v>
      </c>
      <c r="Q519" s="5">
        <f>IF(B519="","",COUNTIF('Call Log'!$C$2:$C$5000,B519))</f>
        <v>0</v>
      </c>
      <c r="R519" s="21" t="str">
        <f>IF(B519="","",IFERROR(IF(MAXIFS('Call Log'!$A$2:$A$5000,'Call Log'!$C$2:$C$5000,B519)=0,"",MAXIFS('Call Log'!$A$2:$A$5000,'Call Log'!$C$2:$C$5000,B519)),""))</f>
        <v/>
      </c>
      <c r="S519" s="5"/>
      <c r="T519" s="21"/>
      <c r="U519" s="21"/>
      <c r="V519" s="5"/>
      <c r="W519" s="20"/>
      <c r="X519" s="5"/>
      <c r="Y519" s="5"/>
      <c r="Z519" s="5" t="s">
        <v>132</v>
      </c>
      <c r="AA519" s="5" t="s">
        <v>3051</v>
      </c>
    </row>
    <row r="520" ht="15.0" customHeight="1">
      <c r="A520" s="5" t="s">
        <v>3052</v>
      </c>
      <c r="B520" s="5" t="s">
        <v>3053</v>
      </c>
      <c r="C520" s="5" t="s">
        <v>3054</v>
      </c>
      <c r="D520" s="5"/>
      <c r="E520" s="5"/>
      <c r="F520" s="20"/>
      <c r="G520" s="20"/>
      <c r="H520" s="5" t="s">
        <v>41</v>
      </c>
      <c r="I520" s="5" t="s">
        <v>547</v>
      </c>
      <c r="J520" s="5" t="s">
        <v>114</v>
      </c>
      <c r="K520" s="5" t="s">
        <v>3055</v>
      </c>
      <c r="L520" s="5"/>
      <c r="M520" s="5" t="s">
        <v>8</v>
      </c>
      <c r="N520" s="5" t="s">
        <v>80</v>
      </c>
      <c r="O520" s="5" t="str">
        <f>IF(B520="","",IFERROR(LOOKUP(2,1/('Call Log'!$C$2:$C$5000=B520),'Call Log'!$B$2:$B$5000),""))</f>
        <v/>
      </c>
      <c r="P520" s="5">
        <f>IF(B520="","",COUNTIFS('Call Log'!$C$2:$C$5000,B520,'Call Log'!$A$2:$A$5000,"&gt;="&amp;(TODAY()-WEEKDAY(TODAY(),2)+1)))</f>
        <v>0</v>
      </c>
      <c r="Q520" s="5">
        <f>IF(B520="","",COUNTIF('Call Log'!$C$2:$C$5000,B520))</f>
        <v>0</v>
      </c>
      <c r="R520" s="21" t="str">
        <f>IF(B520="","",IFERROR(IF(MAXIFS('Call Log'!$A$2:$A$5000,'Call Log'!$C$2:$C$5000,B520)=0,"",MAXIFS('Call Log'!$A$2:$A$5000,'Call Log'!$C$2:$C$5000,B520)),""))</f>
        <v/>
      </c>
      <c r="S520" s="5"/>
      <c r="T520" s="21"/>
      <c r="U520" s="21"/>
      <c r="V520" s="5"/>
      <c r="W520" s="20"/>
      <c r="X520" s="5"/>
      <c r="Y520" s="5"/>
      <c r="Z520" s="5" t="s">
        <v>132</v>
      </c>
      <c r="AA520" s="5" t="s">
        <v>3056</v>
      </c>
    </row>
    <row r="521" ht="15.0" customHeight="1">
      <c r="A521" s="5" t="s">
        <v>3057</v>
      </c>
      <c r="B521" s="5" t="s">
        <v>3058</v>
      </c>
      <c r="C521" s="5" t="s">
        <v>3059</v>
      </c>
      <c r="D521" s="5"/>
      <c r="E521" s="5"/>
      <c r="F521" s="20"/>
      <c r="G521" s="20"/>
      <c r="H521" s="5" t="s">
        <v>41</v>
      </c>
      <c r="I521" s="5" t="s">
        <v>146</v>
      </c>
      <c r="J521" s="5" t="s">
        <v>114</v>
      </c>
      <c r="K521" s="5" t="s">
        <v>3060</v>
      </c>
      <c r="L521" s="5"/>
      <c r="M521" s="5" t="s">
        <v>8</v>
      </c>
      <c r="N521" s="5" t="s">
        <v>80</v>
      </c>
      <c r="O521" s="5" t="str">
        <f>IF(B521="","",IFERROR(LOOKUP(2,1/('Call Log'!$C$2:$C$5000=B521),'Call Log'!$B$2:$B$5000),""))</f>
        <v/>
      </c>
      <c r="P521" s="5">
        <f>IF(B521="","",COUNTIFS('Call Log'!$C$2:$C$5000,B521,'Call Log'!$A$2:$A$5000,"&gt;="&amp;(TODAY()-WEEKDAY(TODAY(),2)+1)))</f>
        <v>0</v>
      </c>
      <c r="Q521" s="5">
        <f>IF(B521="","",COUNTIF('Call Log'!$C$2:$C$5000,B521))</f>
        <v>0</v>
      </c>
      <c r="R521" s="21" t="str">
        <f>IF(B521="","",IFERROR(IF(MAXIFS('Call Log'!$A$2:$A$5000,'Call Log'!$C$2:$C$5000,B521)=0,"",MAXIFS('Call Log'!$A$2:$A$5000,'Call Log'!$C$2:$C$5000,B521)),""))</f>
        <v/>
      </c>
      <c r="S521" s="5"/>
      <c r="T521" s="21"/>
      <c r="U521" s="21"/>
      <c r="V521" s="5"/>
      <c r="W521" s="20"/>
      <c r="X521" s="5"/>
      <c r="Y521" s="5"/>
      <c r="Z521" s="5" t="s">
        <v>132</v>
      </c>
      <c r="AA521" s="5" t="s">
        <v>3061</v>
      </c>
    </row>
    <row r="522" ht="15.0" customHeight="1">
      <c r="A522" s="5" t="s">
        <v>3062</v>
      </c>
      <c r="B522" s="5" t="s">
        <v>3063</v>
      </c>
      <c r="C522" s="5" t="s">
        <v>3064</v>
      </c>
      <c r="D522" s="5"/>
      <c r="E522" s="5"/>
      <c r="F522" s="20"/>
      <c r="G522" s="20"/>
      <c r="H522" s="5" t="s">
        <v>40</v>
      </c>
      <c r="I522" s="5" t="s">
        <v>184</v>
      </c>
      <c r="J522" s="5" t="s">
        <v>114</v>
      </c>
      <c r="K522" s="5" t="s">
        <v>3065</v>
      </c>
      <c r="L522" s="5"/>
      <c r="M522" s="5" t="s">
        <v>8</v>
      </c>
      <c r="N522" s="5" t="s">
        <v>80</v>
      </c>
      <c r="O522" s="5" t="str">
        <f>IF(B522="","",IFERROR(LOOKUP(2,1/('Call Log'!$C$2:$C$5000=B522),'Call Log'!$B$2:$B$5000),""))</f>
        <v/>
      </c>
      <c r="P522" s="5">
        <f>IF(B522="","",COUNTIFS('Call Log'!$C$2:$C$5000,B522,'Call Log'!$A$2:$A$5000,"&gt;="&amp;(TODAY()-WEEKDAY(TODAY(),2)+1)))</f>
        <v>0</v>
      </c>
      <c r="Q522" s="5">
        <f>IF(B522="","",COUNTIF('Call Log'!$C$2:$C$5000,B522))</f>
        <v>0</v>
      </c>
      <c r="R522" s="21" t="str">
        <f>IF(B522="","",IFERROR(IF(MAXIFS('Call Log'!$A$2:$A$5000,'Call Log'!$C$2:$C$5000,B522)=0,"",MAXIFS('Call Log'!$A$2:$A$5000,'Call Log'!$C$2:$C$5000,B522)),""))</f>
        <v/>
      </c>
      <c r="S522" s="5"/>
      <c r="T522" s="21"/>
      <c r="U522" s="21"/>
      <c r="V522" s="5"/>
      <c r="W522" s="20"/>
      <c r="X522" s="5"/>
      <c r="Y522" s="5"/>
      <c r="Z522" s="5" t="s">
        <v>132</v>
      </c>
      <c r="AA522" s="5" t="s">
        <v>3066</v>
      </c>
    </row>
    <row r="523" ht="15.0" customHeight="1">
      <c r="A523" s="5" t="s">
        <v>3067</v>
      </c>
      <c r="B523" s="5" t="s">
        <v>3068</v>
      </c>
      <c r="C523" s="5" t="s">
        <v>3069</v>
      </c>
      <c r="D523" s="5"/>
      <c r="E523" s="5"/>
      <c r="F523" s="20"/>
      <c r="G523" s="20"/>
      <c r="H523" s="5" t="s">
        <v>41</v>
      </c>
      <c r="I523" s="5" t="s">
        <v>721</v>
      </c>
      <c r="J523" s="5" t="s">
        <v>114</v>
      </c>
      <c r="K523" s="5" t="s">
        <v>3070</v>
      </c>
      <c r="L523" s="5"/>
      <c r="M523" s="5" t="s">
        <v>8</v>
      </c>
      <c r="N523" s="5" t="s">
        <v>80</v>
      </c>
      <c r="O523" s="5" t="str">
        <f>IF(B523="","",IFERROR(LOOKUP(2,1/('Call Log'!$C$2:$C$5000=B523),'Call Log'!$B$2:$B$5000),""))</f>
        <v/>
      </c>
      <c r="P523" s="5">
        <f>IF(B523="","",COUNTIFS('Call Log'!$C$2:$C$5000,B523,'Call Log'!$A$2:$A$5000,"&gt;="&amp;(TODAY()-WEEKDAY(TODAY(),2)+1)))</f>
        <v>0</v>
      </c>
      <c r="Q523" s="5">
        <f>IF(B523="","",COUNTIF('Call Log'!$C$2:$C$5000,B523))</f>
        <v>0</v>
      </c>
      <c r="R523" s="21" t="str">
        <f>IF(B523="","",IFERROR(IF(MAXIFS('Call Log'!$A$2:$A$5000,'Call Log'!$C$2:$C$5000,B523)=0,"",MAXIFS('Call Log'!$A$2:$A$5000,'Call Log'!$C$2:$C$5000,B523)),""))</f>
        <v/>
      </c>
      <c r="S523" s="5"/>
      <c r="T523" s="21"/>
      <c r="U523" s="21"/>
      <c r="V523" s="5"/>
      <c r="W523" s="20"/>
      <c r="X523" s="5"/>
      <c r="Y523" s="5"/>
      <c r="Z523" s="5" t="s">
        <v>132</v>
      </c>
      <c r="AA523" s="5" t="s">
        <v>3071</v>
      </c>
    </row>
    <row r="524" ht="15.0" customHeight="1">
      <c r="A524" s="5" t="s">
        <v>3072</v>
      </c>
      <c r="B524" s="5" t="s">
        <v>3073</v>
      </c>
      <c r="C524" s="5" t="s">
        <v>3074</v>
      </c>
      <c r="D524" s="5"/>
      <c r="E524" s="5"/>
      <c r="F524" s="20"/>
      <c r="G524" s="20"/>
      <c r="H524" s="5" t="s">
        <v>41</v>
      </c>
      <c r="I524" s="5" t="s">
        <v>161</v>
      </c>
      <c r="J524" s="5" t="s">
        <v>114</v>
      </c>
      <c r="K524" s="5" t="s">
        <v>3075</v>
      </c>
      <c r="L524" s="5"/>
      <c r="M524" s="5" t="s">
        <v>8</v>
      </c>
      <c r="N524" s="5" t="s">
        <v>80</v>
      </c>
      <c r="O524" s="5" t="str">
        <f>IF(B524="","",IFERROR(LOOKUP(2,1/('Call Log'!$C$2:$C$5000=B524),'Call Log'!$B$2:$B$5000),""))</f>
        <v/>
      </c>
      <c r="P524" s="5">
        <f>IF(B524="","",COUNTIFS('Call Log'!$C$2:$C$5000,B524,'Call Log'!$A$2:$A$5000,"&gt;="&amp;(TODAY()-WEEKDAY(TODAY(),2)+1)))</f>
        <v>0</v>
      </c>
      <c r="Q524" s="5">
        <f>IF(B524="","",COUNTIF('Call Log'!$C$2:$C$5000,B524))</f>
        <v>0</v>
      </c>
      <c r="R524" s="21" t="str">
        <f>IF(B524="","",IFERROR(IF(MAXIFS('Call Log'!$A$2:$A$5000,'Call Log'!$C$2:$C$5000,B524)=0,"",MAXIFS('Call Log'!$A$2:$A$5000,'Call Log'!$C$2:$C$5000,B524)),""))</f>
        <v/>
      </c>
      <c r="S524" s="5"/>
      <c r="T524" s="21"/>
      <c r="U524" s="21"/>
      <c r="V524" s="5"/>
      <c r="W524" s="20"/>
      <c r="X524" s="5"/>
      <c r="Y524" s="5"/>
      <c r="Z524" s="5" t="s">
        <v>132</v>
      </c>
      <c r="AA524" s="5" t="s">
        <v>3076</v>
      </c>
    </row>
    <row r="525" ht="15.0" customHeight="1">
      <c r="A525" s="5" t="s">
        <v>3077</v>
      </c>
      <c r="B525" s="5" t="s">
        <v>3078</v>
      </c>
      <c r="C525" s="5" t="s">
        <v>3079</v>
      </c>
      <c r="D525" s="5"/>
      <c r="E525" s="5"/>
      <c r="F525" s="20"/>
      <c r="G525" s="20"/>
      <c r="H525" s="5" t="s">
        <v>40</v>
      </c>
      <c r="I525" s="5" t="s">
        <v>594</v>
      </c>
      <c r="J525" s="5" t="s">
        <v>114</v>
      </c>
      <c r="K525" s="5" t="s">
        <v>3080</v>
      </c>
      <c r="L525" s="5"/>
      <c r="M525" s="5" t="s">
        <v>8</v>
      </c>
      <c r="N525" s="5" t="s">
        <v>80</v>
      </c>
      <c r="O525" s="5" t="str">
        <f>IF(B525="","",IFERROR(LOOKUP(2,1/('Call Log'!$C$2:$C$5000=B525),'Call Log'!$B$2:$B$5000),""))</f>
        <v/>
      </c>
      <c r="P525" s="5">
        <f>IF(B525="","",COUNTIFS('Call Log'!$C$2:$C$5000,B525,'Call Log'!$A$2:$A$5000,"&gt;="&amp;(TODAY()-WEEKDAY(TODAY(),2)+1)))</f>
        <v>0</v>
      </c>
      <c r="Q525" s="5">
        <f>IF(B525="","",COUNTIF('Call Log'!$C$2:$C$5000,B525))</f>
        <v>0</v>
      </c>
      <c r="R525" s="21" t="str">
        <f>IF(B525="","",IFERROR(IF(MAXIFS('Call Log'!$A$2:$A$5000,'Call Log'!$C$2:$C$5000,B525)=0,"",MAXIFS('Call Log'!$A$2:$A$5000,'Call Log'!$C$2:$C$5000,B525)),""))</f>
        <v/>
      </c>
      <c r="S525" s="5"/>
      <c r="T525" s="21"/>
      <c r="U525" s="21"/>
      <c r="V525" s="5"/>
      <c r="W525" s="20"/>
      <c r="X525" s="5"/>
      <c r="Y525" s="5"/>
      <c r="Z525" s="5" t="s">
        <v>132</v>
      </c>
      <c r="AA525" s="5" t="s">
        <v>3081</v>
      </c>
    </row>
    <row r="526" ht="15.0" customHeight="1">
      <c r="A526" s="5" t="s">
        <v>3082</v>
      </c>
      <c r="B526" s="5" t="s">
        <v>3083</v>
      </c>
      <c r="C526" s="5" t="s">
        <v>3084</v>
      </c>
      <c r="D526" s="5"/>
      <c r="E526" s="5"/>
      <c r="F526" s="20"/>
      <c r="G526" s="20"/>
      <c r="H526" s="5" t="s">
        <v>41</v>
      </c>
      <c r="I526" s="5" t="s">
        <v>756</v>
      </c>
      <c r="J526" s="5" t="s">
        <v>114</v>
      </c>
      <c r="K526" s="5" t="s">
        <v>3085</v>
      </c>
      <c r="L526" s="5"/>
      <c r="M526" s="5" t="s">
        <v>8</v>
      </c>
      <c r="N526" s="5" t="s">
        <v>80</v>
      </c>
      <c r="O526" s="5" t="str">
        <f>IF(B526="","",IFERROR(LOOKUP(2,1/('Call Log'!$C$2:$C$5000=B526),'Call Log'!$B$2:$B$5000),""))</f>
        <v/>
      </c>
      <c r="P526" s="5">
        <f>IF(B526="","",COUNTIFS('Call Log'!$C$2:$C$5000,B526,'Call Log'!$A$2:$A$5000,"&gt;="&amp;(TODAY()-WEEKDAY(TODAY(),2)+1)))</f>
        <v>0</v>
      </c>
      <c r="Q526" s="5">
        <f>IF(B526="","",COUNTIF('Call Log'!$C$2:$C$5000,B526))</f>
        <v>0</v>
      </c>
      <c r="R526" s="21" t="str">
        <f>IF(B526="","",IFERROR(IF(MAXIFS('Call Log'!$A$2:$A$5000,'Call Log'!$C$2:$C$5000,B526)=0,"",MAXIFS('Call Log'!$A$2:$A$5000,'Call Log'!$C$2:$C$5000,B526)),""))</f>
        <v/>
      </c>
      <c r="S526" s="5"/>
      <c r="T526" s="21"/>
      <c r="U526" s="21"/>
      <c r="V526" s="5"/>
      <c r="W526" s="20"/>
      <c r="X526" s="5"/>
      <c r="Y526" s="5"/>
      <c r="Z526" s="5" t="s">
        <v>132</v>
      </c>
      <c r="AA526" s="5" t="s">
        <v>3086</v>
      </c>
    </row>
    <row r="527" ht="15.0" customHeight="1">
      <c r="A527" s="5" t="s">
        <v>3087</v>
      </c>
      <c r="B527" s="5" t="s">
        <v>3088</v>
      </c>
      <c r="C527" s="5" t="s">
        <v>3089</v>
      </c>
      <c r="D527" s="5"/>
      <c r="E527" s="5"/>
      <c r="F527" s="20"/>
      <c r="G527" s="20"/>
      <c r="H527" s="5" t="s">
        <v>40</v>
      </c>
      <c r="I527" s="5" t="s">
        <v>1313</v>
      </c>
      <c r="J527" s="5" t="s">
        <v>114</v>
      </c>
      <c r="K527" s="5" t="s">
        <v>3090</v>
      </c>
      <c r="L527" s="5"/>
      <c r="M527" s="5" t="s">
        <v>8</v>
      </c>
      <c r="N527" s="5" t="s">
        <v>80</v>
      </c>
      <c r="O527" s="5" t="str">
        <f>IF(B527="","",IFERROR(LOOKUP(2,1/('Call Log'!$C$2:$C$5000=B527),'Call Log'!$B$2:$B$5000),""))</f>
        <v/>
      </c>
      <c r="P527" s="5">
        <f>IF(B527="","",COUNTIFS('Call Log'!$C$2:$C$5000,B527,'Call Log'!$A$2:$A$5000,"&gt;="&amp;(TODAY()-WEEKDAY(TODAY(),2)+1)))</f>
        <v>0</v>
      </c>
      <c r="Q527" s="5">
        <f>IF(B527="","",COUNTIF('Call Log'!$C$2:$C$5000,B527))</f>
        <v>0</v>
      </c>
      <c r="R527" s="21" t="str">
        <f>IF(B527="","",IFERROR(IF(MAXIFS('Call Log'!$A$2:$A$5000,'Call Log'!$C$2:$C$5000,B527)=0,"",MAXIFS('Call Log'!$A$2:$A$5000,'Call Log'!$C$2:$C$5000,B527)),""))</f>
        <v/>
      </c>
      <c r="S527" s="5"/>
      <c r="T527" s="21"/>
      <c r="U527" s="21"/>
      <c r="V527" s="5"/>
      <c r="W527" s="20"/>
      <c r="X527" s="5"/>
      <c r="Y527" s="5"/>
      <c r="Z527" s="5" t="s">
        <v>132</v>
      </c>
      <c r="AA527" s="5" t="s">
        <v>3091</v>
      </c>
    </row>
    <row r="528" ht="15.0" customHeight="1">
      <c r="A528" s="5" t="s">
        <v>3092</v>
      </c>
      <c r="B528" s="5" t="s">
        <v>3093</v>
      </c>
      <c r="C528" s="5" t="s">
        <v>3094</v>
      </c>
      <c r="D528" s="5"/>
      <c r="E528" s="5"/>
      <c r="F528" s="20"/>
      <c r="G528" s="20"/>
      <c r="H528" s="5" t="s">
        <v>41</v>
      </c>
      <c r="I528" s="5" t="s">
        <v>865</v>
      </c>
      <c r="J528" s="5" t="s">
        <v>114</v>
      </c>
      <c r="K528" s="5" t="s">
        <v>3095</v>
      </c>
      <c r="L528" s="5"/>
      <c r="M528" s="5" t="s">
        <v>8</v>
      </c>
      <c r="N528" s="5" t="s">
        <v>80</v>
      </c>
      <c r="O528" s="5" t="str">
        <f>IF(B528="","",IFERROR(LOOKUP(2,1/('Call Log'!$C$2:$C$5000=B528),'Call Log'!$B$2:$B$5000),""))</f>
        <v/>
      </c>
      <c r="P528" s="5">
        <f>IF(B528="","",COUNTIFS('Call Log'!$C$2:$C$5000,B528,'Call Log'!$A$2:$A$5000,"&gt;="&amp;(TODAY()-WEEKDAY(TODAY(),2)+1)))</f>
        <v>0</v>
      </c>
      <c r="Q528" s="5">
        <f>IF(B528="","",COUNTIF('Call Log'!$C$2:$C$5000,B528))</f>
        <v>0</v>
      </c>
      <c r="R528" s="21" t="str">
        <f>IF(B528="","",IFERROR(IF(MAXIFS('Call Log'!$A$2:$A$5000,'Call Log'!$C$2:$C$5000,B528)=0,"",MAXIFS('Call Log'!$A$2:$A$5000,'Call Log'!$C$2:$C$5000,B528)),""))</f>
        <v/>
      </c>
      <c r="S528" s="5"/>
      <c r="T528" s="21"/>
      <c r="U528" s="21"/>
      <c r="V528" s="5"/>
      <c r="W528" s="20"/>
      <c r="X528" s="5"/>
      <c r="Y528" s="5"/>
      <c r="Z528" s="5" t="s">
        <v>132</v>
      </c>
      <c r="AA528" s="5" t="s">
        <v>3096</v>
      </c>
    </row>
    <row r="529" ht="15.0" customHeight="1">
      <c r="A529" s="5" t="s">
        <v>3097</v>
      </c>
      <c r="B529" s="5" t="s">
        <v>3098</v>
      </c>
      <c r="C529" s="5" t="s">
        <v>3099</v>
      </c>
      <c r="D529" s="5"/>
      <c r="E529" s="5">
        <v>5.0</v>
      </c>
      <c r="F529" s="20"/>
      <c r="G529" s="20"/>
      <c r="H529" s="5" t="s">
        <v>41</v>
      </c>
      <c r="I529" s="5" t="s">
        <v>213</v>
      </c>
      <c r="J529" s="5" t="s">
        <v>114</v>
      </c>
      <c r="K529" s="5" t="s">
        <v>3100</v>
      </c>
      <c r="L529" s="5"/>
      <c r="M529" s="5" t="s">
        <v>8</v>
      </c>
      <c r="N529" s="5" t="s">
        <v>80</v>
      </c>
      <c r="O529" s="5" t="str">
        <f>IF(B529="","",IFERROR(LOOKUP(2,1/('Call Log'!$C$2:$C$5000=B529),'Call Log'!$B$2:$B$5000),""))</f>
        <v/>
      </c>
      <c r="P529" s="5">
        <f>IF(B529="","",COUNTIFS('Call Log'!$C$2:$C$5000,B529,'Call Log'!$A$2:$A$5000,"&gt;="&amp;(TODAY()-WEEKDAY(TODAY(),2)+1)))</f>
        <v>0</v>
      </c>
      <c r="Q529" s="5">
        <f>IF(B529="","",COUNTIF('Call Log'!$C$2:$C$5000,B529))</f>
        <v>0</v>
      </c>
      <c r="R529" s="21" t="str">
        <f>IF(B529="","",IFERROR(IF(MAXIFS('Call Log'!$A$2:$A$5000,'Call Log'!$C$2:$C$5000,B529)=0,"",MAXIFS('Call Log'!$A$2:$A$5000,'Call Log'!$C$2:$C$5000,B529)),""))</f>
        <v/>
      </c>
      <c r="S529" s="5"/>
      <c r="T529" s="21"/>
      <c r="U529" s="21"/>
      <c r="V529" s="5"/>
      <c r="W529" s="20"/>
      <c r="X529" s="5"/>
      <c r="Y529" s="5"/>
      <c r="Z529" s="5" t="s">
        <v>132</v>
      </c>
      <c r="AA529" s="5" t="s">
        <v>3101</v>
      </c>
    </row>
    <row r="530" ht="15.0" customHeight="1">
      <c r="A530" s="5" t="s">
        <v>3102</v>
      </c>
      <c r="B530" s="5" t="s">
        <v>3103</v>
      </c>
      <c r="C530" s="5" t="s">
        <v>3104</v>
      </c>
      <c r="D530" s="5"/>
      <c r="E530" s="5"/>
      <c r="F530" s="20"/>
      <c r="G530" s="20"/>
      <c r="H530" s="5" t="s">
        <v>41</v>
      </c>
      <c r="I530" s="5" t="s">
        <v>161</v>
      </c>
      <c r="J530" s="5" t="s">
        <v>114</v>
      </c>
      <c r="K530" s="5" t="s">
        <v>3105</v>
      </c>
      <c r="L530" s="5"/>
      <c r="M530" s="5" t="s">
        <v>8</v>
      </c>
      <c r="N530" s="5" t="s">
        <v>80</v>
      </c>
      <c r="O530" s="5" t="str">
        <f>IF(B530="","",IFERROR(LOOKUP(2,1/('Call Log'!$C$2:$C$5000=B530),'Call Log'!$B$2:$B$5000),""))</f>
        <v/>
      </c>
      <c r="P530" s="5">
        <f>IF(B530="","",COUNTIFS('Call Log'!$C$2:$C$5000,B530,'Call Log'!$A$2:$A$5000,"&gt;="&amp;(TODAY()-WEEKDAY(TODAY(),2)+1)))</f>
        <v>0</v>
      </c>
      <c r="Q530" s="5">
        <f>IF(B530="","",COUNTIF('Call Log'!$C$2:$C$5000,B530))</f>
        <v>0</v>
      </c>
      <c r="R530" s="21" t="str">
        <f>IF(B530="","",IFERROR(IF(MAXIFS('Call Log'!$A$2:$A$5000,'Call Log'!$C$2:$C$5000,B530)=0,"",MAXIFS('Call Log'!$A$2:$A$5000,'Call Log'!$C$2:$C$5000,B530)),""))</f>
        <v/>
      </c>
      <c r="S530" s="5"/>
      <c r="T530" s="21"/>
      <c r="U530" s="21"/>
      <c r="V530" s="5"/>
      <c r="W530" s="20"/>
      <c r="X530" s="5"/>
      <c r="Y530" s="5"/>
      <c r="Z530" s="5" t="s">
        <v>132</v>
      </c>
      <c r="AA530" s="5" t="s">
        <v>3106</v>
      </c>
    </row>
    <row r="531" ht="15.0" customHeight="1">
      <c r="A531" s="5" t="s">
        <v>3107</v>
      </c>
      <c r="B531" s="5" t="s">
        <v>3108</v>
      </c>
      <c r="C531" s="5" t="s">
        <v>3109</v>
      </c>
      <c r="D531" s="5"/>
      <c r="E531" s="5"/>
      <c r="F531" s="20"/>
      <c r="G531" s="20"/>
      <c r="H531" s="5" t="s">
        <v>41</v>
      </c>
      <c r="I531" s="5" t="s">
        <v>357</v>
      </c>
      <c r="J531" s="5" t="s">
        <v>114</v>
      </c>
      <c r="K531" s="5" t="s">
        <v>3110</v>
      </c>
      <c r="L531" s="5"/>
      <c r="M531" s="5" t="s">
        <v>8</v>
      </c>
      <c r="N531" s="5" t="s">
        <v>80</v>
      </c>
      <c r="O531" s="5" t="str">
        <f>IF(B531="","",IFERROR(LOOKUP(2,1/('Call Log'!$C$2:$C$5000=B531),'Call Log'!$B$2:$B$5000),""))</f>
        <v/>
      </c>
      <c r="P531" s="5">
        <f>IF(B531="","",COUNTIFS('Call Log'!$C$2:$C$5000,B531,'Call Log'!$A$2:$A$5000,"&gt;="&amp;(TODAY()-WEEKDAY(TODAY(),2)+1)))</f>
        <v>0</v>
      </c>
      <c r="Q531" s="5">
        <f>IF(B531="","",COUNTIF('Call Log'!$C$2:$C$5000,B531))</f>
        <v>0</v>
      </c>
      <c r="R531" s="21" t="str">
        <f>IF(B531="","",IFERROR(IF(MAXIFS('Call Log'!$A$2:$A$5000,'Call Log'!$C$2:$C$5000,B531)=0,"",MAXIFS('Call Log'!$A$2:$A$5000,'Call Log'!$C$2:$C$5000,B531)),""))</f>
        <v/>
      </c>
      <c r="S531" s="5"/>
      <c r="T531" s="21"/>
      <c r="U531" s="21"/>
      <c r="V531" s="5"/>
      <c r="W531" s="20"/>
      <c r="X531" s="5"/>
      <c r="Y531" s="5"/>
      <c r="Z531" s="5" t="s">
        <v>132</v>
      </c>
      <c r="AA531" s="5" t="s">
        <v>3111</v>
      </c>
    </row>
    <row r="532" ht="15.0" customHeight="1">
      <c r="A532" s="5" t="s">
        <v>3112</v>
      </c>
      <c r="B532" s="5" t="s">
        <v>3113</v>
      </c>
      <c r="C532" s="5" t="s">
        <v>3114</v>
      </c>
      <c r="D532" s="5"/>
      <c r="E532" s="5"/>
      <c r="F532" s="20"/>
      <c r="G532" s="20"/>
      <c r="H532" s="5" t="s">
        <v>40</v>
      </c>
      <c r="I532" s="5" t="s">
        <v>246</v>
      </c>
      <c r="J532" s="5" t="s">
        <v>114</v>
      </c>
      <c r="K532" s="5" t="s">
        <v>3115</v>
      </c>
      <c r="L532" s="5"/>
      <c r="M532" s="5" t="s">
        <v>8</v>
      </c>
      <c r="N532" s="5" t="s">
        <v>80</v>
      </c>
      <c r="O532" s="5" t="str">
        <f>IF(B532="","",IFERROR(LOOKUP(2,1/('Call Log'!$C$2:$C$5000=B532),'Call Log'!$B$2:$B$5000),""))</f>
        <v/>
      </c>
      <c r="P532" s="5">
        <f>IF(B532="","",COUNTIFS('Call Log'!$C$2:$C$5000,B532,'Call Log'!$A$2:$A$5000,"&gt;="&amp;(TODAY()-WEEKDAY(TODAY(),2)+1)))</f>
        <v>0</v>
      </c>
      <c r="Q532" s="5">
        <f>IF(B532="","",COUNTIF('Call Log'!$C$2:$C$5000,B532))</f>
        <v>0</v>
      </c>
      <c r="R532" s="21" t="str">
        <f>IF(B532="","",IFERROR(IF(MAXIFS('Call Log'!$A$2:$A$5000,'Call Log'!$C$2:$C$5000,B532)=0,"",MAXIFS('Call Log'!$A$2:$A$5000,'Call Log'!$C$2:$C$5000,B532)),""))</f>
        <v/>
      </c>
      <c r="S532" s="5"/>
      <c r="T532" s="21"/>
      <c r="U532" s="21"/>
      <c r="V532" s="5"/>
      <c r="W532" s="20"/>
      <c r="X532" s="5"/>
      <c r="Y532" s="5"/>
      <c r="Z532" s="5" t="s">
        <v>132</v>
      </c>
      <c r="AA532" s="5" t="s">
        <v>3116</v>
      </c>
    </row>
    <row r="533" ht="15.0" customHeight="1">
      <c r="A533" s="5" t="s">
        <v>3117</v>
      </c>
      <c r="B533" s="5" t="s">
        <v>3118</v>
      </c>
      <c r="C533" s="5" t="s">
        <v>3119</v>
      </c>
      <c r="D533" s="5"/>
      <c r="E533" s="5"/>
      <c r="F533" s="20"/>
      <c r="G533" s="20"/>
      <c r="H533" s="5" t="s">
        <v>40</v>
      </c>
      <c r="I533" s="5" t="s">
        <v>594</v>
      </c>
      <c r="J533" s="5" t="s">
        <v>114</v>
      </c>
      <c r="K533" s="5" t="s">
        <v>3120</v>
      </c>
      <c r="L533" s="5"/>
      <c r="M533" s="5" t="s">
        <v>8</v>
      </c>
      <c r="N533" s="5" t="s">
        <v>80</v>
      </c>
      <c r="O533" s="5" t="str">
        <f>IF(B533="","",IFERROR(LOOKUP(2,1/('Call Log'!$C$2:$C$5000=B533),'Call Log'!$B$2:$B$5000),""))</f>
        <v/>
      </c>
      <c r="P533" s="5">
        <f>IF(B533="","",COUNTIFS('Call Log'!$C$2:$C$5000,B533,'Call Log'!$A$2:$A$5000,"&gt;="&amp;(TODAY()-WEEKDAY(TODAY(),2)+1)))</f>
        <v>0</v>
      </c>
      <c r="Q533" s="5">
        <f>IF(B533="","",COUNTIF('Call Log'!$C$2:$C$5000,B533))</f>
        <v>0</v>
      </c>
      <c r="R533" s="21" t="str">
        <f>IF(B533="","",IFERROR(IF(MAXIFS('Call Log'!$A$2:$A$5000,'Call Log'!$C$2:$C$5000,B533)=0,"",MAXIFS('Call Log'!$A$2:$A$5000,'Call Log'!$C$2:$C$5000,B533)),""))</f>
        <v/>
      </c>
      <c r="S533" s="5"/>
      <c r="T533" s="21"/>
      <c r="U533" s="21"/>
      <c r="V533" s="5"/>
      <c r="W533" s="20"/>
      <c r="X533" s="5"/>
      <c r="Y533" s="5"/>
      <c r="Z533" s="5" t="s">
        <v>132</v>
      </c>
      <c r="AA533" s="5" t="s">
        <v>3121</v>
      </c>
    </row>
    <row r="534" ht="15.0" customHeight="1">
      <c r="A534" s="5" t="s">
        <v>3122</v>
      </c>
      <c r="B534" s="5" t="s">
        <v>3123</v>
      </c>
      <c r="C534" s="5" t="s">
        <v>1672</v>
      </c>
      <c r="D534" s="5"/>
      <c r="E534" s="5">
        <v>4.0</v>
      </c>
      <c r="F534" s="20"/>
      <c r="G534" s="20"/>
      <c r="H534" s="5" t="s">
        <v>40</v>
      </c>
      <c r="I534" s="5" t="s">
        <v>175</v>
      </c>
      <c r="J534" s="5" t="s">
        <v>114</v>
      </c>
      <c r="K534" s="5" t="s">
        <v>3124</v>
      </c>
      <c r="L534" s="5"/>
      <c r="M534" s="5" t="s">
        <v>8</v>
      </c>
      <c r="N534" s="5" t="s">
        <v>80</v>
      </c>
      <c r="O534" s="5" t="str">
        <f>IF(B534="","",IFERROR(LOOKUP(2,1/('Call Log'!$C$2:$C$5000=B534),'Call Log'!$B$2:$B$5000),""))</f>
        <v/>
      </c>
      <c r="P534" s="5">
        <f>IF(B534="","",COUNTIFS('Call Log'!$C$2:$C$5000,B534,'Call Log'!$A$2:$A$5000,"&gt;="&amp;(TODAY()-WEEKDAY(TODAY(),2)+1)))</f>
        <v>0</v>
      </c>
      <c r="Q534" s="5">
        <f>IF(B534="","",COUNTIF('Call Log'!$C$2:$C$5000,B534))</f>
        <v>0</v>
      </c>
      <c r="R534" s="21" t="str">
        <f>IF(B534="","",IFERROR(IF(MAXIFS('Call Log'!$A$2:$A$5000,'Call Log'!$C$2:$C$5000,B534)=0,"",MAXIFS('Call Log'!$A$2:$A$5000,'Call Log'!$C$2:$C$5000,B534)),""))</f>
        <v/>
      </c>
      <c r="S534" s="5"/>
      <c r="T534" s="21"/>
      <c r="U534" s="21"/>
      <c r="V534" s="5"/>
      <c r="W534" s="20"/>
      <c r="X534" s="5"/>
      <c r="Y534" s="5"/>
      <c r="Z534" s="5"/>
      <c r="AA534" s="5" t="s">
        <v>724</v>
      </c>
    </row>
    <row r="535" ht="15.0" customHeight="1">
      <c r="A535" s="5" t="s">
        <v>3125</v>
      </c>
      <c r="B535" s="5" t="s">
        <v>3126</v>
      </c>
      <c r="C535" s="5" t="s">
        <v>3127</v>
      </c>
      <c r="D535" s="5"/>
      <c r="E535" s="5"/>
      <c r="F535" s="20"/>
      <c r="G535" s="20"/>
      <c r="H535" s="5" t="s">
        <v>41</v>
      </c>
      <c r="I535" s="5" t="s">
        <v>547</v>
      </c>
      <c r="J535" s="5" t="s">
        <v>114</v>
      </c>
      <c r="K535" s="5" t="s">
        <v>3128</v>
      </c>
      <c r="L535" s="5"/>
      <c r="M535" s="5" t="s">
        <v>8</v>
      </c>
      <c r="N535" s="5" t="s">
        <v>80</v>
      </c>
      <c r="O535" s="5" t="str">
        <f>IF(B535="","",IFERROR(LOOKUP(2,1/('Call Log'!$C$2:$C$5000=B535),'Call Log'!$B$2:$B$5000),""))</f>
        <v/>
      </c>
      <c r="P535" s="5">
        <f>IF(B535="","",COUNTIFS('Call Log'!$C$2:$C$5000,B535,'Call Log'!$A$2:$A$5000,"&gt;="&amp;(TODAY()-WEEKDAY(TODAY(),2)+1)))</f>
        <v>0</v>
      </c>
      <c r="Q535" s="5">
        <f>IF(B535="","",COUNTIF('Call Log'!$C$2:$C$5000,B535))</f>
        <v>0</v>
      </c>
      <c r="R535" s="21" t="str">
        <f>IF(B535="","",IFERROR(IF(MAXIFS('Call Log'!$A$2:$A$5000,'Call Log'!$C$2:$C$5000,B535)=0,"",MAXIFS('Call Log'!$A$2:$A$5000,'Call Log'!$C$2:$C$5000,B535)),""))</f>
        <v/>
      </c>
      <c r="S535" s="5"/>
      <c r="T535" s="21"/>
      <c r="U535" s="21"/>
      <c r="V535" s="5"/>
      <c r="W535" s="20"/>
      <c r="X535" s="5"/>
      <c r="Y535" s="5"/>
      <c r="Z535" s="5" t="s">
        <v>132</v>
      </c>
      <c r="AA535" s="5" t="s">
        <v>3129</v>
      </c>
    </row>
    <row r="536" ht="15.0" customHeight="1">
      <c r="A536" s="5" t="s">
        <v>3130</v>
      </c>
      <c r="B536" s="5" t="s">
        <v>3131</v>
      </c>
      <c r="C536" s="5" t="s">
        <v>3132</v>
      </c>
      <c r="D536" s="5"/>
      <c r="E536" s="5"/>
      <c r="F536" s="20"/>
      <c r="G536" s="20"/>
      <c r="H536" s="5" t="s">
        <v>40</v>
      </c>
      <c r="I536" s="5" t="s">
        <v>1093</v>
      </c>
      <c r="J536" s="5" t="s">
        <v>114</v>
      </c>
      <c r="K536" s="5" t="s">
        <v>3133</v>
      </c>
      <c r="L536" s="5"/>
      <c r="M536" s="5" t="s">
        <v>8</v>
      </c>
      <c r="N536" s="5" t="s">
        <v>80</v>
      </c>
      <c r="O536" s="5" t="str">
        <f>IF(B536="","",IFERROR(LOOKUP(2,1/('Call Log'!$C$2:$C$5000=B536),'Call Log'!$B$2:$B$5000),""))</f>
        <v/>
      </c>
      <c r="P536" s="5">
        <f>IF(B536="","",COUNTIFS('Call Log'!$C$2:$C$5000,B536,'Call Log'!$A$2:$A$5000,"&gt;="&amp;(TODAY()-WEEKDAY(TODAY(),2)+1)))</f>
        <v>0</v>
      </c>
      <c r="Q536" s="5">
        <f>IF(B536="","",COUNTIF('Call Log'!$C$2:$C$5000,B536))</f>
        <v>0</v>
      </c>
      <c r="R536" s="21" t="str">
        <f>IF(B536="","",IFERROR(IF(MAXIFS('Call Log'!$A$2:$A$5000,'Call Log'!$C$2:$C$5000,B536)=0,"",MAXIFS('Call Log'!$A$2:$A$5000,'Call Log'!$C$2:$C$5000,B536)),""))</f>
        <v/>
      </c>
      <c r="S536" s="5"/>
      <c r="T536" s="21"/>
      <c r="U536" s="21"/>
      <c r="V536" s="5"/>
      <c r="W536" s="20"/>
      <c r="X536" s="5"/>
      <c r="Y536" s="5"/>
      <c r="Z536" s="5" t="s">
        <v>132</v>
      </c>
      <c r="AA536" s="5" t="s">
        <v>3134</v>
      </c>
    </row>
    <row r="537" ht="15.0" customHeight="1">
      <c r="A537" s="5" t="s">
        <v>3135</v>
      </c>
      <c r="B537" s="5" t="s">
        <v>3136</v>
      </c>
      <c r="C537" s="5" t="s">
        <v>3137</v>
      </c>
      <c r="D537" s="5"/>
      <c r="E537" s="5"/>
      <c r="F537" s="20"/>
      <c r="G537" s="20"/>
      <c r="H537" s="5" t="s">
        <v>40</v>
      </c>
      <c r="I537" s="5" t="s">
        <v>231</v>
      </c>
      <c r="J537" s="5" t="s">
        <v>114</v>
      </c>
      <c r="K537" s="5" t="s">
        <v>3138</v>
      </c>
      <c r="L537" s="5"/>
      <c r="M537" s="5" t="s">
        <v>8</v>
      </c>
      <c r="N537" s="5" t="s">
        <v>80</v>
      </c>
      <c r="O537" s="5" t="str">
        <f>IF(B537="","",IFERROR(LOOKUP(2,1/('Call Log'!$C$2:$C$5000=B537),'Call Log'!$B$2:$B$5000),""))</f>
        <v/>
      </c>
      <c r="P537" s="5">
        <f>IF(B537="","",COUNTIFS('Call Log'!$C$2:$C$5000,B537,'Call Log'!$A$2:$A$5000,"&gt;="&amp;(TODAY()-WEEKDAY(TODAY(),2)+1)))</f>
        <v>0</v>
      </c>
      <c r="Q537" s="5">
        <f>IF(B537="","",COUNTIF('Call Log'!$C$2:$C$5000,B537))</f>
        <v>0</v>
      </c>
      <c r="R537" s="21" t="str">
        <f>IF(B537="","",IFERROR(IF(MAXIFS('Call Log'!$A$2:$A$5000,'Call Log'!$C$2:$C$5000,B537)=0,"",MAXIFS('Call Log'!$A$2:$A$5000,'Call Log'!$C$2:$C$5000,B537)),""))</f>
        <v/>
      </c>
      <c r="S537" s="5"/>
      <c r="T537" s="21"/>
      <c r="U537" s="21"/>
      <c r="V537" s="5"/>
      <c r="W537" s="20"/>
      <c r="X537" s="5"/>
      <c r="Y537" s="5"/>
      <c r="Z537" s="5" t="s">
        <v>132</v>
      </c>
      <c r="AA537" s="5" t="s">
        <v>3139</v>
      </c>
    </row>
    <row r="538" ht="15.0" customHeight="1">
      <c r="A538" s="5" t="s">
        <v>3140</v>
      </c>
      <c r="B538" s="5" t="s">
        <v>3141</v>
      </c>
      <c r="C538" s="5" t="s">
        <v>3142</v>
      </c>
      <c r="D538" s="5"/>
      <c r="E538" s="5"/>
      <c r="F538" s="20"/>
      <c r="G538" s="20"/>
      <c r="H538" s="5" t="s">
        <v>40</v>
      </c>
      <c r="I538" s="5" t="s">
        <v>1313</v>
      </c>
      <c r="J538" s="5" t="s">
        <v>114</v>
      </c>
      <c r="K538" s="5" t="s">
        <v>3143</v>
      </c>
      <c r="L538" s="5"/>
      <c r="M538" s="5" t="s">
        <v>8</v>
      </c>
      <c r="N538" s="5" t="s">
        <v>80</v>
      </c>
      <c r="O538" s="5" t="str">
        <f>IF(B538="","",IFERROR(LOOKUP(2,1/('Call Log'!$C$2:$C$5000=B538),'Call Log'!$B$2:$B$5000),""))</f>
        <v/>
      </c>
      <c r="P538" s="5">
        <f>IF(B538="","",COUNTIFS('Call Log'!$C$2:$C$5000,B538,'Call Log'!$A$2:$A$5000,"&gt;="&amp;(TODAY()-WEEKDAY(TODAY(),2)+1)))</f>
        <v>0</v>
      </c>
      <c r="Q538" s="5">
        <f>IF(B538="","",COUNTIF('Call Log'!$C$2:$C$5000,B538))</f>
        <v>0</v>
      </c>
      <c r="R538" s="21" t="str">
        <f>IF(B538="","",IFERROR(IF(MAXIFS('Call Log'!$A$2:$A$5000,'Call Log'!$C$2:$C$5000,B538)=0,"",MAXIFS('Call Log'!$A$2:$A$5000,'Call Log'!$C$2:$C$5000,B538)),""))</f>
        <v/>
      </c>
      <c r="S538" s="5"/>
      <c r="T538" s="21"/>
      <c r="U538" s="21"/>
      <c r="V538" s="5"/>
      <c r="W538" s="20"/>
      <c r="X538" s="5"/>
      <c r="Y538" s="5"/>
      <c r="Z538" s="5" t="s">
        <v>132</v>
      </c>
      <c r="AA538" s="5" t="s">
        <v>3144</v>
      </c>
    </row>
    <row r="539" ht="15.0" customHeight="1">
      <c r="A539" s="5" t="s">
        <v>3145</v>
      </c>
      <c r="B539" s="5" t="s">
        <v>3146</v>
      </c>
      <c r="C539" s="5" t="s">
        <v>3147</v>
      </c>
      <c r="D539" s="5"/>
      <c r="E539" s="5"/>
      <c r="F539" s="20"/>
      <c r="G539" s="20"/>
      <c r="H539" s="5" t="s">
        <v>41</v>
      </c>
      <c r="I539" s="5" t="s">
        <v>2131</v>
      </c>
      <c r="J539" s="5" t="s">
        <v>114</v>
      </c>
      <c r="K539" s="5" t="s">
        <v>3148</v>
      </c>
      <c r="L539" s="5"/>
      <c r="M539" s="5" t="s">
        <v>8</v>
      </c>
      <c r="N539" s="5" t="s">
        <v>80</v>
      </c>
      <c r="O539" s="5" t="str">
        <f>IF(B539="","",IFERROR(LOOKUP(2,1/('Call Log'!$C$2:$C$5000=B539),'Call Log'!$B$2:$B$5000),""))</f>
        <v/>
      </c>
      <c r="P539" s="5">
        <f>IF(B539="","",COUNTIFS('Call Log'!$C$2:$C$5000,B539,'Call Log'!$A$2:$A$5000,"&gt;="&amp;(TODAY()-WEEKDAY(TODAY(),2)+1)))</f>
        <v>0</v>
      </c>
      <c r="Q539" s="5">
        <f>IF(B539="","",COUNTIF('Call Log'!$C$2:$C$5000,B539))</f>
        <v>0</v>
      </c>
      <c r="R539" s="21" t="str">
        <f>IF(B539="","",IFERROR(IF(MAXIFS('Call Log'!$A$2:$A$5000,'Call Log'!$C$2:$C$5000,B539)=0,"",MAXIFS('Call Log'!$A$2:$A$5000,'Call Log'!$C$2:$C$5000,B539)),""))</f>
        <v/>
      </c>
      <c r="S539" s="5"/>
      <c r="T539" s="21"/>
      <c r="U539" s="21"/>
      <c r="V539" s="5"/>
      <c r="W539" s="20"/>
      <c r="X539" s="5"/>
      <c r="Y539" s="5"/>
      <c r="Z539" s="5" t="s">
        <v>132</v>
      </c>
      <c r="AA539" s="5" t="s">
        <v>3149</v>
      </c>
    </row>
    <row r="540" ht="15.0" customHeight="1">
      <c r="A540" s="5" t="s">
        <v>3150</v>
      </c>
      <c r="B540" s="5" t="s">
        <v>3151</v>
      </c>
      <c r="C540" s="5" t="s">
        <v>3152</v>
      </c>
      <c r="D540" s="5"/>
      <c r="E540" s="5"/>
      <c r="F540" s="20"/>
      <c r="G540" s="20"/>
      <c r="H540" s="5" t="s">
        <v>43</v>
      </c>
      <c r="I540" s="5" t="s">
        <v>198</v>
      </c>
      <c r="J540" s="5" t="s">
        <v>114</v>
      </c>
      <c r="K540" s="5" t="s">
        <v>3153</v>
      </c>
      <c r="L540" s="5"/>
      <c r="M540" s="5" t="s">
        <v>8</v>
      </c>
      <c r="N540" s="5" t="s">
        <v>80</v>
      </c>
      <c r="O540" s="5" t="str">
        <f>IF(B540="","",IFERROR(LOOKUP(2,1/('Call Log'!$C$2:$C$5000=B540),'Call Log'!$B$2:$B$5000),""))</f>
        <v/>
      </c>
      <c r="P540" s="5">
        <f>IF(B540="","",COUNTIFS('Call Log'!$C$2:$C$5000,B540,'Call Log'!$A$2:$A$5000,"&gt;="&amp;(TODAY()-WEEKDAY(TODAY(),2)+1)))</f>
        <v>0</v>
      </c>
      <c r="Q540" s="5">
        <f>IF(B540="","",COUNTIF('Call Log'!$C$2:$C$5000,B540))</f>
        <v>0</v>
      </c>
      <c r="R540" s="21" t="str">
        <f>IF(B540="","",IFERROR(IF(MAXIFS('Call Log'!$A$2:$A$5000,'Call Log'!$C$2:$C$5000,B540)=0,"",MAXIFS('Call Log'!$A$2:$A$5000,'Call Log'!$C$2:$C$5000,B540)),""))</f>
        <v/>
      </c>
      <c r="S540" s="5"/>
      <c r="T540" s="21"/>
      <c r="U540" s="21"/>
      <c r="V540" s="5"/>
      <c r="W540" s="20"/>
      <c r="X540" s="5"/>
      <c r="Y540" s="5"/>
      <c r="Z540" s="5" t="s">
        <v>132</v>
      </c>
      <c r="AA540" s="5" t="s">
        <v>3154</v>
      </c>
    </row>
    <row r="541" ht="15.0" customHeight="1">
      <c r="A541" s="5" t="s">
        <v>3155</v>
      </c>
      <c r="B541" s="5" t="s">
        <v>3156</v>
      </c>
      <c r="C541" s="5" t="s">
        <v>3157</v>
      </c>
      <c r="D541" s="5"/>
      <c r="E541" s="5"/>
      <c r="F541" s="20"/>
      <c r="G541" s="20"/>
      <c r="H541" s="5" t="s">
        <v>40</v>
      </c>
      <c r="I541" s="5" t="s">
        <v>357</v>
      </c>
      <c r="J541" s="5" t="s">
        <v>114</v>
      </c>
      <c r="K541" s="5" t="s">
        <v>3158</v>
      </c>
      <c r="L541" s="5"/>
      <c r="M541" s="5" t="s">
        <v>8</v>
      </c>
      <c r="N541" s="5" t="s">
        <v>80</v>
      </c>
      <c r="O541" s="5" t="str">
        <f>IF(B541="","",IFERROR(LOOKUP(2,1/('Call Log'!$C$2:$C$5000=B541),'Call Log'!$B$2:$B$5000),""))</f>
        <v/>
      </c>
      <c r="P541" s="5">
        <f>IF(B541="","",COUNTIFS('Call Log'!$C$2:$C$5000,B541,'Call Log'!$A$2:$A$5000,"&gt;="&amp;(TODAY()-WEEKDAY(TODAY(),2)+1)))</f>
        <v>0</v>
      </c>
      <c r="Q541" s="5">
        <f>IF(B541="","",COUNTIF('Call Log'!$C$2:$C$5000,B541))</f>
        <v>0</v>
      </c>
      <c r="R541" s="21" t="str">
        <f>IF(B541="","",IFERROR(IF(MAXIFS('Call Log'!$A$2:$A$5000,'Call Log'!$C$2:$C$5000,B541)=0,"",MAXIFS('Call Log'!$A$2:$A$5000,'Call Log'!$C$2:$C$5000,B541)),""))</f>
        <v/>
      </c>
      <c r="S541" s="5"/>
      <c r="T541" s="21"/>
      <c r="U541" s="21"/>
      <c r="V541" s="5"/>
      <c r="W541" s="20"/>
      <c r="X541" s="5"/>
      <c r="Y541" s="5"/>
      <c r="Z541" s="5" t="s">
        <v>132</v>
      </c>
      <c r="AA541" s="5" t="s">
        <v>3159</v>
      </c>
    </row>
    <row r="542" ht="15.0" customHeight="1">
      <c r="A542" s="5" t="s">
        <v>3160</v>
      </c>
      <c r="B542" s="5" t="s">
        <v>3161</v>
      </c>
      <c r="C542" s="5" t="s">
        <v>3162</v>
      </c>
      <c r="D542" s="5"/>
      <c r="E542" s="5"/>
      <c r="F542" s="20"/>
      <c r="G542" s="20"/>
      <c r="H542" s="5" t="s">
        <v>40</v>
      </c>
      <c r="I542" s="5" t="s">
        <v>594</v>
      </c>
      <c r="J542" s="5" t="s">
        <v>114</v>
      </c>
      <c r="K542" s="5" t="s">
        <v>3163</v>
      </c>
      <c r="L542" s="5"/>
      <c r="M542" s="5" t="s">
        <v>8</v>
      </c>
      <c r="N542" s="5" t="s">
        <v>80</v>
      </c>
      <c r="O542" s="5" t="str">
        <f>IF(B542="","",IFERROR(LOOKUP(2,1/('Call Log'!$C$2:$C$5000=B542),'Call Log'!$B$2:$B$5000),""))</f>
        <v/>
      </c>
      <c r="P542" s="5">
        <f>IF(B542="","",COUNTIFS('Call Log'!$C$2:$C$5000,B542,'Call Log'!$A$2:$A$5000,"&gt;="&amp;(TODAY()-WEEKDAY(TODAY(),2)+1)))</f>
        <v>0</v>
      </c>
      <c r="Q542" s="5">
        <f>IF(B542="","",COUNTIF('Call Log'!$C$2:$C$5000,B542))</f>
        <v>0</v>
      </c>
      <c r="R542" s="21" t="str">
        <f>IF(B542="","",IFERROR(IF(MAXIFS('Call Log'!$A$2:$A$5000,'Call Log'!$C$2:$C$5000,B542)=0,"",MAXIFS('Call Log'!$A$2:$A$5000,'Call Log'!$C$2:$C$5000,B542)),""))</f>
        <v/>
      </c>
      <c r="S542" s="5"/>
      <c r="T542" s="21"/>
      <c r="U542" s="21"/>
      <c r="V542" s="5"/>
      <c r="W542" s="20"/>
      <c r="X542" s="5"/>
      <c r="Y542" s="5"/>
      <c r="Z542" s="5" t="s">
        <v>132</v>
      </c>
      <c r="AA542" s="5" t="s">
        <v>3164</v>
      </c>
    </row>
    <row r="543" ht="15.0" customHeight="1">
      <c r="A543" s="5" t="s">
        <v>3165</v>
      </c>
      <c r="B543" s="5" t="s">
        <v>3166</v>
      </c>
      <c r="C543" s="5" t="s">
        <v>3167</v>
      </c>
      <c r="D543" s="5"/>
      <c r="E543" s="5">
        <v>2.0</v>
      </c>
      <c r="F543" s="20"/>
      <c r="G543" s="20"/>
      <c r="H543" s="5" t="s">
        <v>41</v>
      </c>
      <c r="I543" s="5" t="s">
        <v>113</v>
      </c>
      <c r="J543" s="5" t="s">
        <v>114</v>
      </c>
      <c r="K543" s="5" t="s">
        <v>3168</v>
      </c>
      <c r="L543" s="5" t="s">
        <v>3169</v>
      </c>
      <c r="M543" s="5" t="s">
        <v>8</v>
      </c>
      <c r="N543" s="5" t="s">
        <v>80</v>
      </c>
      <c r="O543" s="5" t="str">
        <f>IF(B543="","",IFERROR(LOOKUP(2,1/('Call Log'!$C$2:$C$5000=B543),'Call Log'!$B$2:$B$5000),""))</f>
        <v/>
      </c>
      <c r="P543" s="5">
        <f>IF(B543="","",COUNTIFS('Call Log'!$C$2:$C$5000,B543,'Call Log'!$A$2:$A$5000,"&gt;="&amp;(TODAY()-WEEKDAY(TODAY(),2)+1)))</f>
        <v>0</v>
      </c>
      <c r="Q543" s="5">
        <f>IF(B543="","",COUNTIF('Call Log'!$C$2:$C$5000,B543))</f>
        <v>0</v>
      </c>
      <c r="R543" s="21" t="str">
        <f>IF(B543="","",IFERROR(IF(MAXIFS('Call Log'!$A$2:$A$5000,'Call Log'!$C$2:$C$5000,B543)=0,"",MAXIFS('Call Log'!$A$2:$A$5000,'Call Log'!$C$2:$C$5000,B543)),""))</f>
        <v/>
      </c>
      <c r="S543" s="5"/>
      <c r="T543" s="21"/>
      <c r="U543" s="21"/>
      <c r="V543" s="5"/>
      <c r="W543" s="20"/>
      <c r="X543" s="5"/>
      <c r="Y543" s="5"/>
      <c r="Z543" s="5" t="s">
        <v>132</v>
      </c>
      <c r="AA543" s="5" t="s">
        <v>3170</v>
      </c>
    </row>
    <row r="544" ht="15.0" customHeight="1">
      <c r="A544" s="5" t="s">
        <v>3171</v>
      </c>
      <c r="B544" s="5" t="s">
        <v>3172</v>
      </c>
      <c r="C544" s="5" t="s">
        <v>3173</v>
      </c>
      <c r="D544" s="5"/>
      <c r="E544" s="5"/>
      <c r="F544" s="20"/>
      <c r="G544" s="20"/>
      <c r="H544" s="5" t="s">
        <v>40</v>
      </c>
      <c r="I544" s="5" t="s">
        <v>357</v>
      </c>
      <c r="J544" s="5" t="s">
        <v>114</v>
      </c>
      <c r="K544" s="5" t="s">
        <v>3174</v>
      </c>
      <c r="L544" s="5"/>
      <c r="M544" s="5" t="s">
        <v>8</v>
      </c>
      <c r="N544" s="5" t="s">
        <v>80</v>
      </c>
      <c r="O544" s="5" t="str">
        <f>IF(B544="","",IFERROR(LOOKUP(2,1/('Call Log'!$C$2:$C$5000=B544),'Call Log'!$B$2:$B$5000),""))</f>
        <v/>
      </c>
      <c r="P544" s="5">
        <f>IF(B544="","",COUNTIFS('Call Log'!$C$2:$C$5000,B544,'Call Log'!$A$2:$A$5000,"&gt;="&amp;(TODAY()-WEEKDAY(TODAY(),2)+1)))</f>
        <v>0</v>
      </c>
      <c r="Q544" s="5">
        <f>IF(B544="","",COUNTIF('Call Log'!$C$2:$C$5000,B544))</f>
        <v>0</v>
      </c>
      <c r="R544" s="21" t="str">
        <f>IF(B544="","",IFERROR(IF(MAXIFS('Call Log'!$A$2:$A$5000,'Call Log'!$C$2:$C$5000,B544)=0,"",MAXIFS('Call Log'!$A$2:$A$5000,'Call Log'!$C$2:$C$5000,B544)),""))</f>
        <v/>
      </c>
      <c r="S544" s="5"/>
      <c r="T544" s="21"/>
      <c r="U544" s="21"/>
      <c r="V544" s="5"/>
      <c r="W544" s="20"/>
      <c r="X544" s="5"/>
      <c r="Y544" s="5"/>
      <c r="Z544" s="5" t="s">
        <v>132</v>
      </c>
      <c r="AA544" s="5" t="s">
        <v>3175</v>
      </c>
    </row>
    <row r="545" ht="15.0" customHeight="1">
      <c r="A545" s="5" t="s">
        <v>3176</v>
      </c>
      <c r="B545" s="5" t="s">
        <v>3177</v>
      </c>
      <c r="C545" s="5" t="s">
        <v>3178</v>
      </c>
      <c r="D545" s="5"/>
      <c r="E545" s="5"/>
      <c r="F545" s="20"/>
      <c r="G545" s="20"/>
      <c r="H545" s="5" t="s">
        <v>40</v>
      </c>
      <c r="I545" s="5" t="s">
        <v>206</v>
      </c>
      <c r="J545" s="5" t="s">
        <v>114</v>
      </c>
      <c r="K545" s="5" t="s">
        <v>3179</v>
      </c>
      <c r="L545" s="5"/>
      <c r="M545" s="5" t="s">
        <v>8</v>
      </c>
      <c r="N545" s="5" t="s">
        <v>80</v>
      </c>
      <c r="O545" s="5" t="str">
        <f>IF(B545="","",IFERROR(LOOKUP(2,1/('Call Log'!$C$2:$C$5000=B545),'Call Log'!$B$2:$B$5000),""))</f>
        <v/>
      </c>
      <c r="P545" s="5">
        <f>IF(B545="","",COUNTIFS('Call Log'!$C$2:$C$5000,B545,'Call Log'!$A$2:$A$5000,"&gt;="&amp;(TODAY()-WEEKDAY(TODAY(),2)+1)))</f>
        <v>0</v>
      </c>
      <c r="Q545" s="5">
        <f>IF(B545="","",COUNTIF('Call Log'!$C$2:$C$5000,B545))</f>
        <v>0</v>
      </c>
      <c r="R545" s="21" t="str">
        <f>IF(B545="","",IFERROR(IF(MAXIFS('Call Log'!$A$2:$A$5000,'Call Log'!$C$2:$C$5000,B545)=0,"",MAXIFS('Call Log'!$A$2:$A$5000,'Call Log'!$C$2:$C$5000,B545)),""))</f>
        <v/>
      </c>
      <c r="S545" s="5"/>
      <c r="T545" s="21"/>
      <c r="U545" s="21"/>
      <c r="V545" s="5"/>
      <c r="W545" s="20"/>
      <c r="X545" s="5"/>
      <c r="Y545" s="5"/>
      <c r="Z545" s="5" t="s">
        <v>132</v>
      </c>
      <c r="AA545" s="5" t="s">
        <v>3180</v>
      </c>
    </row>
    <row r="546" ht="15.0" customHeight="1">
      <c r="A546" s="5" t="s">
        <v>3181</v>
      </c>
      <c r="B546" s="5" t="s">
        <v>3182</v>
      </c>
      <c r="C546" s="5" t="s">
        <v>3183</v>
      </c>
      <c r="D546" s="5"/>
      <c r="E546" s="5"/>
      <c r="F546" s="20"/>
      <c r="G546" s="20"/>
      <c r="H546" s="5" t="s">
        <v>41</v>
      </c>
      <c r="I546" s="5" t="s">
        <v>2536</v>
      </c>
      <c r="J546" s="5" t="s">
        <v>114</v>
      </c>
      <c r="K546" s="5" t="s">
        <v>3184</v>
      </c>
      <c r="L546" s="5"/>
      <c r="M546" s="5" t="s">
        <v>8</v>
      </c>
      <c r="N546" s="5" t="s">
        <v>80</v>
      </c>
      <c r="O546" s="5" t="str">
        <f>IF(B546="","",IFERROR(LOOKUP(2,1/('Call Log'!$C$2:$C$5000=B546),'Call Log'!$B$2:$B$5000),""))</f>
        <v/>
      </c>
      <c r="P546" s="5">
        <f>IF(B546="","",COUNTIFS('Call Log'!$C$2:$C$5000,B546,'Call Log'!$A$2:$A$5000,"&gt;="&amp;(TODAY()-WEEKDAY(TODAY(),2)+1)))</f>
        <v>0</v>
      </c>
      <c r="Q546" s="5">
        <f>IF(B546="","",COUNTIF('Call Log'!$C$2:$C$5000,B546))</f>
        <v>0</v>
      </c>
      <c r="R546" s="21" t="str">
        <f>IF(B546="","",IFERROR(IF(MAXIFS('Call Log'!$A$2:$A$5000,'Call Log'!$C$2:$C$5000,B546)=0,"",MAXIFS('Call Log'!$A$2:$A$5000,'Call Log'!$C$2:$C$5000,B546)),""))</f>
        <v/>
      </c>
      <c r="S546" s="5"/>
      <c r="T546" s="21"/>
      <c r="U546" s="21"/>
      <c r="V546" s="5"/>
      <c r="W546" s="20"/>
      <c r="X546" s="5"/>
      <c r="Y546" s="5"/>
      <c r="Z546" s="5" t="s">
        <v>132</v>
      </c>
      <c r="AA546" s="5" t="s">
        <v>3185</v>
      </c>
    </row>
    <row r="547" ht="15.0" customHeight="1">
      <c r="A547" s="5" t="s">
        <v>3186</v>
      </c>
      <c r="B547" s="5" t="s">
        <v>3187</v>
      </c>
      <c r="C547" s="5" t="s">
        <v>3188</v>
      </c>
      <c r="D547" s="5"/>
      <c r="E547" s="5">
        <v>1.0</v>
      </c>
      <c r="F547" s="20"/>
      <c r="G547" s="20"/>
      <c r="H547" s="5" t="s">
        <v>41</v>
      </c>
      <c r="I547" s="5" t="s">
        <v>3189</v>
      </c>
      <c r="J547" s="5" t="s">
        <v>114</v>
      </c>
      <c r="K547" s="5" t="s">
        <v>3190</v>
      </c>
      <c r="L547" s="5"/>
      <c r="M547" s="5" t="s">
        <v>8</v>
      </c>
      <c r="N547" s="5" t="s">
        <v>80</v>
      </c>
      <c r="O547" s="5" t="str">
        <f>IF(B547="","",IFERROR(LOOKUP(2,1/('Call Log'!$C$2:$C$5000=B547),'Call Log'!$B$2:$B$5000),""))</f>
        <v/>
      </c>
      <c r="P547" s="5">
        <f>IF(B547="","",COUNTIFS('Call Log'!$C$2:$C$5000,B547,'Call Log'!$A$2:$A$5000,"&gt;="&amp;(TODAY()-WEEKDAY(TODAY(),2)+1)))</f>
        <v>0</v>
      </c>
      <c r="Q547" s="5">
        <f>IF(B547="","",COUNTIF('Call Log'!$C$2:$C$5000,B547))</f>
        <v>0</v>
      </c>
      <c r="R547" s="21" t="str">
        <f>IF(B547="","",IFERROR(IF(MAXIFS('Call Log'!$A$2:$A$5000,'Call Log'!$C$2:$C$5000,B547)=0,"",MAXIFS('Call Log'!$A$2:$A$5000,'Call Log'!$C$2:$C$5000,B547)),""))</f>
        <v/>
      </c>
      <c r="S547" s="5"/>
      <c r="T547" s="21"/>
      <c r="U547" s="21"/>
      <c r="V547" s="5"/>
      <c r="W547" s="20"/>
      <c r="X547" s="5"/>
      <c r="Y547" s="5"/>
      <c r="Z547" s="5" t="s">
        <v>132</v>
      </c>
      <c r="AA547" s="5" t="s">
        <v>3191</v>
      </c>
    </row>
    <row r="548" ht="15.0" customHeight="1">
      <c r="A548" s="5" t="s">
        <v>3192</v>
      </c>
      <c r="B548" s="5" t="s">
        <v>3193</v>
      </c>
      <c r="C548" s="5" t="s">
        <v>3194</v>
      </c>
      <c r="D548" s="5"/>
      <c r="E548" s="5"/>
      <c r="F548" s="20"/>
      <c r="G548" s="20"/>
      <c r="H548" s="5" t="s">
        <v>40</v>
      </c>
      <c r="I548" s="5" t="s">
        <v>547</v>
      </c>
      <c r="J548" s="5" t="s">
        <v>114</v>
      </c>
      <c r="K548" s="5" t="s">
        <v>3195</v>
      </c>
      <c r="L548" s="5"/>
      <c r="M548" s="5" t="s">
        <v>8</v>
      </c>
      <c r="N548" s="5" t="s">
        <v>80</v>
      </c>
      <c r="O548" s="5" t="str">
        <f>IF(B548="","",IFERROR(LOOKUP(2,1/('Call Log'!$C$2:$C$5000=B548),'Call Log'!$B$2:$B$5000),""))</f>
        <v/>
      </c>
      <c r="P548" s="5">
        <f>IF(B548="","",COUNTIFS('Call Log'!$C$2:$C$5000,B548,'Call Log'!$A$2:$A$5000,"&gt;="&amp;(TODAY()-WEEKDAY(TODAY(),2)+1)))</f>
        <v>0</v>
      </c>
      <c r="Q548" s="5">
        <f>IF(B548="","",COUNTIF('Call Log'!$C$2:$C$5000,B548))</f>
        <v>0</v>
      </c>
      <c r="R548" s="21" t="str">
        <f>IF(B548="","",IFERROR(IF(MAXIFS('Call Log'!$A$2:$A$5000,'Call Log'!$C$2:$C$5000,B548)=0,"",MAXIFS('Call Log'!$A$2:$A$5000,'Call Log'!$C$2:$C$5000,B548)),""))</f>
        <v/>
      </c>
      <c r="S548" s="5"/>
      <c r="T548" s="21"/>
      <c r="U548" s="21"/>
      <c r="V548" s="5"/>
      <c r="W548" s="20"/>
      <c r="X548" s="5"/>
      <c r="Y548" s="5"/>
      <c r="Z548" s="5" t="s">
        <v>132</v>
      </c>
      <c r="AA548" s="5" t="s">
        <v>3196</v>
      </c>
    </row>
    <row r="549" ht="15.0" customHeight="1">
      <c r="A549" s="5" t="s">
        <v>3197</v>
      </c>
      <c r="B549" s="5" t="s">
        <v>3198</v>
      </c>
      <c r="C549" s="5" t="s">
        <v>1367</v>
      </c>
      <c r="D549" s="5"/>
      <c r="E549" s="5"/>
      <c r="F549" s="20"/>
      <c r="G549" s="20"/>
      <c r="H549" s="5" t="s">
        <v>40</v>
      </c>
      <c r="I549" s="5" t="s">
        <v>213</v>
      </c>
      <c r="J549" s="5" t="s">
        <v>114</v>
      </c>
      <c r="K549" s="5" t="s">
        <v>3199</v>
      </c>
      <c r="L549" s="5"/>
      <c r="M549" s="5" t="s">
        <v>8</v>
      </c>
      <c r="N549" s="5" t="s">
        <v>80</v>
      </c>
      <c r="O549" s="5" t="str">
        <f>IF(B549="","",IFERROR(LOOKUP(2,1/('Call Log'!$C$2:$C$5000=B549),'Call Log'!$B$2:$B$5000),""))</f>
        <v/>
      </c>
      <c r="P549" s="5">
        <f>IF(B549="","",COUNTIFS('Call Log'!$C$2:$C$5000,B549,'Call Log'!$A$2:$A$5000,"&gt;="&amp;(TODAY()-WEEKDAY(TODAY(),2)+1)))</f>
        <v>0</v>
      </c>
      <c r="Q549" s="5">
        <f>IF(B549="","",COUNTIF('Call Log'!$C$2:$C$5000,B549))</f>
        <v>0</v>
      </c>
      <c r="R549" s="21" t="str">
        <f>IF(B549="","",IFERROR(IF(MAXIFS('Call Log'!$A$2:$A$5000,'Call Log'!$C$2:$C$5000,B549)=0,"",MAXIFS('Call Log'!$A$2:$A$5000,'Call Log'!$C$2:$C$5000,B549)),""))</f>
        <v/>
      </c>
      <c r="S549" s="5"/>
      <c r="T549" s="21"/>
      <c r="U549" s="21"/>
      <c r="V549" s="5"/>
      <c r="W549" s="20"/>
      <c r="X549" s="5"/>
      <c r="Y549" s="5"/>
      <c r="Z549" s="5" t="s">
        <v>132</v>
      </c>
      <c r="AA549" s="5" t="s">
        <v>3200</v>
      </c>
    </row>
    <row r="550" ht="15.0" customHeight="1">
      <c r="A550" s="5" t="s">
        <v>3201</v>
      </c>
      <c r="B550" s="5" t="s">
        <v>3202</v>
      </c>
      <c r="C550" s="5" t="s">
        <v>3203</v>
      </c>
      <c r="D550" s="5"/>
      <c r="E550" s="5"/>
      <c r="F550" s="20"/>
      <c r="G550" s="20"/>
      <c r="H550" s="5" t="s">
        <v>40</v>
      </c>
      <c r="I550" s="5" t="s">
        <v>594</v>
      </c>
      <c r="J550" s="5" t="s">
        <v>114</v>
      </c>
      <c r="K550" s="5" t="s">
        <v>3204</v>
      </c>
      <c r="L550" s="5"/>
      <c r="M550" s="5" t="s">
        <v>8</v>
      </c>
      <c r="N550" s="5" t="s">
        <v>80</v>
      </c>
      <c r="O550" s="5" t="str">
        <f>IF(B550="","",IFERROR(LOOKUP(2,1/('Call Log'!$C$2:$C$5000=B550),'Call Log'!$B$2:$B$5000),""))</f>
        <v/>
      </c>
      <c r="P550" s="5">
        <f>IF(B550="","",COUNTIFS('Call Log'!$C$2:$C$5000,B550,'Call Log'!$A$2:$A$5000,"&gt;="&amp;(TODAY()-WEEKDAY(TODAY(),2)+1)))</f>
        <v>0</v>
      </c>
      <c r="Q550" s="5">
        <f>IF(B550="","",COUNTIF('Call Log'!$C$2:$C$5000,B550))</f>
        <v>0</v>
      </c>
      <c r="R550" s="21" t="str">
        <f>IF(B550="","",IFERROR(IF(MAXIFS('Call Log'!$A$2:$A$5000,'Call Log'!$C$2:$C$5000,B550)=0,"",MAXIFS('Call Log'!$A$2:$A$5000,'Call Log'!$C$2:$C$5000,B550)),""))</f>
        <v/>
      </c>
      <c r="S550" s="5"/>
      <c r="T550" s="21"/>
      <c r="U550" s="21"/>
      <c r="V550" s="5"/>
      <c r="W550" s="20"/>
      <c r="X550" s="5"/>
      <c r="Y550" s="5"/>
      <c r="Z550" s="5" t="s">
        <v>132</v>
      </c>
      <c r="AA550" s="5" t="s">
        <v>3205</v>
      </c>
    </row>
    <row r="551" ht="15.0" customHeight="1">
      <c r="A551" s="5" t="s">
        <v>3206</v>
      </c>
      <c r="B551" s="5" t="s">
        <v>3207</v>
      </c>
      <c r="C551" s="5" t="s">
        <v>1416</v>
      </c>
      <c r="D551" s="5"/>
      <c r="E551" s="5"/>
      <c r="F551" s="20"/>
      <c r="G551" s="20"/>
      <c r="H551" s="5" t="s">
        <v>40</v>
      </c>
      <c r="I551" s="5" t="s">
        <v>370</v>
      </c>
      <c r="J551" s="5" t="s">
        <v>114</v>
      </c>
      <c r="K551" s="5" t="s">
        <v>3208</v>
      </c>
      <c r="L551" s="5"/>
      <c r="M551" s="5" t="s">
        <v>8</v>
      </c>
      <c r="N551" s="5" t="s">
        <v>80</v>
      </c>
      <c r="O551" s="5" t="str">
        <f>IF(B551="","",IFERROR(LOOKUP(2,1/('Call Log'!$C$2:$C$5000=B551),'Call Log'!$B$2:$B$5000),""))</f>
        <v/>
      </c>
      <c r="P551" s="5">
        <f>IF(B551="","",COUNTIFS('Call Log'!$C$2:$C$5000,B551,'Call Log'!$A$2:$A$5000,"&gt;="&amp;(TODAY()-WEEKDAY(TODAY(),2)+1)))</f>
        <v>0</v>
      </c>
      <c r="Q551" s="5">
        <f>IF(B551="","",COUNTIF('Call Log'!$C$2:$C$5000,B551))</f>
        <v>0</v>
      </c>
      <c r="R551" s="21" t="str">
        <f>IF(B551="","",IFERROR(IF(MAXIFS('Call Log'!$A$2:$A$5000,'Call Log'!$C$2:$C$5000,B551)=0,"",MAXIFS('Call Log'!$A$2:$A$5000,'Call Log'!$C$2:$C$5000,B551)),""))</f>
        <v/>
      </c>
      <c r="S551" s="5"/>
      <c r="T551" s="21"/>
      <c r="U551" s="21"/>
      <c r="V551" s="5"/>
      <c r="W551" s="20"/>
      <c r="X551" s="5"/>
      <c r="Y551" s="5"/>
      <c r="Z551" s="5" t="s">
        <v>132</v>
      </c>
      <c r="AA551" s="5" t="s">
        <v>3209</v>
      </c>
    </row>
    <row r="552" ht="15.0" customHeight="1">
      <c r="A552" s="5" t="s">
        <v>3210</v>
      </c>
      <c r="B552" s="5" t="s">
        <v>3211</v>
      </c>
      <c r="C552" s="5" t="s">
        <v>3212</v>
      </c>
      <c r="D552" s="5"/>
      <c r="E552" s="5"/>
      <c r="F552" s="20"/>
      <c r="G552" s="20"/>
      <c r="H552" s="5" t="s">
        <v>41</v>
      </c>
      <c r="I552" s="5" t="s">
        <v>422</v>
      </c>
      <c r="J552" s="5" t="s">
        <v>114</v>
      </c>
      <c r="K552" s="5" t="s">
        <v>3213</v>
      </c>
      <c r="L552" s="5" t="s">
        <v>3214</v>
      </c>
      <c r="M552" s="5" t="s">
        <v>8</v>
      </c>
      <c r="N552" s="5" t="s">
        <v>80</v>
      </c>
      <c r="O552" s="5" t="str">
        <f>IF(B552="","",IFERROR(LOOKUP(2,1/('Call Log'!$C$2:$C$5000=B552),'Call Log'!$B$2:$B$5000),""))</f>
        <v/>
      </c>
      <c r="P552" s="5">
        <f>IF(B552="","",COUNTIFS('Call Log'!$C$2:$C$5000,B552,'Call Log'!$A$2:$A$5000,"&gt;="&amp;(TODAY()-WEEKDAY(TODAY(),2)+1)))</f>
        <v>0</v>
      </c>
      <c r="Q552" s="5">
        <f>IF(B552="","",COUNTIF('Call Log'!$C$2:$C$5000,B552))</f>
        <v>0</v>
      </c>
      <c r="R552" s="21" t="str">
        <f>IF(B552="","",IFERROR(IF(MAXIFS('Call Log'!$A$2:$A$5000,'Call Log'!$C$2:$C$5000,B552)=0,"",MAXIFS('Call Log'!$A$2:$A$5000,'Call Log'!$C$2:$C$5000,B552)),""))</f>
        <v/>
      </c>
      <c r="S552" s="5"/>
      <c r="T552" s="21"/>
      <c r="U552" s="21"/>
      <c r="V552" s="5"/>
      <c r="W552" s="20"/>
      <c r="X552" s="5"/>
      <c r="Y552" s="5"/>
      <c r="Z552" s="5" t="s">
        <v>132</v>
      </c>
      <c r="AA552" s="5" t="s">
        <v>3215</v>
      </c>
    </row>
    <row r="553" ht="15.0" customHeight="1">
      <c r="A553" s="5" t="s">
        <v>3216</v>
      </c>
      <c r="B553" s="5" t="s">
        <v>3217</v>
      </c>
      <c r="C553" s="5" t="s">
        <v>3218</v>
      </c>
      <c r="D553" s="5"/>
      <c r="E553" s="5"/>
      <c r="F553" s="20"/>
      <c r="G553" s="20"/>
      <c r="H553" s="5" t="s">
        <v>41</v>
      </c>
      <c r="I553" s="5" t="s">
        <v>756</v>
      </c>
      <c r="J553" s="5" t="s">
        <v>114</v>
      </c>
      <c r="K553" s="5" t="s">
        <v>3219</v>
      </c>
      <c r="L553" s="5"/>
      <c r="M553" s="5" t="s">
        <v>8</v>
      </c>
      <c r="N553" s="5" t="s">
        <v>80</v>
      </c>
      <c r="O553" s="5" t="str">
        <f>IF(B553="","",IFERROR(LOOKUP(2,1/('Call Log'!$C$2:$C$5000=B553),'Call Log'!$B$2:$B$5000),""))</f>
        <v/>
      </c>
      <c r="P553" s="5">
        <f>IF(B553="","",COUNTIFS('Call Log'!$C$2:$C$5000,B553,'Call Log'!$A$2:$A$5000,"&gt;="&amp;(TODAY()-WEEKDAY(TODAY(),2)+1)))</f>
        <v>0</v>
      </c>
      <c r="Q553" s="5">
        <f>IF(B553="","",COUNTIF('Call Log'!$C$2:$C$5000,B553))</f>
        <v>0</v>
      </c>
      <c r="R553" s="21" t="str">
        <f>IF(B553="","",IFERROR(IF(MAXIFS('Call Log'!$A$2:$A$5000,'Call Log'!$C$2:$C$5000,B553)=0,"",MAXIFS('Call Log'!$A$2:$A$5000,'Call Log'!$C$2:$C$5000,B553)),""))</f>
        <v/>
      </c>
      <c r="S553" s="5"/>
      <c r="T553" s="21"/>
      <c r="U553" s="21"/>
      <c r="V553" s="5"/>
      <c r="W553" s="20"/>
      <c r="X553" s="5"/>
      <c r="Y553" s="5"/>
      <c r="Z553" s="5" t="s">
        <v>132</v>
      </c>
      <c r="AA553" s="5" t="s">
        <v>3220</v>
      </c>
    </row>
    <row r="554" ht="15.0" customHeight="1">
      <c r="A554" s="5" t="s">
        <v>3221</v>
      </c>
      <c r="B554" s="5" t="s">
        <v>3222</v>
      </c>
      <c r="C554" s="5" t="s">
        <v>1672</v>
      </c>
      <c r="D554" s="5"/>
      <c r="E554" s="5">
        <v>4.0</v>
      </c>
      <c r="F554" s="20"/>
      <c r="G554" s="20"/>
      <c r="H554" s="5" t="s">
        <v>43</v>
      </c>
      <c r="I554" s="5" t="s">
        <v>370</v>
      </c>
      <c r="J554" s="5" t="s">
        <v>114</v>
      </c>
      <c r="K554" s="5" t="s">
        <v>3223</v>
      </c>
      <c r="L554" s="5"/>
      <c r="M554" s="5" t="s">
        <v>8</v>
      </c>
      <c r="N554" s="5" t="s">
        <v>80</v>
      </c>
      <c r="O554" s="5" t="str">
        <f>IF(B554="","",IFERROR(LOOKUP(2,1/('Call Log'!$C$2:$C$5000=B554),'Call Log'!$B$2:$B$5000),""))</f>
        <v/>
      </c>
      <c r="P554" s="5">
        <f>IF(B554="","",COUNTIFS('Call Log'!$C$2:$C$5000,B554,'Call Log'!$A$2:$A$5000,"&gt;="&amp;(TODAY()-WEEKDAY(TODAY(),2)+1)))</f>
        <v>0</v>
      </c>
      <c r="Q554" s="5">
        <f>IF(B554="","",COUNTIF('Call Log'!$C$2:$C$5000,B554))</f>
        <v>0</v>
      </c>
      <c r="R554" s="21" t="str">
        <f>IF(B554="","",IFERROR(IF(MAXIFS('Call Log'!$A$2:$A$5000,'Call Log'!$C$2:$C$5000,B554)=0,"",MAXIFS('Call Log'!$A$2:$A$5000,'Call Log'!$C$2:$C$5000,B554)),""))</f>
        <v/>
      </c>
      <c r="S554" s="5"/>
      <c r="T554" s="21"/>
      <c r="U554" s="21"/>
      <c r="V554" s="5"/>
      <c r="W554" s="20"/>
      <c r="X554" s="5"/>
      <c r="Y554" s="5"/>
      <c r="Z554" s="5"/>
      <c r="AA554" s="5" t="s">
        <v>724</v>
      </c>
    </row>
    <row r="555" ht="15.0" customHeight="1">
      <c r="A555" s="5" t="s">
        <v>3224</v>
      </c>
      <c r="B555" s="5" t="s">
        <v>3225</v>
      </c>
      <c r="C555" s="5" t="s">
        <v>3226</v>
      </c>
      <c r="D555" s="5"/>
      <c r="E555" s="5"/>
      <c r="F555" s="20"/>
      <c r="G555" s="20"/>
      <c r="H555" s="5" t="s">
        <v>40</v>
      </c>
      <c r="I555" s="5" t="s">
        <v>146</v>
      </c>
      <c r="J555" s="5" t="s">
        <v>114</v>
      </c>
      <c r="K555" s="5" t="s">
        <v>3227</v>
      </c>
      <c r="L555" s="5"/>
      <c r="M555" s="5" t="s">
        <v>8</v>
      </c>
      <c r="N555" s="5" t="s">
        <v>80</v>
      </c>
      <c r="O555" s="5" t="str">
        <f>IF(B555="","",IFERROR(LOOKUP(2,1/('Call Log'!$C$2:$C$5000=B555),'Call Log'!$B$2:$B$5000),""))</f>
        <v/>
      </c>
      <c r="P555" s="5">
        <f>IF(B555="","",COUNTIFS('Call Log'!$C$2:$C$5000,B555,'Call Log'!$A$2:$A$5000,"&gt;="&amp;(TODAY()-WEEKDAY(TODAY(),2)+1)))</f>
        <v>0</v>
      </c>
      <c r="Q555" s="5">
        <f>IF(B555="","",COUNTIF('Call Log'!$C$2:$C$5000,B555))</f>
        <v>0</v>
      </c>
      <c r="R555" s="21" t="str">
        <f>IF(B555="","",IFERROR(IF(MAXIFS('Call Log'!$A$2:$A$5000,'Call Log'!$C$2:$C$5000,B555)=0,"",MAXIFS('Call Log'!$A$2:$A$5000,'Call Log'!$C$2:$C$5000,B555)),""))</f>
        <v/>
      </c>
      <c r="S555" s="5"/>
      <c r="T555" s="21"/>
      <c r="U555" s="21"/>
      <c r="V555" s="5"/>
      <c r="W555" s="20"/>
      <c r="X555" s="5"/>
      <c r="Y555" s="5"/>
      <c r="Z555" s="5" t="s">
        <v>132</v>
      </c>
      <c r="AA555" s="5" t="s">
        <v>3228</v>
      </c>
    </row>
    <row r="556" ht="15.0" customHeight="1">
      <c r="A556" s="5" t="s">
        <v>3229</v>
      </c>
      <c r="B556" s="5" t="s">
        <v>3230</v>
      </c>
      <c r="C556" s="5" t="s">
        <v>3231</v>
      </c>
      <c r="D556" s="5"/>
      <c r="E556" s="5"/>
      <c r="F556" s="20"/>
      <c r="G556" s="20"/>
      <c r="H556" s="5" t="s">
        <v>41</v>
      </c>
      <c r="I556" s="5" t="s">
        <v>547</v>
      </c>
      <c r="J556" s="5" t="s">
        <v>114</v>
      </c>
      <c r="K556" s="5" t="s">
        <v>3232</v>
      </c>
      <c r="L556" s="5" t="s">
        <v>3233</v>
      </c>
      <c r="M556" s="5" t="s">
        <v>8</v>
      </c>
      <c r="N556" s="5" t="s">
        <v>80</v>
      </c>
      <c r="O556" s="5" t="str">
        <f>IF(B556="","",IFERROR(LOOKUP(2,1/('Call Log'!$C$2:$C$5000=B556),'Call Log'!$B$2:$B$5000),""))</f>
        <v/>
      </c>
      <c r="P556" s="5">
        <f>IF(B556="","",COUNTIFS('Call Log'!$C$2:$C$5000,B556,'Call Log'!$A$2:$A$5000,"&gt;="&amp;(TODAY()-WEEKDAY(TODAY(),2)+1)))</f>
        <v>0</v>
      </c>
      <c r="Q556" s="5">
        <f>IF(B556="","",COUNTIF('Call Log'!$C$2:$C$5000,B556))</f>
        <v>0</v>
      </c>
      <c r="R556" s="21" t="str">
        <f>IF(B556="","",IFERROR(IF(MAXIFS('Call Log'!$A$2:$A$5000,'Call Log'!$C$2:$C$5000,B556)=0,"",MAXIFS('Call Log'!$A$2:$A$5000,'Call Log'!$C$2:$C$5000,B556)),""))</f>
        <v/>
      </c>
      <c r="S556" s="5"/>
      <c r="T556" s="21"/>
      <c r="U556" s="21"/>
      <c r="V556" s="5"/>
      <c r="W556" s="20"/>
      <c r="X556" s="5"/>
      <c r="Y556" s="5"/>
      <c r="Z556" s="5" t="s">
        <v>132</v>
      </c>
      <c r="AA556" s="5" t="s">
        <v>3234</v>
      </c>
    </row>
    <row r="557" ht="15.0" customHeight="1">
      <c r="A557" s="5" t="s">
        <v>3235</v>
      </c>
      <c r="B557" s="5" t="s">
        <v>3236</v>
      </c>
      <c r="C557" s="5" t="s">
        <v>3237</v>
      </c>
      <c r="D557" s="5"/>
      <c r="E557" s="5"/>
      <c r="F557" s="20"/>
      <c r="G557" s="20"/>
      <c r="H557" s="5" t="s">
        <v>40</v>
      </c>
      <c r="I557" s="5" t="s">
        <v>1320</v>
      </c>
      <c r="J557" s="5" t="s">
        <v>114</v>
      </c>
      <c r="K557" s="5"/>
      <c r="L557" s="5"/>
      <c r="M557" s="5" t="s">
        <v>8</v>
      </c>
      <c r="N557" s="5" t="s">
        <v>80</v>
      </c>
      <c r="O557" s="5" t="str">
        <f>IF(B557="","",IFERROR(LOOKUP(2,1/('Call Log'!$C$2:$C$5000=B557),'Call Log'!$B$2:$B$5000),""))</f>
        <v/>
      </c>
      <c r="P557" s="5">
        <f>IF(B557="","",COUNTIFS('Call Log'!$C$2:$C$5000,B557,'Call Log'!$A$2:$A$5000,"&gt;="&amp;(TODAY()-WEEKDAY(TODAY(),2)+1)))</f>
        <v>0</v>
      </c>
      <c r="Q557" s="5">
        <f>IF(B557="","",COUNTIF('Call Log'!$C$2:$C$5000,B557))</f>
        <v>0</v>
      </c>
      <c r="R557" s="21" t="str">
        <f>IF(B557="","",IFERROR(IF(MAXIFS('Call Log'!$A$2:$A$5000,'Call Log'!$C$2:$C$5000,B557)=0,"",MAXIFS('Call Log'!$A$2:$A$5000,'Call Log'!$C$2:$C$5000,B557)),""))</f>
        <v/>
      </c>
      <c r="S557" s="5"/>
      <c r="T557" s="21"/>
      <c r="U557" s="21"/>
      <c r="V557" s="5"/>
      <c r="W557" s="20"/>
      <c r="X557" s="5"/>
      <c r="Y557" s="5"/>
      <c r="Z557" s="5" t="s">
        <v>132</v>
      </c>
      <c r="AA557" s="5" t="s">
        <v>3238</v>
      </c>
    </row>
    <row r="558" ht="15.0" customHeight="1">
      <c r="A558" s="5" t="s">
        <v>3239</v>
      </c>
      <c r="B558" s="5" t="s">
        <v>3240</v>
      </c>
      <c r="C558" s="5" t="s">
        <v>3241</v>
      </c>
      <c r="D558" s="5"/>
      <c r="E558" s="5"/>
      <c r="F558" s="20"/>
      <c r="G558" s="20"/>
      <c r="H558" s="5" t="s">
        <v>41</v>
      </c>
      <c r="I558" s="5" t="s">
        <v>129</v>
      </c>
      <c r="J558" s="5" t="s">
        <v>114</v>
      </c>
      <c r="K558" s="5" t="s">
        <v>3242</v>
      </c>
      <c r="L558" s="5" t="s">
        <v>3243</v>
      </c>
      <c r="M558" s="5" t="s">
        <v>8</v>
      </c>
      <c r="N558" s="5" t="s">
        <v>80</v>
      </c>
      <c r="O558" s="5" t="str">
        <f>IF(B558="","",IFERROR(LOOKUP(2,1/('Call Log'!$C$2:$C$5000=B558),'Call Log'!$B$2:$B$5000),""))</f>
        <v/>
      </c>
      <c r="P558" s="5">
        <f>IF(B558="","",COUNTIFS('Call Log'!$C$2:$C$5000,B558,'Call Log'!$A$2:$A$5000,"&gt;="&amp;(TODAY()-WEEKDAY(TODAY(),2)+1)))</f>
        <v>0</v>
      </c>
      <c r="Q558" s="5">
        <f>IF(B558="","",COUNTIF('Call Log'!$C$2:$C$5000,B558))</f>
        <v>0</v>
      </c>
      <c r="R558" s="21" t="str">
        <f>IF(B558="","",IFERROR(IF(MAXIFS('Call Log'!$A$2:$A$5000,'Call Log'!$C$2:$C$5000,B558)=0,"",MAXIFS('Call Log'!$A$2:$A$5000,'Call Log'!$C$2:$C$5000,B558)),""))</f>
        <v/>
      </c>
      <c r="S558" s="5"/>
      <c r="T558" s="21"/>
      <c r="U558" s="21"/>
      <c r="V558" s="5"/>
      <c r="W558" s="20"/>
      <c r="X558" s="5"/>
      <c r="Y558" s="5"/>
      <c r="Z558" s="5" t="s">
        <v>132</v>
      </c>
      <c r="AA558" s="5" t="s">
        <v>3244</v>
      </c>
    </row>
    <row r="559" ht="15.0" customHeight="1">
      <c r="A559" s="5" t="s">
        <v>3245</v>
      </c>
      <c r="B559" s="5" t="s">
        <v>3246</v>
      </c>
      <c r="C559" s="5" t="s">
        <v>3247</v>
      </c>
      <c r="D559" s="5"/>
      <c r="E559" s="5"/>
      <c r="F559" s="20"/>
      <c r="G559" s="20"/>
      <c r="H559" s="5" t="s">
        <v>40</v>
      </c>
      <c r="I559" s="5" t="s">
        <v>622</v>
      </c>
      <c r="J559" s="5" t="s">
        <v>114</v>
      </c>
      <c r="K559" s="5" t="s">
        <v>3248</v>
      </c>
      <c r="L559" s="5"/>
      <c r="M559" s="5" t="s">
        <v>8</v>
      </c>
      <c r="N559" s="5" t="s">
        <v>80</v>
      </c>
      <c r="O559" s="5" t="str">
        <f>IF(B559="","",IFERROR(LOOKUP(2,1/('Call Log'!$C$2:$C$5000=B559),'Call Log'!$B$2:$B$5000),""))</f>
        <v/>
      </c>
      <c r="P559" s="5">
        <f>IF(B559="","",COUNTIFS('Call Log'!$C$2:$C$5000,B559,'Call Log'!$A$2:$A$5000,"&gt;="&amp;(TODAY()-WEEKDAY(TODAY(),2)+1)))</f>
        <v>0</v>
      </c>
      <c r="Q559" s="5">
        <f>IF(B559="","",COUNTIF('Call Log'!$C$2:$C$5000,B559))</f>
        <v>0</v>
      </c>
      <c r="R559" s="21" t="str">
        <f>IF(B559="","",IFERROR(IF(MAXIFS('Call Log'!$A$2:$A$5000,'Call Log'!$C$2:$C$5000,B559)=0,"",MAXIFS('Call Log'!$A$2:$A$5000,'Call Log'!$C$2:$C$5000,B559)),""))</f>
        <v/>
      </c>
      <c r="S559" s="5"/>
      <c r="T559" s="21"/>
      <c r="U559" s="21"/>
      <c r="V559" s="5"/>
      <c r="W559" s="20"/>
      <c r="X559" s="5"/>
      <c r="Y559" s="5"/>
      <c r="Z559" s="5" t="s">
        <v>132</v>
      </c>
      <c r="AA559" s="5" t="s">
        <v>3249</v>
      </c>
    </row>
    <row r="560" ht="15.0" customHeight="1">
      <c r="A560" s="5" t="s">
        <v>3250</v>
      </c>
      <c r="B560" s="5" t="s">
        <v>3251</v>
      </c>
      <c r="C560" s="5" t="s">
        <v>3252</v>
      </c>
      <c r="D560" s="5"/>
      <c r="E560" s="5"/>
      <c r="F560" s="20"/>
      <c r="G560" s="20"/>
      <c r="H560" s="5" t="s">
        <v>40</v>
      </c>
      <c r="I560" s="5" t="s">
        <v>1048</v>
      </c>
      <c r="J560" s="5" t="s">
        <v>114</v>
      </c>
      <c r="K560" s="5" t="s">
        <v>3253</v>
      </c>
      <c r="L560" s="5"/>
      <c r="M560" s="5" t="s">
        <v>8</v>
      </c>
      <c r="N560" s="5" t="s">
        <v>80</v>
      </c>
      <c r="O560" s="5" t="str">
        <f>IF(B560="","",IFERROR(LOOKUP(2,1/('Call Log'!$C$2:$C$5000=B560),'Call Log'!$B$2:$B$5000),""))</f>
        <v/>
      </c>
      <c r="P560" s="5">
        <f>IF(B560="","",COUNTIFS('Call Log'!$C$2:$C$5000,B560,'Call Log'!$A$2:$A$5000,"&gt;="&amp;(TODAY()-WEEKDAY(TODAY(),2)+1)))</f>
        <v>0</v>
      </c>
      <c r="Q560" s="5">
        <f>IF(B560="","",COUNTIF('Call Log'!$C$2:$C$5000,B560))</f>
        <v>0</v>
      </c>
      <c r="R560" s="21" t="str">
        <f>IF(B560="","",IFERROR(IF(MAXIFS('Call Log'!$A$2:$A$5000,'Call Log'!$C$2:$C$5000,B560)=0,"",MAXIFS('Call Log'!$A$2:$A$5000,'Call Log'!$C$2:$C$5000,B560)),""))</f>
        <v/>
      </c>
      <c r="S560" s="5"/>
      <c r="T560" s="21"/>
      <c r="U560" s="21"/>
      <c r="V560" s="5"/>
      <c r="W560" s="20"/>
      <c r="X560" s="5"/>
      <c r="Y560" s="5"/>
      <c r="Z560" s="5" t="s">
        <v>132</v>
      </c>
      <c r="AA560" s="5" t="s">
        <v>3254</v>
      </c>
    </row>
    <row r="561" ht="15.0" customHeight="1">
      <c r="A561" s="5" t="s">
        <v>3255</v>
      </c>
      <c r="B561" s="5" t="s">
        <v>3256</v>
      </c>
      <c r="C561" s="5" t="s">
        <v>3257</v>
      </c>
      <c r="D561" s="5"/>
      <c r="E561" s="5">
        <v>2.0</v>
      </c>
      <c r="F561" s="20"/>
      <c r="G561" s="20"/>
      <c r="H561" s="5" t="s">
        <v>40</v>
      </c>
      <c r="I561" s="5" t="s">
        <v>1048</v>
      </c>
      <c r="J561" s="5" t="s">
        <v>114</v>
      </c>
      <c r="K561" s="5" t="s">
        <v>3258</v>
      </c>
      <c r="L561" s="5"/>
      <c r="M561" s="5" t="s">
        <v>8</v>
      </c>
      <c r="N561" s="5" t="s">
        <v>80</v>
      </c>
      <c r="O561" s="5" t="str">
        <f>IF(B561="","",IFERROR(LOOKUP(2,1/('Call Log'!$C$2:$C$5000=B561),'Call Log'!$B$2:$B$5000),""))</f>
        <v/>
      </c>
      <c r="P561" s="5">
        <f>IF(B561="","",COUNTIFS('Call Log'!$C$2:$C$5000,B561,'Call Log'!$A$2:$A$5000,"&gt;="&amp;(TODAY()-WEEKDAY(TODAY(),2)+1)))</f>
        <v>0</v>
      </c>
      <c r="Q561" s="5">
        <f>IF(B561="","",COUNTIF('Call Log'!$C$2:$C$5000,B561))</f>
        <v>0</v>
      </c>
      <c r="R561" s="21" t="str">
        <f>IF(B561="","",IFERROR(IF(MAXIFS('Call Log'!$A$2:$A$5000,'Call Log'!$C$2:$C$5000,B561)=0,"",MAXIFS('Call Log'!$A$2:$A$5000,'Call Log'!$C$2:$C$5000,B561)),""))</f>
        <v/>
      </c>
      <c r="S561" s="5"/>
      <c r="T561" s="21"/>
      <c r="U561" s="21"/>
      <c r="V561" s="5"/>
      <c r="W561" s="20"/>
      <c r="X561" s="5"/>
      <c r="Y561" s="5"/>
      <c r="Z561" s="5" t="s">
        <v>132</v>
      </c>
      <c r="AA561" s="5" t="s">
        <v>3259</v>
      </c>
    </row>
    <row r="562" ht="15.0" customHeight="1">
      <c r="A562" s="5" t="s">
        <v>3260</v>
      </c>
      <c r="B562" s="5" t="s">
        <v>3261</v>
      </c>
      <c r="C562" s="5" t="s">
        <v>1672</v>
      </c>
      <c r="D562" s="5"/>
      <c r="E562" s="5">
        <v>4.0</v>
      </c>
      <c r="F562" s="20"/>
      <c r="G562" s="20"/>
      <c r="H562" s="5" t="s">
        <v>40</v>
      </c>
      <c r="I562" s="5" t="s">
        <v>246</v>
      </c>
      <c r="J562" s="5" t="s">
        <v>114</v>
      </c>
      <c r="K562" s="5" t="s">
        <v>3262</v>
      </c>
      <c r="L562" s="5"/>
      <c r="M562" s="5" t="s">
        <v>8</v>
      </c>
      <c r="N562" s="5" t="s">
        <v>80</v>
      </c>
      <c r="O562" s="5" t="str">
        <f>IF(B562="","",IFERROR(LOOKUP(2,1/('Call Log'!$C$2:$C$5000=B562),'Call Log'!$B$2:$B$5000),""))</f>
        <v/>
      </c>
      <c r="P562" s="5">
        <f>IF(B562="","",COUNTIFS('Call Log'!$C$2:$C$5000,B562,'Call Log'!$A$2:$A$5000,"&gt;="&amp;(TODAY()-WEEKDAY(TODAY(),2)+1)))</f>
        <v>0</v>
      </c>
      <c r="Q562" s="5">
        <f>IF(B562="","",COUNTIF('Call Log'!$C$2:$C$5000,B562))</f>
        <v>0</v>
      </c>
      <c r="R562" s="21" t="str">
        <f>IF(B562="","",IFERROR(IF(MAXIFS('Call Log'!$A$2:$A$5000,'Call Log'!$C$2:$C$5000,B562)=0,"",MAXIFS('Call Log'!$A$2:$A$5000,'Call Log'!$C$2:$C$5000,B562)),""))</f>
        <v/>
      </c>
      <c r="S562" s="5"/>
      <c r="T562" s="21"/>
      <c r="U562" s="21"/>
      <c r="V562" s="5"/>
      <c r="W562" s="20"/>
      <c r="X562" s="5"/>
      <c r="Y562" s="5"/>
      <c r="Z562" s="5"/>
      <c r="AA562" s="5" t="s">
        <v>724</v>
      </c>
    </row>
    <row r="563" ht="15.0" customHeight="1">
      <c r="A563" s="5" t="s">
        <v>3263</v>
      </c>
      <c r="B563" s="5" t="s">
        <v>3264</v>
      </c>
      <c r="C563" s="5" t="s">
        <v>2053</v>
      </c>
      <c r="D563" s="5"/>
      <c r="E563" s="5"/>
      <c r="F563" s="20"/>
      <c r="G563" s="20"/>
      <c r="H563" s="5" t="s">
        <v>40</v>
      </c>
      <c r="I563" s="5" t="s">
        <v>146</v>
      </c>
      <c r="J563" s="5" t="s">
        <v>114</v>
      </c>
      <c r="K563" s="5" t="s">
        <v>3265</v>
      </c>
      <c r="L563" s="5"/>
      <c r="M563" s="5" t="s">
        <v>8</v>
      </c>
      <c r="N563" s="5" t="s">
        <v>80</v>
      </c>
      <c r="O563" s="5" t="str">
        <f>IF(B563="","",IFERROR(LOOKUP(2,1/('Call Log'!$C$2:$C$5000=B563),'Call Log'!$B$2:$B$5000),""))</f>
        <v/>
      </c>
      <c r="P563" s="5">
        <f>IF(B563="","",COUNTIFS('Call Log'!$C$2:$C$5000,B563,'Call Log'!$A$2:$A$5000,"&gt;="&amp;(TODAY()-WEEKDAY(TODAY(),2)+1)))</f>
        <v>0</v>
      </c>
      <c r="Q563" s="5">
        <f>IF(B563="","",COUNTIF('Call Log'!$C$2:$C$5000,B563))</f>
        <v>0</v>
      </c>
      <c r="R563" s="21" t="str">
        <f>IF(B563="","",IFERROR(IF(MAXIFS('Call Log'!$A$2:$A$5000,'Call Log'!$C$2:$C$5000,B563)=0,"",MAXIFS('Call Log'!$A$2:$A$5000,'Call Log'!$C$2:$C$5000,B563)),""))</f>
        <v/>
      </c>
      <c r="S563" s="5"/>
      <c r="T563" s="21"/>
      <c r="U563" s="21"/>
      <c r="V563" s="5"/>
      <c r="W563" s="20"/>
      <c r="X563" s="5"/>
      <c r="Y563" s="5"/>
      <c r="Z563" s="5" t="s">
        <v>132</v>
      </c>
      <c r="AA563" s="5" t="s">
        <v>3266</v>
      </c>
    </row>
    <row r="564" ht="15.0" customHeight="1">
      <c r="A564" s="5" t="s">
        <v>3267</v>
      </c>
      <c r="B564" s="5" t="s">
        <v>3268</v>
      </c>
      <c r="C564" s="5" t="s">
        <v>3269</v>
      </c>
      <c r="D564" s="5"/>
      <c r="E564" s="5"/>
      <c r="F564" s="20"/>
      <c r="G564" s="20"/>
      <c r="H564" s="5" t="s">
        <v>40</v>
      </c>
      <c r="I564" s="5" t="s">
        <v>1313</v>
      </c>
      <c r="J564" s="5" t="s">
        <v>114</v>
      </c>
      <c r="K564" s="5" t="s">
        <v>3270</v>
      </c>
      <c r="L564" s="5"/>
      <c r="M564" s="5" t="s">
        <v>8</v>
      </c>
      <c r="N564" s="5" t="s">
        <v>80</v>
      </c>
      <c r="O564" s="5" t="str">
        <f>IF(B564="","",IFERROR(LOOKUP(2,1/('Call Log'!$C$2:$C$5000=B564),'Call Log'!$B$2:$B$5000),""))</f>
        <v/>
      </c>
      <c r="P564" s="5">
        <f>IF(B564="","",COUNTIFS('Call Log'!$C$2:$C$5000,B564,'Call Log'!$A$2:$A$5000,"&gt;="&amp;(TODAY()-WEEKDAY(TODAY(),2)+1)))</f>
        <v>0</v>
      </c>
      <c r="Q564" s="5">
        <f>IF(B564="","",COUNTIF('Call Log'!$C$2:$C$5000,B564))</f>
        <v>0</v>
      </c>
      <c r="R564" s="21" t="str">
        <f>IF(B564="","",IFERROR(IF(MAXIFS('Call Log'!$A$2:$A$5000,'Call Log'!$C$2:$C$5000,B564)=0,"",MAXIFS('Call Log'!$A$2:$A$5000,'Call Log'!$C$2:$C$5000,B564)),""))</f>
        <v/>
      </c>
      <c r="S564" s="5"/>
      <c r="T564" s="21"/>
      <c r="U564" s="21"/>
      <c r="V564" s="5"/>
      <c r="W564" s="20"/>
      <c r="X564" s="5"/>
      <c r="Y564" s="5"/>
      <c r="Z564" s="5" t="s">
        <v>132</v>
      </c>
      <c r="AA564" s="5" t="s">
        <v>3271</v>
      </c>
    </row>
    <row r="565" ht="15.0" customHeight="1">
      <c r="A565" s="5" t="s">
        <v>3272</v>
      </c>
      <c r="B565" s="5" t="s">
        <v>3273</v>
      </c>
      <c r="C565" s="5" t="s">
        <v>3274</v>
      </c>
      <c r="D565" s="5"/>
      <c r="E565" s="5"/>
      <c r="F565" s="20"/>
      <c r="G565" s="20"/>
      <c r="H565" s="5" t="s">
        <v>41</v>
      </c>
      <c r="I565" s="5" t="s">
        <v>218</v>
      </c>
      <c r="J565" s="5" t="s">
        <v>114</v>
      </c>
      <c r="K565" s="5" t="s">
        <v>3275</v>
      </c>
      <c r="L565" s="5"/>
      <c r="M565" s="5" t="s">
        <v>8</v>
      </c>
      <c r="N565" s="5" t="s">
        <v>80</v>
      </c>
      <c r="O565" s="5" t="str">
        <f>IF(B565="","",IFERROR(LOOKUP(2,1/('Call Log'!$C$2:$C$5000=B565),'Call Log'!$B$2:$B$5000),""))</f>
        <v/>
      </c>
      <c r="P565" s="5">
        <f>IF(B565="","",COUNTIFS('Call Log'!$C$2:$C$5000,B565,'Call Log'!$A$2:$A$5000,"&gt;="&amp;(TODAY()-WEEKDAY(TODAY(),2)+1)))</f>
        <v>0</v>
      </c>
      <c r="Q565" s="5">
        <f>IF(B565="","",COUNTIF('Call Log'!$C$2:$C$5000,B565))</f>
        <v>0</v>
      </c>
      <c r="R565" s="21" t="str">
        <f>IF(B565="","",IFERROR(IF(MAXIFS('Call Log'!$A$2:$A$5000,'Call Log'!$C$2:$C$5000,B565)=0,"",MAXIFS('Call Log'!$A$2:$A$5000,'Call Log'!$C$2:$C$5000,B565)),""))</f>
        <v/>
      </c>
      <c r="S565" s="5"/>
      <c r="T565" s="21"/>
      <c r="U565" s="21"/>
      <c r="V565" s="5"/>
      <c r="W565" s="20"/>
      <c r="X565" s="5"/>
      <c r="Y565" s="5"/>
      <c r="Z565" s="5" t="s">
        <v>132</v>
      </c>
      <c r="AA565" s="5" t="s">
        <v>3276</v>
      </c>
    </row>
    <row r="566" ht="15.0" customHeight="1">
      <c r="A566" s="5" t="s">
        <v>3277</v>
      </c>
      <c r="B566" s="5" t="s">
        <v>3278</v>
      </c>
      <c r="C566" s="5" t="s">
        <v>3279</v>
      </c>
      <c r="D566" s="5"/>
      <c r="E566" s="5">
        <v>1.0</v>
      </c>
      <c r="F566" s="20"/>
      <c r="G566" s="20"/>
      <c r="H566" s="5" t="s">
        <v>40</v>
      </c>
      <c r="I566" s="5" t="s">
        <v>357</v>
      </c>
      <c r="J566" s="5" t="s">
        <v>114</v>
      </c>
      <c r="K566" s="5" t="s">
        <v>3280</v>
      </c>
      <c r="L566" s="5"/>
      <c r="M566" s="5" t="s">
        <v>8</v>
      </c>
      <c r="N566" s="5" t="s">
        <v>80</v>
      </c>
      <c r="O566" s="5" t="str">
        <f>IF(B566="","",IFERROR(LOOKUP(2,1/('Call Log'!$C$2:$C$5000=B566),'Call Log'!$B$2:$B$5000),""))</f>
        <v/>
      </c>
      <c r="P566" s="5">
        <f>IF(B566="","",COUNTIFS('Call Log'!$C$2:$C$5000,B566,'Call Log'!$A$2:$A$5000,"&gt;="&amp;(TODAY()-WEEKDAY(TODAY(),2)+1)))</f>
        <v>0</v>
      </c>
      <c r="Q566" s="5">
        <f>IF(B566="","",COUNTIF('Call Log'!$C$2:$C$5000,B566))</f>
        <v>0</v>
      </c>
      <c r="R566" s="21" t="str">
        <f>IF(B566="","",IFERROR(IF(MAXIFS('Call Log'!$A$2:$A$5000,'Call Log'!$C$2:$C$5000,B566)=0,"",MAXIFS('Call Log'!$A$2:$A$5000,'Call Log'!$C$2:$C$5000,B566)),""))</f>
        <v/>
      </c>
      <c r="S566" s="5"/>
      <c r="T566" s="21"/>
      <c r="U566" s="21"/>
      <c r="V566" s="5"/>
      <c r="W566" s="20"/>
      <c r="X566" s="5"/>
      <c r="Y566" s="5"/>
      <c r="Z566" s="5" t="s">
        <v>132</v>
      </c>
      <c r="AA566" s="5" t="s">
        <v>3281</v>
      </c>
    </row>
    <row r="567" ht="15.0" customHeight="1">
      <c r="A567" s="5" t="s">
        <v>3282</v>
      </c>
      <c r="B567" s="5" t="s">
        <v>3283</v>
      </c>
      <c r="C567" s="5" t="s">
        <v>3284</v>
      </c>
      <c r="D567" s="5"/>
      <c r="E567" s="5">
        <v>3.0</v>
      </c>
      <c r="F567" s="20"/>
      <c r="G567" s="20"/>
      <c r="H567" s="5" t="s">
        <v>40</v>
      </c>
      <c r="I567" s="5" t="s">
        <v>3285</v>
      </c>
      <c r="J567" s="5" t="s">
        <v>114</v>
      </c>
      <c r="K567" s="5" t="s">
        <v>3286</v>
      </c>
      <c r="L567" s="5"/>
      <c r="M567" s="5" t="s">
        <v>8</v>
      </c>
      <c r="N567" s="5" t="s">
        <v>80</v>
      </c>
      <c r="O567" s="5" t="str">
        <f>IF(B567="","",IFERROR(LOOKUP(2,1/('Call Log'!$C$2:$C$5000=B567),'Call Log'!$B$2:$B$5000),""))</f>
        <v/>
      </c>
      <c r="P567" s="5">
        <f>IF(B567="","",COUNTIFS('Call Log'!$C$2:$C$5000,B567,'Call Log'!$A$2:$A$5000,"&gt;="&amp;(TODAY()-WEEKDAY(TODAY(),2)+1)))</f>
        <v>0</v>
      </c>
      <c r="Q567" s="5">
        <f>IF(B567="","",COUNTIF('Call Log'!$C$2:$C$5000,B567))</f>
        <v>0</v>
      </c>
      <c r="R567" s="21" t="str">
        <f>IF(B567="","",IFERROR(IF(MAXIFS('Call Log'!$A$2:$A$5000,'Call Log'!$C$2:$C$5000,B567)=0,"",MAXIFS('Call Log'!$A$2:$A$5000,'Call Log'!$C$2:$C$5000,B567)),""))</f>
        <v/>
      </c>
      <c r="S567" s="5"/>
      <c r="T567" s="21"/>
      <c r="U567" s="21"/>
      <c r="V567" s="5"/>
      <c r="W567" s="20"/>
      <c r="X567" s="5"/>
      <c r="Y567" s="5"/>
      <c r="Z567" s="5" t="s">
        <v>132</v>
      </c>
      <c r="AA567" s="5" t="s">
        <v>3287</v>
      </c>
    </row>
    <row r="568" ht="15.0" customHeight="1">
      <c r="A568" s="5" t="s">
        <v>3288</v>
      </c>
      <c r="B568" s="5" t="s">
        <v>3289</v>
      </c>
      <c r="C568" s="5" t="s">
        <v>3290</v>
      </c>
      <c r="D568" s="5"/>
      <c r="E568" s="5"/>
      <c r="F568" s="20"/>
      <c r="G568" s="20"/>
      <c r="H568" s="5" t="s">
        <v>40</v>
      </c>
      <c r="I568" s="5" t="s">
        <v>622</v>
      </c>
      <c r="J568" s="5" t="s">
        <v>114</v>
      </c>
      <c r="K568" s="5" t="s">
        <v>3291</v>
      </c>
      <c r="L568" s="5"/>
      <c r="M568" s="5" t="s">
        <v>8</v>
      </c>
      <c r="N568" s="5" t="s">
        <v>80</v>
      </c>
      <c r="O568" s="5" t="str">
        <f>IF(B568="","",IFERROR(LOOKUP(2,1/('Call Log'!$C$2:$C$5000=B568),'Call Log'!$B$2:$B$5000),""))</f>
        <v/>
      </c>
      <c r="P568" s="5">
        <f>IF(B568="","",COUNTIFS('Call Log'!$C$2:$C$5000,B568,'Call Log'!$A$2:$A$5000,"&gt;="&amp;(TODAY()-WEEKDAY(TODAY(),2)+1)))</f>
        <v>0</v>
      </c>
      <c r="Q568" s="5">
        <f>IF(B568="","",COUNTIF('Call Log'!$C$2:$C$5000,B568))</f>
        <v>0</v>
      </c>
      <c r="R568" s="21" t="str">
        <f>IF(B568="","",IFERROR(IF(MAXIFS('Call Log'!$A$2:$A$5000,'Call Log'!$C$2:$C$5000,B568)=0,"",MAXIFS('Call Log'!$A$2:$A$5000,'Call Log'!$C$2:$C$5000,B568)),""))</f>
        <v/>
      </c>
      <c r="S568" s="5"/>
      <c r="T568" s="21"/>
      <c r="U568" s="21"/>
      <c r="V568" s="5"/>
      <c r="W568" s="20"/>
      <c r="X568" s="5"/>
      <c r="Y568" s="5"/>
      <c r="Z568" s="5" t="s">
        <v>132</v>
      </c>
      <c r="AA568" s="5" t="s">
        <v>3292</v>
      </c>
    </row>
    <row r="569" ht="15.0" customHeight="1">
      <c r="A569" s="5" t="s">
        <v>3293</v>
      </c>
      <c r="B569" s="5" t="s">
        <v>3294</v>
      </c>
      <c r="C569" s="5" t="s">
        <v>3295</v>
      </c>
      <c r="D569" s="5"/>
      <c r="E569" s="5"/>
      <c r="F569" s="20"/>
      <c r="G569" s="20"/>
      <c r="H569" s="5" t="s">
        <v>41</v>
      </c>
      <c r="I569" s="5" t="s">
        <v>129</v>
      </c>
      <c r="J569" s="5" t="s">
        <v>114</v>
      </c>
      <c r="K569" s="5" t="s">
        <v>3296</v>
      </c>
      <c r="L569" s="5"/>
      <c r="M569" s="5" t="s">
        <v>8</v>
      </c>
      <c r="N569" s="5" t="s">
        <v>80</v>
      </c>
      <c r="O569" s="5" t="str">
        <f>IF(B569="","",IFERROR(LOOKUP(2,1/('Call Log'!$C$2:$C$5000=B569),'Call Log'!$B$2:$B$5000),""))</f>
        <v/>
      </c>
      <c r="P569" s="5">
        <f>IF(B569="","",COUNTIFS('Call Log'!$C$2:$C$5000,B569,'Call Log'!$A$2:$A$5000,"&gt;="&amp;(TODAY()-WEEKDAY(TODAY(),2)+1)))</f>
        <v>0</v>
      </c>
      <c r="Q569" s="5">
        <f>IF(B569="","",COUNTIF('Call Log'!$C$2:$C$5000,B569))</f>
        <v>0</v>
      </c>
      <c r="R569" s="21" t="str">
        <f>IF(B569="","",IFERROR(IF(MAXIFS('Call Log'!$A$2:$A$5000,'Call Log'!$C$2:$C$5000,B569)=0,"",MAXIFS('Call Log'!$A$2:$A$5000,'Call Log'!$C$2:$C$5000,B569)),""))</f>
        <v/>
      </c>
      <c r="S569" s="5"/>
      <c r="T569" s="21"/>
      <c r="U569" s="21"/>
      <c r="V569" s="5"/>
      <c r="W569" s="20"/>
      <c r="X569" s="5"/>
      <c r="Y569" s="5"/>
      <c r="Z569" s="5" t="s">
        <v>132</v>
      </c>
      <c r="AA569" s="5" t="s">
        <v>3297</v>
      </c>
    </row>
    <row r="570" ht="15.0" customHeight="1">
      <c r="A570" s="5" t="s">
        <v>3298</v>
      </c>
      <c r="B570" s="5" t="s">
        <v>3299</v>
      </c>
      <c r="C570" s="5" t="s">
        <v>1672</v>
      </c>
      <c r="D570" s="5"/>
      <c r="E570" s="5">
        <v>4.0</v>
      </c>
      <c r="F570" s="20"/>
      <c r="G570" s="20"/>
      <c r="H570" s="5" t="s">
        <v>43</v>
      </c>
      <c r="I570" s="5" t="s">
        <v>904</v>
      </c>
      <c r="J570" s="5" t="s">
        <v>114</v>
      </c>
      <c r="K570" s="5" t="s">
        <v>3300</v>
      </c>
      <c r="L570" s="5"/>
      <c r="M570" s="5" t="s">
        <v>8</v>
      </c>
      <c r="N570" s="5" t="s">
        <v>80</v>
      </c>
      <c r="O570" s="5" t="str">
        <f>IF(B570="","",IFERROR(LOOKUP(2,1/('Call Log'!$C$2:$C$5000=B570),'Call Log'!$B$2:$B$5000),""))</f>
        <v/>
      </c>
      <c r="P570" s="5">
        <f>IF(B570="","",COUNTIFS('Call Log'!$C$2:$C$5000,B570,'Call Log'!$A$2:$A$5000,"&gt;="&amp;(TODAY()-WEEKDAY(TODAY(),2)+1)))</f>
        <v>0</v>
      </c>
      <c r="Q570" s="5">
        <f>IF(B570="","",COUNTIF('Call Log'!$C$2:$C$5000,B570))</f>
        <v>0</v>
      </c>
      <c r="R570" s="21" t="str">
        <f>IF(B570="","",IFERROR(IF(MAXIFS('Call Log'!$A$2:$A$5000,'Call Log'!$C$2:$C$5000,B570)=0,"",MAXIFS('Call Log'!$A$2:$A$5000,'Call Log'!$C$2:$C$5000,B570)),""))</f>
        <v/>
      </c>
      <c r="S570" s="5"/>
      <c r="T570" s="21"/>
      <c r="U570" s="21"/>
      <c r="V570" s="5"/>
      <c r="W570" s="20"/>
      <c r="X570" s="5"/>
      <c r="Y570" s="5"/>
      <c r="Z570" s="5"/>
      <c r="AA570" s="5" t="s">
        <v>724</v>
      </c>
    </row>
    <row r="571" ht="15.0" customHeight="1">
      <c r="A571" s="5" t="s">
        <v>3301</v>
      </c>
      <c r="B571" s="5" t="s">
        <v>3302</v>
      </c>
      <c r="C571" s="5" t="s">
        <v>3303</v>
      </c>
      <c r="D571" s="5"/>
      <c r="E571" s="5"/>
      <c r="F571" s="20"/>
      <c r="G571" s="20"/>
      <c r="H571" s="5" t="s">
        <v>41</v>
      </c>
      <c r="I571" s="5" t="s">
        <v>1313</v>
      </c>
      <c r="J571" s="5" t="s">
        <v>114</v>
      </c>
      <c r="K571" s="5" t="s">
        <v>3304</v>
      </c>
      <c r="L571" s="5"/>
      <c r="M571" s="5" t="s">
        <v>8</v>
      </c>
      <c r="N571" s="5" t="s">
        <v>80</v>
      </c>
      <c r="O571" s="5" t="str">
        <f>IF(B571="","",IFERROR(LOOKUP(2,1/('Call Log'!$C$2:$C$5000=B571),'Call Log'!$B$2:$B$5000),""))</f>
        <v/>
      </c>
      <c r="P571" s="5">
        <f>IF(B571="","",COUNTIFS('Call Log'!$C$2:$C$5000,B571,'Call Log'!$A$2:$A$5000,"&gt;="&amp;(TODAY()-WEEKDAY(TODAY(),2)+1)))</f>
        <v>0</v>
      </c>
      <c r="Q571" s="5">
        <f>IF(B571="","",COUNTIF('Call Log'!$C$2:$C$5000,B571))</f>
        <v>0</v>
      </c>
      <c r="R571" s="21" t="str">
        <f>IF(B571="","",IFERROR(IF(MAXIFS('Call Log'!$A$2:$A$5000,'Call Log'!$C$2:$C$5000,B571)=0,"",MAXIFS('Call Log'!$A$2:$A$5000,'Call Log'!$C$2:$C$5000,B571)),""))</f>
        <v/>
      </c>
      <c r="S571" s="5"/>
      <c r="T571" s="21"/>
      <c r="U571" s="21"/>
      <c r="V571" s="5"/>
      <c r="W571" s="20"/>
      <c r="X571" s="5"/>
      <c r="Y571" s="5"/>
      <c r="Z571" s="5" t="s">
        <v>132</v>
      </c>
      <c r="AA571" s="5" t="s">
        <v>3305</v>
      </c>
    </row>
    <row r="572" ht="15.0" customHeight="1">
      <c r="A572" s="5" t="s">
        <v>3306</v>
      </c>
      <c r="B572" s="5" t="s">
        <v>3307</v>
      </c>
      <c r="C572" s="5" t="s">
        <v>3308</v>
      </c>
      <c r="D572" s="5"/>
      <c r="E572" s="5"/>
      <c r="F572" s="20"/>
      <c r="G572" s="20"/>
      <c r="H572" s="5" t="s">
        <v>43</v>
      </c>
      <c r="I572" s="5" t="s">
        <v>1320</v>
      </c>
      <c r="J572" s="5" t="s">
        <v>114</v>
      </c>
      <c r="K572" s="5" t="s">
        <v>3309</v>
      </c>
      <c r="L572" s="5"/>
      <c r="M572" s="5" t="s">
        <v>8</v>
      </c>
      <c r="N572" s="5" t="s">
        <v>80</v>
      </c>
      <c r="O572" s="5" t="str">
        <f>IF(B572="","",IFERROR(LOOKUP(2,1/('Call Log'!$C$2:$C$5000=B572),'Call Log'!$B$2:$B$5000),""))</f>
        <v/>
      </c>
      <c r="P572" s="5">
        <f>IF(B572="","",COUNTIFS('Call Log'!$C$2:$C$5000,B572,'Call Log'!$A$2:$A$5000,"&gt;="&amp;(TODAY()-WEEKDAY(TODAY(),2)+1)))</f>
        <v>0</v>
      </c>
      <c r="Q572" s="5">
        <f>IF(B572="","",COUNTIF('Call Log'!$C$2:$C$5000,B572))</f>
        <v>0</v>
      </c>
      <c r="R572" s="21" t="str">
        <f>IF(B572="","",IFERROR(IF(MAXIFS('Call Log'!$A$2:$A$5000,'Call Log'!$C$2:$C$5000,B572)=0,"",MAXIFS('Call Log'!$A$2:$A$5000,'Call Log'!$C$2:$C$5000,B572)),""))</f>
        <v/>
      </c>
      <c r="S572" s="5"/>
      <c r="T572" s="21"/>
      <c r="U572" s="21"/>
      <c r="V572" s="5"/>
      <c r="W572" s="20"/>
      <c r="X572" s="5"/>
      <c r="Y572" s="5"/>
      <c r="Z572" s="5" t="s">
        <v>132</v>
      </c>
      <c r="AA572" s="5" t="s">
        <v>3310</v>
      </c>
    </row>
    <row r="573" ht="15.0" customHeight="1">
      <c r="A573" s="5" t="s">
        <v>3311</v>
      </c>
      <c r="B573" s="5" t="s">
        <v>3312</v>
      </c>
      <c r="C573" s="5" t="s">
        <v>3313</v>
      </c>
      <c r="D573" s="5"/>
      <c r="E573" s="5"/>
      <c r="F573" s="20"/>
      <c r="G573" s="20"/>
      <c r="H573" s="5" t="s">
        <v>41</v>
      </c>
      <c r="I573" s="5" t="s">
        <v>161</v>
      </c>
      <c r="J573" s="5" t="s">
        <v>114</v>
      </c>
      <c r="K573" s="5" t="s">
        <v>3314</v>
      </c>
      <c r="L573" s="5"/>
      <c r="M573" s="5" t="s">
        <v>8</v>
      </c>
      <c r="N573" s="5" t="s">
        <v>80</v>
      </c>
      <c r="O573" s="5" t="str">
        <f>IF(B573="","",IFERROR(LOOKUP(2,1/('Call Log'!$C$2:$C$5000=B573),'Call Log'!$B$2:$B$5000),""))</f>
        <v/>
      </c>
      <c r="P573" s="5">
        <f>IF(B573="","",COUNTIFS('Call Log'!$C$2:$C$5000,B573,'Call Log'!$A$2:$A$5000,"&gt;="&amp;(TODAY()-WEEKDAY(TODAY(),2)+1)))</f>
        <v>0</v>
      </c>
      <c r="Q573" s="5">
        <f>IF(B573="","",COUNTIF('Call Log'!$C$2:$C$5000,B573))</f>
        <v>0</v>
      </c>
      <c r="R573" s="21" t="str">
        <f>IF(B573="","",IFERROR(IF(MAXIFS('Call Log'!$A$2:$A$5000,'Call Log'!$C$2:$C$5000,B573)=0,"",MAXIFS('Call Log'!$A$2:$A$5000,'Call Log'!$C$2:$C$5000,B573)),""))</f>
        <v/>
      </c>
      <c r="S573" s="5"/>
      <c r="T573" s="21"/>
      <c r="U573" s="21"/>
      <c r="V573" s="5"/>
      <c r="W573" s="20"/>
      <c r="X573" s="5"/>
      <c r="Y573" s="5"/>
      <c r="Z573" s="5" t="s">
        <v>132</v>
      </c>
      <c r="AA573" s="5" t="s">
        <v>3315</v>
      </c>
    </row>
    <row r="574" ht="15.0" customHeight="1">
      <c r="A574" s="5" t="s">
        <v>3316</v>
      </c>
      <c r="B574" s="5" t="s">
        <v>3317</v>
      </c>
      <c r="C574" s="5" t="s">
        <v>3318</v>
      </c>
      <c r="D574" s="5"/>
      <c r="E574" s="5"/>
      <c r="F574" s="20"/>
      <c r="G574" s="20"/>
      <c r="H574" s="5" t="s">
        <v>40</v>
      </c>
      <c r="I574" s="5" t="s">
        <v>2252</v>
      </c>
      <c r="J574" s="5" t="s">
        <v>114</v>
      </c>
      <c r="K574" s="5" t="s">
        <v>3319</v>
      </c>
      <c r="L574" s="5"/>
      <c r="M574" s="5" t="s">
        <v>8</v>
      </c>
      <c r="N574" s="5" t="s">
        <v>80</v>
      </c>
      <c r="O574" s="5" t="str">
        <f>IF(B574="","",IFERROR(LOOKUP(2,1/('Call Log'!$C$2:$C$5000=B574),'Call Log'!$B$2:$B$5000),""))</f>
        <v/>
      </c>
      <c r="P574" s="5">
        <f>IF(B574="","",COUNTIFS('Call Log'!$C$2:$C$5000,B574,'Call Log'!$A$2:$A$5000,"&gt;="&amp;(TODAY()-WEEKDAY(TODAY(),2)+1)))</f>
        <v>0</v>
      </c>
      <c r="Q574" s="5">
        <f>IF(B574="","",COUNTIF('Call Log'!$C$2:$C$5000,B574))</f>
        <v>0</v>
      </c>
      <c r="R574" s="21" t="str">
        <f>IF(B574="","",IFERROR(IF(MAXIFS('Call Log'!$A$2:$A$5000,'Call Log'!$C$2:$C$5000,B574)=0,"",MAXIFS('Call Log'!$A$2:$A$5000,'Call Log'!$C$2:$C$5000,B574)),""))</f>
        <v/>
      </c>
      <c r="S574" s="5"/>
      <c r="T574" s="21"/>
      <c r="U574" s="21"/>
      <c r="V574" s="5"/>
      <c r="W574" s="20"/>
      <c r="X574" s="5"/>
      <c r="Y574" s="5"/>
      <c r="Z574" s="5" t="s">
        <v>132</v>
      </c>
      <c r="AA574" s="5" t="s">
        <v>3320</v>
      </c>
    </row>
    <row r="575" ht="15.0" customHeight="1">
      <c r="A575" s="5" t="s">
        <v>3321</v>
      </c>
      <c r="B575" s="5" t="s">
        <v>3322</v>
      </c>
      <c r="C575" s="5" t="s">
        <v>3323</v>
      </c>
      <c r="D575" s="5"/>
      <c r="E575" s="5"/>
      <c r="F575" s="20"/>
      <c r="G575" s="20"/>
      <c r="H575" s="5" t="s">
        <v>40</v>
      </c>
      <c r="I575" s="5" t="s">
        <v>667</v>
      </c>
      <c r="J575" s="5" t="s">
        <v>114</v>
      </c>
      <c r="K575" s="5" t="s">
        <v>3324</v>
      </c>
      <c r="L575" s="5"/>
      <c r="M575" s="5" t="s">
        <v>8</v>
      </c>
      <c r="N575" s="5" t="s">
        <v>80</v>
      </c>
      <c r="O575" s="5" t="str">
        <f>IF(B575="","",IFERROR(LOOKUP(2,1/('Call Log'!$C$2:$C$5000=B575),'Call Log'!$B$2:$B$5000),""))</f>
        <v/>
      </c>
      <c r="P575" s="5">
        <f>IF(B575="","",COUNTIFS('Call Log'!$C$2:$C$5000,B575,'Call Log'!$A$2:$A$5000,"&gt;="&amp;(TODAY()-WEEKDAY(TODAY(),2)+1)))</f>
        <v>0</v>
      </c>
      <c r="Q575" s="5">
        <f>IF(B575="","",COUNTIF('Call Log'!$C$2:$C$5000,B575))</f>
        <v>0</v>
      </c>
      <c r="R575" s="21" t="str">
        <f>IF(B575="","",IFERROR(IF(MAXIFS('Call Log'!$A$2:$A$5000,'Call Log'!$C$2:$C$5000,B575)=0,"",MAXIFS('Call Log'!$A$2:$A$5000,'Call Log'!$C$2:$C$5000,B575)),""))</f>
        <v/>
      </c>
      <c r="S575" s="5"/>
      <c r="T575" s="21"/>
      <c r="U575" s="21"/>
      <c r="V575" s="5"/>
      <c r="W575" s="20"/>
      <c r="X575" s="5"/>
      <c r="Y575" s="5"/>
      <c r="Z575" s="5" t="s">
        <v>132</v>
      </c>
      <c r="AA575" s="5" t="s">
        <v>3325</v>
      </c>
    </row>
    <row r="576" ht="15.0" customHeight="1">
      <c r="A576" s="5" t="s">
        <v>3326</v>
      </c>
      <c r="B576" s="5" t="s">
        <v>3327</v>
      </c>
      <c r="C576" s="5" t="s">
        <v>3328</v>
      </c>
      <c r="D576" s="5"/>
      <c r="E576" s="5"/>
      <c r="F576" s="20"/>
      <c r="G576" s="20"/>
      <c r="H576" s="5" t="s">
        <v>40</v>
      </c>
      <c r="I576" s="5" t="s">
        <v>857</v>
      </c>
      <c r="J576" s="5" t="s">
        <v>114</v>
      </c>
      <c r="K576" s="5" t="s">
        <v>3329</v>
      </c>
      <c r="L576" s="5"/>
      <c r="M576" s="5" t="s">
        <v>8</v>
      </c>
      <c r="N576" s="5" t="s">
        <v>80</v>
      </c>
      <c r="O576" s="5" t="str">
        <f>IF(B576="","",IFERROR(LOOKUP(2,1/('Call Log'!$C$2:$C$5000=B576),'Call Log'!$B$2:$B$5000),""))</f>
        <v/>
      </c>
      <c r="P576" s="5">
        <f>IF(B576="","",COUNTIFS('Call Log'!$C$2:$C$5000,B576,'Call Log'!$A$2:$A$5000,"&gt;="&amp;(TODAY()-WEEKDAY(TODAY(),2)+1)))</f>
        <v>0</v>
      </c>
      <c r="Q576" s="5">
        <f>IF(B576="","",COUNTIF('Call Log'!$C$2:$C$5000,B576))</f>
        <v>0</v>
      </c>
      <c r="R576" s="21" t="str">
        <f>IF(B576="","",IFERROR(IF(MAXIFS('Call Log'!$A$2:$A$5000,'Call Log'!$C$2:$C$5000,B576)=0,"",MAXIFS('Call Log'!$A$2:$A$5000,'Call Log'!$C$2:$C$5000,B576)),""))</f>
        <v/>
      </c>
      <c r="S576" s="5"/>
      <c r="T576" s="21"/>
      <c r="U576" s="21"/>
      <c r="V576" s="5"/>
      <c r="W576" s="20"/>
      <c r="X576" s="5"/>
      <c r="Y576" s="5"/>
      <c r="Z576" s="5" t="s">
        <v>132</v>
      </c>
      <c r="AA576" s="5" t="s">
        <v>3330</v>
      </c>
    </row>
    <row r="577" ht="15.0" customHeight="1">
      <c r="A577" s="5" t="s">
        <v>3331</v>
      </c>
      <c r="B577" s="5" t="s">
        <v>3332</v>
      </c>
      <c r="C577" s="5" t="s">
        <v>3333</v>
      </c>
      <c r="D577" s="5"/>
      <c r="E577" s="5"/>
      <c r="F577" s="20"/>
      <c r="G577" s="20"/>
      <c r="H577" s="5" t="s">
        <v>41</v>
      </c>
      <c r="I577" s="5" t="s">
        <v>357</v>
      </c>
      <c r="J577" s="5" t="s">
        <v>114</v>
      </c>
      <c r="K577" s="5" t="s">
        <v>3334</v>
      </c>
      <c r="L577" s="5"/>
      <c r="M577" s="5" t="s">
        <v>8</v>
      </c>
      <c r="N577" s="5" t="s">
        <v>80</v>
      </c>
      <c r="O577" s="5" t="str">
        <f>IF(B577="","",IFERROR(LOOKUP(2,1/('Call Log'!$C$2:$C$5000=B577),'Call Log'!$B$2:$B$5000),""))</f>
        <v/>
      </c>
      <c r="P577" s="5">
        <f>IF(B577="","",COUNTIFS('Call Log'!$C$2:$C$5000,B577,'Call Log'!$A$2:$A$5000,"&gt;="&amp;(TODAY()-WEEKDAY(TODAY(),2)+1)))</f>
        <v>0</v>
      </c>
      <c r="Q577" s="5">
        <f>IF(B577="","",COUNTIF('Call Log'!$C$2:$C$5000,B577))</f>
        <v>0</v>
      </c>
      <c r="R577" s="21" t="str">
        <f>IF(B577="","",IFERROR(IF(MAXIFS('Call Log'!$A$2:$A$5000,'Call Log'!$C$2:$C$5000,B577)=0,"",MAXIFS('Call Log'!$A$2:$A$5000,'Call Log'!$C$2:$C$5000,B577)),""))</f>
        <v/>
      </c>
      <c r="S577" s="5"/>
      <c r="T577" s="21"/>
      <c r="U577" s="21"/>
      <c r="V577" s="5"/>
      <c r="W577" s="20"/>
      <c r="X577" s="5"/>
      <c r="Y577" s="5"/>
      <c r="Z577" s="5" t="s">
        <v>132</v>
      </c>
      <c r="AA577" s="5" t="s">
        <v>3335</v>
      </c>
    </row>
    <row r="578" ht="15.0" customHeight="1">
      <c r="A578" s="5" t="s">
        <v>3336</v>
      </c>
      <c r="B578" s="5" t="s">
        <v>3337</v>
      </c>
      <c r="C578" s="5" t="s">
        <v>2179</v>
      </c>
      <c r="D578" s="5"/>
      <c r="E578" s="5"/>
      <c r="F578" s="20"/>
      <c r="G578" s="20"/>
      <c r="H578" s="5" t="s">
        <v>40</v>
      </c>
      <c r="I578" s="5" t="s">
        <v>1313</v>
      </c>
      <c r="J578" s="5" t="s">
        <v>114</v>
      </c>
      <c r="K578" s="5" t="s">
        <v>3338</v>
      </c>
      <c r="L578" s="5"/>
      <c r="M578" s="5" t="s">
        <v>8</v>
      </c>
      <c r="N578" s="5" t="s">
        <v>80</v>
      </c>
      <c r="O578" s="5" t="str">
        <f>IF(B578="","",IFERROR(LOOKUP(2,1/('Call Log'!$C$2:$C$5000=B578),'Call Log'!$B$2:$B$5000),""))</f>
        <v/>
      </c>
      <c r="P578" s="5">
        <f>IF(B578="","",COUNTIFS('Call Log'!$C$2:$C$5000,B578,'Call Log'!$A$2:$A$5000,"&gt;="&amp;(TODAY()-WEEKDAY(TODAY(),2)+1)))</f>
        <v>0</v>
      </c>
      <c r="Q578" s="5">
        <f>IF(B578="","",COUNTIF('Call Log'!$C$2:$C$5000,B578))</f>
        <v>0</v>
      </c>
      <c r="R578" s="21" t="str">
        <f>IF(B578="","",IFERROR(IF(MAXIFS('Call Log'!$A$2:$A$5000,'Call Log'!$C$2:$C$5000,B578)=0,"",MAXIFS('Call Log'!$A$2:$A$5000,'Call Log'!$C$2:$C$5000,B578)),""))</f>
        <v/>
      </c>
      <c r="S578" s="5"/>
      <c r="T578" s="21"/>
      <c r="U578" s="21"/>
      <c r="V578" s="5"/>
      <c r="W578" s="20"/>
      <c r="X578" s="5"/>
      <c r="Y578" s="5"/>
      <c r="Z578" s="5" t="s">
        <v>178</v>
      </c>
      <c r="AA578" s="5" t="s">
        <v>3339</v>
      </c>
    </row>
    <row r="579" ht="15.0" customHeight="1">
      <c r="A579" s="5" t="s">
        <v>3340</v>
      </c>
      <c r="B579" s="5" t="s">
        <v>3341</v>
      </c>
      <c r="C579" s="5" t="s">
        <v>3342</v>
      </c>
      <c r="D579" s="5"/>
      <c r="E579" s="5"/>
      <c r="F579" s="20"/>
      <c r="G579" s="20"/>
      <c r="H579" s="5" t="s">
        <v>41</v>
      </c>
      <c r="I579" s="5" t="s">
        <v>721</v>
      </c>
      <c r="J579" s="5" t="s">
        <v>114</v>
      </c>
      <c r="K579" s="5" t="s">
        <v>3343</v>
      </c>
      <c r="L579" s="5"/>
      <c r="M579" s="5" t="s">
        <v>8</v>
      </c>
      <c r="N579" s="5" t="s">
        <v>80</v>
      </c>
      <c r="O579" s="5" t="str">
        <f>IF(B579="","",IFERROR(LOOKUP(2,1/('Call Log'!$C$2:$C$5000=B579),'Call Log'!$B$2:$B$5000),""))</f>
        <v/>
      </c>
      <c r="P579" s="5">
        <f>IF(B579="","",COUNTIFS('Call Log'!$C$2:$C$5000,B579,'Call Log'!$A$2:$A$5000,"&gt;="&amp;(TODAY()-WEEKDAY(TODAY(),2)+1)))</f>
        <v>0</v>
      </c>
      <c r="Q579" s="5">
        <f>IF(B579="","",COUNTIF('Call Log'!$C$2:$C$5000,B579))</f>
        <v>0</v>
      </c>
      <c r="R579" s="21" t="str">
        <f>IF(B579="","",IFERROR(IF(MAXIFS('Call Log'!$A$2:$A$5000,'Call Log'!$C$2:$C$5000,B579)=0,"",MAXIFS('Call Log'!$A$2:$A$5000,'Call Log'!$C$2:$C$5000,B579)),""))</f>
        <v/>
      </c>
      <c r="S579" s="5"/>
      <c r="T579" s="21"/>
      <c r="U579" s="21"/>
      <c r="V579" s="5"/>
      <c r="W579" s="20"/>
      <c r="X579" s="5"/>
      <c r="Y579" s="5"/>
      <c r="Z579" s="5" t="s">
        <v>132</v>
      </c>
      <c r="AA579" s="5" t="s">
        <v>3344</v>
      </c>
    </row>
    <row r="580" ht="15.0" customHeight="1">
      <c r="A580" s="5" t="s">
        <v>3345</v>
      </c>
      <c r="B580" s="5" t="s">
        <v>3346</v>
      </c>
      <c r="C580" s="5" t="s">
        <v>3347</v>
      </c>
      <c r="D580" s="5"/>
      <c r="E580" s="5"/>
      <c r="F580" s="20"/>
      <c r="G580" s="20"/>
      <c r="H580" s="5" t="s">
        <v>40</v>
      </c>
      <c r="I580" s="5" t="s">
        <v>865</v>
      </c>
      <c r="J580" s="5" t="s">
        <v>114</v>
      </c>
      <c r="K580" s="5" t="s">
        <v>3348</v>
      </c>
      <c r="L580" s="5" t="s">
        <v>3349</v>
      </c>
      <c r="M580" s="5" t="s">
        <v>8</v>
      </c>
      <c r="N580" s="5" t="s">
        <v>80</v>
      </c>
      <c r="O580" s="5" t="str">
        <f>IF(B580="","",IFERROR(LOOKUP(2,1/('Call Log'!$C$2:$C$5000=B580),'Call Log'!$B$2:$B$5000),""))</f>
        <v/>
      </c>
      <c r="P580" s="5">
        <f>IF(B580="","",COUNTIFS('Call Log'!$C$2:$C$5000,B580,'Call Log'!$A$2:$A$5000,"&gt;="&amp;(TODAY()-WEEKDAY(TODAY(),2)+1)))</f>
        <v>0</v>
      </c>
      <c r="Q580" s="5">
        <f>IF(B580="","",COUNTIF('Call Log'!$C$2:$C$5000,B580))</f>
        <v>0</v>
      </c>
      <c r="R580" s="21" t="str">
        <f>IF(B580="","",IFERROR(IF(MAXIFS('Call Log'!$A$2:$A$5000,'Call Log'!$C$2:$C$5000,B580)=0,"",MAXIFS('Call Log'!$A$2:$A$5000,'Call Log'!$C$2:$C$5000,B580)),""))</f>
        <v/>
      </c>
      <c r="S580" s="5"/>
      <c r="T580" s="21"/>
      <c r="U580" s="21"/>
      <c r="V580" s="5"/>
      <c r="W580" s="20"/>
      <c r="X580" s="5"/>
      <c r="Y580" s="5"/>
      <c r="Z580" s="5" t="s">
        <v>132</v>
      </c>
      <c r="AA580" s="5" t="s">
        <v>3350</v>
      </c>
    </row>
    <row r="581" ht="15.0" customHeight="1">
      <c r="A581" s="5" t="s">
        <v>3351</v>
      </c>
      <c r="B581" s="5" t="s">
        <v>3352</v>
      </c>
      <c r="C581" s="5" t="s">
        <v>3353</v>
      </c>
      <c r="D581" s="5"/>
      <c r="E581" s="5">
        <v>1.0</v>
      </c>
      <c r="F581" s="20"/>
      <c r="G581" s="20"/>
      <c r="H581" s="5" t="s">
        <v>40</v>
      </c>
      <c r="I581" s="5" t="s">
        <v>3354</v>
      </c>
      <c r="J581" s="5" t="s">
        <v>114</v>
      </c>
      <c r="K581" s="5" t="s">
        <v>3355</v>
      </c>
      <c r="L581" s="5"/>
      <c r="M581" s="5" t="s">
        <v>8</v>
      </c>
      <c r="N581" s="5" t="s">
        <v>80</v>
      </c>
      <c r="O581" s="5" t="str">
        <f>IF(B581="","",IFERROR(LOOKUP(2,1/('Call Log'!$C$2:$C$5000=B581),'Call Log'!$B$2:$B$5000),""))</f>
        <v/>
      </c>
      <c r="P581" s="5">
        <f>IF(B581="","",COUNTIFS('Call Log'!$C$2:$C$5000,B581,'Call Log'!$A$2:$A$5000,"&gt;="&amp;(TODAY()-WEEKDAY(TODAY(),2)+1)))</f>
        <v>0</v>
      </c>
      <c r="Q581" s="5">
        <f>IF(B581="","",COUNTIF('Call Log'!$C$2:$C$5000,B581))</f>
        <v>0</v>
      </c>
      <c r="R581" s="21" t="str">
        <f>IF(B581="","",IFERROR(IF(MAXIFS('Call Log'!$A$2:$A$5000,'Call Log'!$C$2:$C$5000,B581)=0,"",MAXIFS('Call Log'!$A$2:$A$5000,'Call Log'!$C$2:$C$5000,B581)),""))</f>
        <v/>
      </c>
      <c r="S581" s="5"/>
      <c r="T581" s="21"/>
      <c r="U581" s="21"/>
      <c r="V581" s="5"/>
      <c r="W581" s="20"/>
      <c r="X581" s="5"/>
      <c r="Y581" s="5"/>
      <c r="Z581" s="5" t="s">
        <v>132</v>
      </c>
      <c r="AA581" s="5" t="s">
        <v>3356</v>
      </c>
    </row>
    <row r="582" ht="15.0" customHeight="1">
      <c r="A582" s="5" t="s">
        <v>3357</v>
      </c>
      <c r="B582" s="5" t="s">
        <v>3358</v>
      </c>
      <c r="C582" s="5" t="s">
        <v>3359</v>
      </c>
      <c r="D582" s="5"/>
      <c r="E582" s="5"/>
      <c r="F582" s="20"/>
      <c r="G582" s="20"/>
      <c r="H582" s="5" t="s">
        <v>41</v>
      </c>
      <c r="I582" s="5" t="s">
        <v>622</v>
      </c>
      <c r="J582" s="5" t="s">
        <v>114</v>
      </c>
      <c r="K582" s="5" t="s">
        <v>3360</v>
      </c>
      <c r="L582" s="5"/>
      <c r="M582" s="5" t="s">
        <v>8</v>
      </c>
      <c r="N582" s="5" t="s">
        <v>80</v>
      </c>
      <c r="O582" s="5" t="str">
        <f>IF(B582="","",IFERROR(LOOKUP(2,1/('Call Log'!$C$2:$C$5000=B582),'Call Log'!$B$2:$B$5000),""))</f>
        <v/>
      </c>
      <c r="P582" s="5">
        <f>IF(B582="","",COUNTIFS('Call Log'!$C$2:$C$5000,B582,'Call Log'!$A$2:$A$5000,"&gt;="&amp;(TODAY()-WEEKDAY(TODAY(),2)+1)))</f>
        <v>0</v>
      </c>
      <c r="Q582" s="5">
        <f>IF(B582="","",COUNTIF('Call Log'!$C$2:$C$5000,B582))</f>
        <v>0</v>
      </c>
      <c r="R582" s="21" t="str">
        <f>IF(B582="","",IFERROR(IF(MAXIFS('Call Log'!$A$2:$A$5000,'Call Log'!$C$2:$C$5000,B582)=0,"",MAXIFS('Call Log'!$A$2:$A$5000,'Call Log'!$C$2:$C$5000,B582)),""))</f>
        <v/>
      </c>
      <c r="S582" s="5"/>
      <c r="T582" s="21"/>
      <c r="U582" s="21"/>
      <c r="V582" s="5"/>
      <c r="W582" s="20"/>
      <c r="X582" s="5"/>
      <c r="Y582" s="5"/>
      <c r="Z582" s="5" t="s">
        <v>132</v>
      </c>
      <c r="AA582" s="5" t="s">
        <v>3361</v>
      </c>
    </row>
    <row r="583" ht="15.0" customHeight="1">
      <c r="A583" s="5" t="s">
        <v>3362</v>
      </c>
      <c r="B583" s="5" t="s">
        <v>3363</v>
      </c>
      <c r="C583" s="5" t="s">
        <v>3364</v>
      </c>
      <c r="D583" s="5"/>
      <c r="E583" s="5"/>
      <c r="F583" s="20"/>
      <c r="G583" s="20"/>
      <c r="H583" s="5" t="s">
        <v>40</v>
      </c>
      <c r="I583" s="5" t="s">
        <v>206</v>
      </c>
      <c r="J583" s="5" t="s">
        <v>114</v>
      </c>
      <c r="K583" s="5" t="s">
        <v>3365</v>
      </c>
      <c r="L583" s="5" t="s">
        <v>3366</v>
      </c>
      <c r="M583" s="5" t="s">
        <v>8</v>
      </c>
      <c r="N583" s="5" t="s">
        <v>80</v>
      </c>
      <c r="O583" s="5" t="str">
        <f>IF(B583="","",IFERROR(LOOKUP(2,1/('Call Log'!$C$2:$C$5000=B583),'Call Log'!$B$2:$B$5000),""))</f>
        <v/>
      </c>
      <c r="P583" s="5">
        <f>IF(B583="","",COUNTIFS('Call Log'!$C$2:$C$5000,B583,'Call Log'!$A$2:$A$5000,"&gt;="&amp;(TODAY()-WEEKDAY(TODAY(),2)+1)))</f>
        <v>0</v>
      </c>
      <c r="Q583" s="5">
        <f>IF(B583="","",COUNTIF('Call Log'!$C$2:$C$5000,B583))</f>
        <v>0</v>
      </c>
      <c r="R583" s="21" t="str">
        <f>IF(B583="","",IFERROR(IF(MAXIFS('Call Log'!$A$2:$A$5000,'Call Log'!$C$2:$C$5000,B583)=0,"",MAXIFS('Call Log'!$A$2:$A$5000,'Call Log'!$C$2:$C$5000,B583)),""))</f>
        <v/>
      </c>
      <c r="S583" s="5"/>
      <c r="T583" s="21"/>
      <c r="U583" s="21"/>
      <c r="V583" s="5"/>
      <c r="W583" s="20"/>
      <c r="X583" s="5"/>
      <c r="Y583" s="5"/>
      <c r="Z583" s="5" t="s">
        <v>132</v>
      </c>
      <c r="AA583" s="5" t="s">
        <v>3367</v>
      </c>
    </row>
    <row r="584" ht="15.0" customHeight="1">
      <c r="A584" s="5" t="s">
        <v>3368</v>
      </c>
      <c r="B584" s="5" t="s">
        <v>3369</v>
      </c>
      <c r="C584" s="5" t="s">
        <v>3370</v>
      </c>
      <c r="D584" s="5"/>
      <c r="E584" s="5"/>
      <c r="F584" s="20"/>
      <c r="G584" s="20"/>
      <c r="H584" s="5" t="s">
        <v>41</v>
      </c>
      <c r="I584" s="5" t="s">
        <v>1320</v>
      </c>
      <c r="J584" s="5" t="s">
        <v>114</v>
      </c>
      <c r="K584" s="5" t="s">
        <v>3371</v>
      </c>
      <c r="L584" s="5"/>
      <c r="M584" s="5" t="s">
        <v>8</v>
      </c>
      <c r="N584" s="5" t="s">
        <v>80</v>
      </c>
      <c r="O584" s="5" t="str">
        <f>IF(B584="","",IFERROR(LOOKUP(2,1/('Call Log'!$C$2:$C$5000=B584),'Call Log'!$B$2:$B$5000),""))</f>
        <v/>
      </c>
      <c r="P584" s="5">
        <f>IF(B584="","",COUNTIFS('Call Log'!$C$2:$C$5000,B584,'Call Log'!$A$2:$A$5000,"&gt;="&amp;(TODAY()-WEEKDAY(TODAY(),2)+1)))</f>
        <v>0</v>
      </c>
      <c r="Q584" s="5">
        <f>IF(B584="","",COUNTIF('Call Log'!$C$2:$C$5000,B584))</f>
        <v>0</v>
      </c>
      <c r="R584" s="21" t="str">
        <f>IF(B584="","",IFERROR(IF(MAXIFS('Call Log'!$A$2:$A$5000,'Call Log'!$C$2:$C$5000,B584)=0,"",MAXIFS('Call Log'!$A$2:$A$5000,'Call Log'!$C$2:$C$5000,B584)),""))</f>
        <v/>
      </c>
      <c r="S584" s="5"/>
      <c r="T584" s="21"/>
      <c r="U584" s="21"/>
      <c r="V584" s="5"/>
      <c r="W584" s="20"/>
      <c r="X584" s="5"/>
      <c r="Y584" s="5"/>
      <c r="Z584" s="5" t="s">
        <v>132</v>
      </c>
      <c r="AA584" s="5" t="s">
        <v>3372</v>
      </c>
    </row>
    <row r="585" ht="15.0" customHeight="1">
      <c r="A585" s="5" t="s">
        <v>3373</v>
      </c>
      <c r="B585" s="5" t="s">
        <v>3374</v>
      </c>
      <c r="C585" s="5" t="s">
        <v>3375</v>
      </c>
      <c r="D585" s="5"/>
      <c r="E585" s="5"/>
      <c r="F585" s="20"/>
      <c r="G585" s="20"/>
      <c r="H585" s="5" t="s">
        <v>40</v>
      </c>
      <c r="I585" s="5" t="s">
        <v>667</v>
      </c>
      <c r="J585" s="5" t="s">
        <v>114</v>
      </c>
      <c r="K585" s="5" t="s">
        <v>3376</v>
      </c>
      <c r="L585" s="5"/>
      <c r="M585" s="5" t="s">
        <v>8</v>
      </c>
      <c r="N585" s="5" t="s">
        <v>80</v>
      </c>
      <c r="O585" s="5" t="str">
        <f>IF(B585="","",IFERROR(LOOKUP(2,1/('Call Log'!$C$2:$C$5000=B585),'Call Log'!$B$2:$B$5000),""))</f>
        <v/>
      </c>
      <c r="P585" s="5">
        <f>IF(B585="","",COUNTIFS('Call Log'!$C$2:$C$5000,B585,'Call Log'!$A$2:$A$5000,"&gt;="&amp;(TODAY()-WEEKDAY(TODAY(),2)+1)))</f>
        <v>0</v>
      </c>
      <c r="Q585" s="5">
        <f>IF(B585="","",COUNTIF('Call Log'!$C$2:$C$5000,B585))</f>
        <v>0</v>
      </c>
      <c r="R585" s="21" t="str">
        <f>IF(B585="","",IFERROR(IF(MAXIFS('Call Log'!$A$2:$A$5000,'Call Log'!$C$2:$C$5000,B585)=0,"",MAXIFS('Call Log'!$A$2:$A$5000,'Call Log'!$C$2:$C$5000,B585)),""))</f>
        <v/>
      </c>
      <c r="S585" s="5"/>
      <c r="T585" s="21"/>
      <c r="U585" s="21"/>
      <c r="V585" s="5"/>
      <c r="W585" s="20"/>
      <c r="X585" s="5"/>
      <c r="Y585" s="5"/>
      <c r="Z585" s="5" t="s">
        <v>132</v>
      </c>
      <c r="AA585" s="5" t="s">
        <v>3377</v>
      </c>
    </row>
    <row r="586" ht="15.0" customHeight="1">
      <c r="A586" s="5" t="s">
        <v>3378</v>
      </c>
      <c r="B586" s="5" t="s">
        <v>3379</v>
      </c>
      <c r="C586" s="5" t="s">
        <v>3380</v>
      </c>
      <c r="D586" s="5"/>
      <c r="E586" s="5"/>
      <c r="F586" s="20"/>
      <c r="G586" s="20"/>
      <c r="H586" s="5" t="s">
        <v>41</v>
      </c>
      <c r="I586" s="5" t="s">
        <v>2536</v>
      </c>
      <c r="J586" s="5" t="s">
        <v>114</v>
      </c>
      <c r="K586" s="5" t="s">
        <v>3381</v>
      </c>
      <c r="L586" s="5"/>
      <c r="M586" s="5" t="s">
        <v>8</v>
      </c>
      <c r="N586" s="5" t="s">
        <v>80</v>
      </c>
      <c r="O586" s="5" t="str">
        <f>IF(B586="","",IFERROR(LOOKUP(2,1/('Call Log'!$C$2:$C$5000=B586),'Call Log'!$B$2:$B$5000),""))</f>
        <v/>
      </c>
      <c r="P586" s="5">
        <f>IF(B586="","",COUNTIFS('Call Log'!$C$2:$C$5000,B586,'Call Log'!$A$2:$A$5000,"&gt;="&amp;(TODAY()-WEEKDAY(TODAY(),2)+1)))</f>
        <v>0</v>
      </c>
      <c r="Q586" s="5">
        <f>IF(B586="","",COUNTIF('Call Log'!$C$2:$C$5000,B586))</f>
        <v>0</v>
      </c>
      <c r="R586" s="21" t="str">
        <f>IF(B586="","",IFERROR(IF(MAXIFS('Call Log'!$A$2:$A$5000,'Call Log'!$C$2:$C$5000,B586)=0,"",MAXIFS('Call Log'!$A$2:$A$5000,'Call Log'!$C$2:$C$5000,B586)),""))</f>
        <v/>
      </c>
      <c r="S586" s="5"/>
      <c r="T586" s="21"/>
      <c r="U586" s="21"/>
      <c r="V586" s="5"/>
      <c r="W586" s="20"/>
      <c r="X586" s="5"/>
      <c r="Y586" s="5"/>
      <c r="Z586" s="5" t="s">
        <v>132</v>
      </c>
      <c r="AA586" s="5" t="s">
        <v>3382</v>
      </c>
    </row>
    <row r="587" ht="15.0" customHeight="1">
      <c r="A587" s="5" t="s">
        <v>3383</v>
      </c>
      <c r="B587" s="5" t="s">
        <v>3384</v>
      </c>
      <c r="C587" s="5" t="s">
        <v>3385</v>
      </c>
      <c r="D587" s="5"/>
      <c r="E587" s="5"/>
      <c r="F587" s="20"/>
      <c r="G587" s="20"/>
      <c r="H587" s="5" t="s">
        <v>41</v>
      </c>
      <c r="I587" s="5" t="s">
        <v>184</v>
      </c>
      <c r="J587" s="5" t="s">
        <v>114</v>
      </c>
      <c r="K587" s="5" t="s">
        <v>3386</v>
      </c>
      <c r="L587" s="5"/>
      <c r="M587" s="5" t="s">
        <v>8</v>
      </c>
      <c r="N587" s="5" t="s">
        <v>80</v>
      </c>
      <c r="O587" s="5" t="str">
        <f>IF(B587="","",IFERROR(LOOKUP(2,1/('Call Log'!$C$2:$C$5000=B587),'Call Log'!$B$2:$B$5000),""))</f>
        <v/>
      </c>
      <c r="P587" s="5">
        <f>IF(B587="","",COUNTIFS('Call Log'!$C$2:$C$5000,B587,'Call Log'!$A$2:$A$5000,"&gt;="&amp;(TODAY()-WEEKDAY(TODAY(),2)+1)))</f>
        <v>0</v>
      </c>
      <c r="Q587" s="5">
        <f>IF(B587="","",COUNTIF('Call Log'!$C$2:$C$5000,B587))</f>
        <v>0</v>
      </c>
      <c r="R587" s="21" t="str">
        <f>IF(B587="","",IFERROR(IF(MAXIFS('Call Log'!$A$2:$A$5000,'Call Log'!$C$2:$C$5000,B587)=0,"",MAXIFS('Call Log'!$A$2:$A$5000,'Call Log'!$C$2:$C$5000,B587)),""))</f>
        <v/>
      </c>
      <c r="S587" s="5"/>
      <c r="T587" s="21"/>
      <c r="U587" s="21"/>
      <c r="V587" s="5"/>
      <c r="W587" s="20"/>
      <c r="X587" s="5"/>
      <c r="Y587" s="5"/>
      <c r="Z587" s="5" t="s">
        <v>132</v>
      </c>
      <c r="AA587" s="5" t="s">
        <v>3387</v>
      </c>
    </row>
    <row r="588" ht="15.0" customHeight="1">
      <c r="A588" s="5" t="s">
        <v>3388</v>
      </c>
      <c r="B588" s="5" t="s">
        <v>3389</v>
      </c>
      <c r="C588" s="5" t="s">
        <v>3390</v>
      </c>
      <c r="D588" s="5"/>
      <c r="E588" s="5"/>
      <c r="F588" s="20"/>
      <c r="G588" s="20"/>
      <c r="H588" s="5" t="s">
        <v>41</v>
      </c>
      <c r="I588" s="5" t="s">
        <v>1320</v>
      </c>
      <c r="J588" s="5" t="s">
        <v>114</v>
      </c>
      <c r="K588" s="5" t="s">
        <v>3391</v>
      </c>
      <c r="L588" s="5"/>
      <c r="M588" s="5" t="s">
        <v>8</v>
      </c>
      <c r="N588" s="5" t="s">
        <v>80</v>
      </c>
      <c r="O588" s="5" t="str">
        <f>IF(B588="","",IFERROR(LOOKUP(2,1/('Call Log'!$C$2:$C$5000=B588),'Call Log'!$B$2:$B$5000),""))</f>
        <v/>
      </c>
      <c r="P588" s="5">
        <f>IF(B588="","",COUNTIFS('Call Log'!$C$2:$C$5000,B588,'Call Log'!$A$2:$A$5000,"&gt;="&amp;(TODAY()-WEEKDAY(TODAY(),2)+1)))</f>
        <v>0</v>
      </c>
      <c r="Q588" s="5">
        <f>IF(B588="","",COUNTIF('Call Log'!$C$2:$C$5000,B588))</f>
        <v>0</v>
      </c>
      <c r="R588" s="21" t="str">
        <f>IF(B588="","",IFERROR(IF(MAXIFS('Call Log'!$A$2:$A$5000,'Call Log'!$C$2:$C$5000,B588)=0,"",MAXIFS('Call Log'!$A$2:$A$5000,'Call Log'!$C$2:$C$5000,B588)),""))</f>
        <v/>
      </c>
      <c r="S588" s="5"/>
      <c r="T588" s="21"/>
      <c r="U588" s="21"/>
      <c r="V588" s="5"/>
      <c r="W588" s="20"/>
      <c r="X588" s="5"/>
      <c r="Y588" s="5"/>
      <c r="Z588" s="5" t="s">
        <v>132</v>
      </c>
      <c r="AA588" s="5" t="s">
        <v>3392</v>
      </c>
    </row>
    <row r="589" ht="15.0" customHeight="1">
      <c r="A589" s="5" t="s">
        <v>3393</v>
      </c>
      <c r="B589" s="5" t="s">
        <v>3394</v>
      </c>
      <c r="C589" s="5" t="s">
        <v>3395</v>
      </c>
      <c r="D589" s="5"/>
      <c r="E589" s="5"/>
      <c r="F589" s="20"/>
      <c r="G589" s="20"/>
      <c r="H589" s="5" t="s">
        <v>40</v>
      </c>
      <c r="I589" s="5" t="s">
        <v>904</v>
      </c>
      <c r="J589" s="5" t="s">
        <v>114</v>
      </c>
      <c r="K589" s="5" t="s">
        <v>3396</v>
      </c>
      <c r="L589" s="5"/>
      <c r="M589" s="5" t="s">
        <v>8</v>
      </c>
      <c r="N589" s="5" t="s">
        <v>80</v>
      </c>
      <c r="O589" s="5" t="str">
        <f>IF(B589="","",IFERROR(LOOKUP(2,1/('Call Log'!$C$2:$C$5000=B589),'Call Log'!$B$2:$B$5000),""))</f>
        <v/>
      </c>
      <c r="P589" s="5">
        <f>IF(B589="","",COUNTIFS('Call Log'!$C$2:$C$5000,B589,'Call Log'!$A$2:$A$5000,"&gt;="&amp;(TODAY()-WEEKDAY(TODAY(),2)+1)))</f>
        <v>0</v>
      </c>
      <c r="Q589" s="5">
        <f>IF(B589="","",COUNTIF('Call Log'!$C$2:$C$5000,B589))</f>
        <v>0</v>
      </c>
      <c r="R589" s="21" t="str">
        <f>IF(B589="","",IFERROR(IF(MAXIFS('Call Log'!$A$2:$A$5000,'Call Log'!$C$2:$C$5000,B589)=0,"",MAXIFS('Call Log'!$A$2:$A$5000,'Call Log'!$C$2:$C$5000,B589)),""))</f>
        <v/>
      </c>
      <c r="S589" s="5"/>
      <c r="T589" s="21"/>
      <c r="U589" s="21"/>
      <c r="V589" s="5"/>
      <c r="W589" s="20"/>
      <c r="X589" s="5"/>
      <c r="Y589" s="5"/>
      <c r="Z589" s="5" t="s">
        <v>132</v>
      </c>
      <c r="AA589" s="5" t="s">
        <v>3397</v>
      </c>
    </row>
    <row r="590" ht="15.0" customHeight="1">
      <c r="A590" s="5" t="s">
        <v>3398</v>
      </c>
      <c r="B590" s="5" t="s">
        <v>3399</v>
      </c>
      <c r="C590" s="5" t="s">
        <v>1781</v>
      </c>
      <c r="D590" s="5"/>
      <c r="E590" s="5">
        <v>4.0</v>
      </c>
      <c r="F590" s="20"/>
      <c r="G590" s="20"/>
      <c r="H590" s="5" t="s">
        <v>41</v>
      </c>
      <c r="I590" s="5" t="s">
        <v>904</v>
      </c>
      <c r="J590" s="5" t="s">
        <v>114</v>
      </c>
      <c r="K590" s="5" t="s">
        <v>3400</v>
      </c>
      <c r="L590" s="5" t="s">
        <v>1719</v>
      </c>
      <c r="M590" s="5" t="s">
        <v>8</v>
      </c>
      <c r="N590" s="5" t="s">
        <v>80</v>
      </c>
      <c r="O590" s="5" t="str">
        <f>IF(B590="","",IFERROR(LOOKUP(2,1/('Call Log'!$C$2:$C$5000=B590),'Call Log'!$B$2:$B$5000),""))</f>
        <v/>
      </c>
      <c r="P590" s="5">
        <f>IF(B590="","",COUNTIFS('Call Log'!$C$2:$C$5000,B590,'Call Log'!$A$2:$A$5000,"&gt;="&amp;(TODAY()-WEEKDAY(TODAY(),2)+1)))</f>
        <v>0</v>
      </c>
      <c r="Q590" s="5">
        <f>IF(B590="","",COUNTIF('Call Log'!$C$2:$C$5000,B590))</f>
        <v>0</v>
      </c>
      <c r="R590" s="21" t="str">
        <f>IF(B590="","",IFERROR(IF(MAXIFS('Call Log'!$A$2:$A$5000,'Call Log'!$C$2:$C$5000,B590)=0,"",MAXIFS('Call Log'!$A$2:$A$5000,'Call Log'!$C$2:$C$5000,B590)),""))</f>
        <v/>
      </c>
      <c r="S590" s="5"/>
      <c r="T590" s="21"/>
      <c r="U590" s="21"/>
      <c r="V590" s="5"/>
      <c r="W590" s="20"/>
      <c r="X590" s="5"/>
      <c r="Y590" s="5"/>
      <c r="Z590" s="5"/>
      <c r="AA590" s="5" t="s">
        <v>724</v>
      </c>
    </row>
    <row r="591" ht="15.0" customHeight="1">
      <c r="A591" s="5" t="s">
        <v>3401</v>
      </c>
      <c r="B591" s="5" t="s">
        <v>3402</v>
      </c>
      <c r="C591" s="5" t="s">
        <v>3403</v>
      </c>
      <c r="D591" s="5"/>
      <c r="E591" s="5"/>
      <c r="F591" s="20"/>
      <c r="G591" s="20"/>
      <c r="H591" s="5" t="s">
        <v>40</v>
      </c>
      <c r="I591" s="5" t="s">
        <v>129</v>
      </c>
      <c r="J591" s="5" t="s">
        <v>114</v>
      </c>
      <c r="K591" s="5" t="s">
        <v>3404</v>
      </c>
      <c r="L591" s="5" t="s">
        <v>3405</v>
      </c>
      <c r="M591" s="5" t="s">
        <v>8</v>
      </c>
      <c r="N591" s="5" t="s">
        <v>80</v>
      </c>
      <c r="O591" s="5" t="str">
        <f>IF(B591="","",IFERROR(LOOKUP(2,1/('Call Log'!$C$2:$C$5000=B591),'Call Log'!$B$2:$B$5000),""))</f>
        <v/>
      </c>
      <c r="P591" s="5">
        <f>IF(B591="","",COUNTIFS('Call Log'!$C$2:$C$5000,B591,'Call Log'!$A$2:$A$5000,"&gt;="&amp;(TODAY()-WEEKDAY(TODAY(),2)+1)))</f>
        <v>0</v>
      </c>
      <c r="Q591" s="5">
        <f>IF(B591="","",COUNTIF('Call Log'!$C$2:$C$5000,B591))</f>
        <v>0</v>
      </c>
      <c r="R591" s="21" t="str">
        <f>IF(B591="","",IFERROR(IF(MAXIFS('Call Log'!$A$2:$A$5000,'Call Log'!$C$2:$C$5000,B591)=0,"",MAXIFS('Call Log'!$A$2:$A$5000,'Call Log'!$C$2:$C$5000,B591)),""))</f>
        <v/>
      </c>
      <c r="S591" s="5"/>
      <c r="T591" s="21"/>
      <c r="U591" s="21"/>
      <c r="V591" s="5"/>
      <c r="W591" s="20"/>
      <c r="X591" s="5"/>
      <c r="Y591" s="5"/>
      <c r="Z591" s="5" t="s">
        <v>132</v>
      </c>
      <c r="AA591" s="5" t="s">
        <v>3406</v>
      </c>
    </row>
    <row r="592" ht="15.0" customHeight="1">
      <c r="A592" s="5" t="s">
        <v>3407</v>
      </c>
      <c r="B592" s="5" t="s">
        <v>3408</v>
      </c>
      <c r="C592" s="5" t="s">
        <v>446</v>
      </c>
      <c r="D592" s="5"/>
      <c r="E592" s="5"/>
      <c r="F592" s="20"/>
      <c r="G592" s="20"/>
      <c r="H592" s="5" t="s">
        <v>41</v>
      </c>
      <c r="I592" s="5" t="s">
        <v>1093</v>
      </c>
      <c r="J592" s="5" t="s">
        <v>114</v>
      </c>
      <c r="K592" s="5" t="s">
        <v>3409</v>
      </c>
      <c r="L592" s="5"/>
      <c r="M592" s="5" t="s">
        <v>8</v>
      </c>
      <c r="N592" s="5" t="s">
        <v>80</v>
      </c>
      <c r="O592" s="5" t="str">
        <f>IF(B592="","",IFERROR(LOOKUP(2,1/('Call Log'!$C$2:$C$5000=B592),'Call Log'!$B$2:$B$5000),""))</f>
        <v/>
      </c>
      <c r="P592" s="5">
        <f>IF(B592="","",COUNTIFS('Call Log'!$C$2:$C$5000,B592,'Call Log'!$A$2:$A$5000,"&gt;="&amp;(TODAY()-WEEKDAY(TODAY(),2)+1)))</f>
        <v>0</v>
      </c>
      <c r="Q592" s="5">
        <f>IF(B592="","",COUNTIF('Call Log'!$C$2:$C$5000,B592))</f>
        <v>0</v>
      </c>
      <c r="R592" s="21" t="str">
        <f>IF(B592="","",IFERROR(IF(MAXIFS('Call Log'!$A$2:$A$5000,'Call Log'!$C$2:$C$5000,B592)=0,"",MAXIFS('Call Log'!$A$2:$A$5000,'Call Log'!$C$2:$C$5000,B592)),""))</f>
        <v/>
      </c>
      <c r="S592" s="5"/>
      <c r="T592" s="21"/>
      <c r="U592" s="21"/>
      <c r="V592" s="5"/>
      <c r="W592" s="20"/>
      <c r="X592" s="5"/>
      <c r="Y592" s="5"/>
      <c r="Z592" s="5" t="s">
        <v>132</v>
      </c>
      <c r="AA592" s="5" t="s">
        <v>3410</v>
      </c>
    </row>
    <row r="593" ht="15.0" customHeight="1">
      <c r="A593" s="5" t="s">
        <v>3411</v>
      </c>
      <c r="B593" s="5" t="s">
        <v>3412</v>
      </c>
      <c r="C593" s="5" t="s">
        <v>3413</v>
      </c>
      <c r="D593" s="5"/>
      <c r="E593" s="5"/>
      <c r="F593" s="20"/>
      <c r="G593" s="20"/>
      <c r="H593" s="5" t="s">
        <v>41</v>
      </c>
      <c r="I593" s="5" t="s">
        <v>857</v>
      </c>
      <c r="J593" s="5" t="s">
        <v>114</v>
      </c>
      <c r="K593" s="5" t="s">
        <v>3414</v>
      </c>
      <c r="L593" s="5" t="s">
        <v>3415</v>
      </c>
      <c r="M593" s="5" t="s">
        <v>8</v>
      </c>
      <c r="N593" s="5" t="s">
        <v>80</v>
      </c>
      <c r="O593" s="5" t="str">
        <f>IF(B593="","",IFERROR(LOOKUP(2,1/('Call Log'!$C$2:$C$5000=B593),'Call Log'!$B$2:$B$5000),""))</f>
        <v/>
      </c>
      <c r="P593" s="5">
        <f>IF(B593="","",COUNTIFS('Call Log'!$C$2:$C$5000,B593,'Call Log'!$A$2:$A$5000,"&gt;="&amp;(TODAY()-WEEKDAY(TODAY(),2)+1)))</f>
        <v>0</v>
      </c>
      <c r="Q593" s="5">
        <f>IF(B593="","",COUNTIF('Call Log'!$C$2:$C$5000,B593))</f>
        <v>0</v>
      </c>
      <c r="R593" s="21" t="str">
        <f>IF(B593="","",IFERROR(IF(MAXIFS('Call Log'!$A$2:$A$5000,'Call Log'!$C$2:$C$5000,B593)=0,"",MAXIFS('Call Log'!$A$2:$A$5000,'Call Log'!$C$2:$C$5000,B593)),""))</f>
        <v/>
      </c>
      <c r="S593" s="5"/>
      <c r="T593" s="21"/>
      <c r="U593" s="21"/>
      <c r="V593" s="5"/>
      <c r="W593" s="20"/>
      <c r="X593" s="5"/>
      <c r="Y593" s="5"/>
      <c r="Z593" s="5" t="s">
        <v>132</v>
      </c>
      <c r="AA593" s="5" t="s">
        <v>3416</v>
      </c>
    </row>
    <row r="594" ht="15.0" customHeight="1">
      <c r="A594" s="5" t="s">
        <v>3417</v>
      </c>
      <c r="B594" s="5" t="s">
        <v>3418</v>
      </c>
      <c r="C594" s="5" t="s">
        <v>3419</v>
      </c>
      <c r="D594" s="5"/>
      <c r="E594" s="5"/>
      <c r="F594" s="20"/>
      <c r="G594" s="20"/>
      <c r="H594" s="5" t="s">
        <v>40</v>
      </c>
      <c r="I594" s="5" t="s">
        <v>113</v>
      </c>
      <c r="J594" s="5" t="s">
        <v>114</v>
      </c>
      <c r="K594" s="5" t="s">
        <v>3420</v>
      </c>
      <c r="L594" s="5"/>
      <c r="M594" s="5" t="s">
        <v>8</v>
      </c>
      <c r="N594" s="5" t="s">
        <v>80</v>
      </c>
      <c r="O594" s="5" t="str">
        <f>IF(B594="","",IFERROR(LOOKUP(2,1/('Call Log'!$C$2:$C$5000=B594),'Call Log'!$B$2:$B$5000),""))</f>
        <v/>
      </c>
      <c r="P594" s="5">
        <f>IF(B594="","",COUNTIFS('Call Log'!$C$2:$C$5000,B594,'Call Log'!$A$2:$A$5000,"&gt;="&amp;(TODAY()-WEEKDAY(TODAY(),2)+1)))</f>
        <v>0</v>
      </c>
      <c r="Q594" s="5">
        <f>IF(B594="","",COUNTIF('Call Log'!$C$2:$C$5000,B594))</f>
        <v>0</v>
      </c>
      <c r="R594" s="21" t="str">
        <f>IF(B594="","",IFERROR(IF(MAXIFS('Call Log'!$A$2:$A$5000,'Call Log'!$C$2:$C$5000,B594)=0,"",MAXIFS('Call Log'!$A$2:$A$5000,'Call Log'!$C$2:$C$5000,B594)),""))</f>
        <v/>
      </c>
      <c r="S594" s="5"/>
      <c r="T594" s="21"/>
      <c r="U594" s="21"/>
      <c r="V594" s="5"/>
      <c r="W594" s="20"/>
      <c r="X594" s="5"/>
      <c r="Y594" s="5"/>
      <c r="Z594" s="5" t="s">
        <v>132</v>
      </c>
      <c r="AA594" s="5" t="s">
        <v>3421</v>
      </c>
    </row>
    <row r="595" ht="15.0" customHeight="1">
      <c r="A595" s="5" t="s">
        <v>3422</v>
      </c>
      <c r="B595" s="5" t="s">
        <v>3423</v>
      </c>
      <c r="C595" s="5" t="s">
        <v>3424</v>
      </c>
      <c r="D595" s="5"/>
      <c r="E595" s="5"/>
      <c r="F595" s="20"/>
      <c r="G595" s="20"/>
      <c r="H595" s="5" t="s">
        <v>40</v>
      </c>
      <c r="I595" s="5" t="s">
        <v>1320</v>
      </c>
      <c r="J595" s="5" t="s">
        <v>114</v>
      </c>
      <c r="K595" s="5" t="s">
        <v>3425</v>
      </c>
      <c r="L595" s="5"/>
      <c r="M595" s="5" t="s">
        <v>8</v>
      </c>
      <c r="N595" s="5" t="s">
        <v>80</v>
      </c>
      <c r="O595" s="5" t="str">
        <f>IF(B595="","",IFERROR(LOOKUP(2,1/('Call Log'!$C$2:$C$5000=B595),'Call Log'!$B$2:$B$5000),""))</f>
        <v/>
      </c>
      <c r="P595" s="5">
        <f>IF(B595="","",COUNTIFS('Call Log'!$C$2:$C$5000,B595,'Call Log'!$A$2:$A$5000,"&gt;="&amp;(TODAY()-WEEKDAY(TODAY(),2)+1)))</f>
        <v>0</v>
      </c>
      <c r="Q595" s="5">
        <f>IF(B595="","",COUNTIF('Call Log'!$C$2:$C$5000,B595))</f>
        <v>0</v>
      </c>
      <c r="R595" s="21" t="str">
        <f>IF(B595="","",IFERROR(IF(MAXIFS('Call Log'!$A$2:$A$5000,'Call Log'!$C$2:$C$5000,B595)=0,"",MAXIFS('Call Log'!$A$2:$A$5000,'Call Log'!$C$2:$C$5000,B595)),""))</f>
        <v/>
      </c>
      <c r="S595" s="5"/>
      <c r="T595" s="21"/>
      <c r="U595" s="21"/>
      <c r="V595" s="5"/>
      <c r="W595" s="20"/>
      <c r="X595" s="5"/>
      <c r="Y595" s="5"/>
      <c r="Z595" s="5" t="s">
        <v>132</v>
      </c>
      <c r="AA595" s="5" t="s">
        <v>3426</v>
      </c>
    </row>
    <row r="596" ht="15.0" customHeight="1">
      <c r="A596" s="5" t="s">
        <v>3427</v>
      </c>
      <c r="B596" s="5" t="s">
        <v>3428</v>
      </c>
      <c r="C596" s="5" t="s">
        <v>3429</v>
      </c>
      <c r="D596" s="5"/>
      <c r="E596" s="5"/>
      <c r="F596" s="20"/>
      <c r="G596" s="20"/>
      <c r="H596" s="5" t="s">
        <v>41</v>
      </c>
      <c r="I596" s="5" t="s">
        <v>1313</v>
      </c>
      <c r="J596" s="5" t="s">
        <v>114</v>
      </c>
      <c r="K596" s="5" t="s">
        <v>3430</v>
      </c>
      <c r="L596" s="5"/>
      <c r="M596" s="5" t="s">
        <v>8</v>
      </c>
      <c r="N596" s="5" t="s">
        <v>80</v>
      </c>
      <c r="O596" s="5" t="str">
        <f>IF(B596="","",IFERROR(LOOKUP(2,1/('Call Log'!$C$2:$C$5000=B596),'Call Log'!$B$2:$B$5000),""))</f>
        <v/>
      </c>
      <c r="P596" s="5">
        <f>IF(B596="","",COUNTIFS('Call Log'!$C$2:$C$5000,B596,'Call Log'!$A$2:$A$5000,"&gt;="&amp;(TODAY()-WEEKDAY(TODAY(),2)+1)))</f>
        <v>0</v>
      </c>
      <c r="Q596" s="5">
        <f>IF(B596="","",COUNTIF('Call Log'!$C$2:$C$5000,B596))</f>
        <v>0</v>
      </c>
      <c r="R596" s="21" t="str">
        <f>IF(B596="","",IFERROR(IF(MAXIFS('Call Log'!$A$2:$A$5000,'Call Log'!$C$2:$C$5000,B596)=0,"",MAXIFS('Call Log'!$A$2:$A$5000,'Call Log'!$C$2:$C$5000,B596)),""))</f>
        <v/>
      </c>
      <c r="S596" s="5"/>
      <c r="T596" s="21"/>
      <c r="U596" s="21"/>
      <c r="V596" s="5"/>
      <c r="W596" s="20"/>
      <c r="X596" s="5"/>
      <c r="Y596" s="5"/>
      <c r="Z596" s="5" t="s">
        <v>132</v>
      </c>
      <c r="AA596" s="5" t="s">
        <v>3431</v>
      </c>
    </row>
    <row r="597" ht="15.0" customHeight="1">
      <c r="A597" s="5" t="s">
        <v>3432</v>
      </c>
      <c r="B597" s="5" t="s">
        <v>3433</v>
      </c>
      <c r="C597" s="5" t="s">
        <v>3114</v>
      </c>
      <c r="D597" s="5"/>
      <c r="E597" s="5"/>
      <c r="F597" s="20"/>
      <c r="G597" s="20"/>
      <c r="H597" s="5" t="s">
        <v>41</v>
      </c>
      <c r="I597" s="5" t="s">
        <v>594</v>
      </c>
      <c r="J597" s="5" t="s">
        <v>114</v>
      </c>
      <c r="K597" s="5" t="s">
        <v>3434</v>
      </c>
      <c r="L597" s="5"/>
      <c r="M597" s="5" t="s">
        <v>8</v>
      </c>
      <c r="N597" s="5" t="s">
        <v>80</v>
      </c>
      <c r="O597" s="5" t="str">
        <f>IF(B597="","",IFERROR(LOOKUP(2,1/('Call Log'!$C$2:$C$5000=B597),'Call Log'!$B$2:$B$5000),""))</f>
        <v/>
      </c>
      <c r="P597" s="5">
        <f>IF(B597="","",COUNTIFS('Call Log'!$C$2:$C$5000,B597,'Call Log'!$A$2:$A$5000,"&gt;="&amp;(TODAY()-WEEKDAY(TODAY(),2)+1)))</f>
        <v>0</v>
      </c>
      <c r="Q597" s="5">
        <f>IF(B597="","",COUNTIF('Call Log'!$C$2:$C$5000,B597))</f>
        <v>0</v>
      </c>
      <c r="R597" s="21" t="str">
        <f>IF(B597="","",IFERROR(IF(MAXIFS('Call Log'!$A$2:$A$5000,'Call Log'!$C$2:$C$5000,B597)=0,"",MAXIFS('Call Log'!$A$2:$A$5000,'Call Log'!$C$2:$C$5000,B597)),""))</f>
        <v/>
      </c>
      <c r="S597" s="5"/>
      <c r="T597" s="21"/>
      <c r="U597" s="21"/>
      <c r="V597" s="5"/>
      <c r="W597" s="20"/>
      <c r="X597" s="5"/>
      <c r="Y597" s="5"/>
      <c r="Z597" s="5" t="s">
        <v>132</v>
      </c>
      <c r="AA597" s="5" t="s">
        <v>3116</v>
      </c>
    </row>
    <row r="598" ht="15.0" customHeight="1">
      <c r="A598" s="5" t="s">
        <v>3435</v>
      </c>
      <c r="B598" s="5" t="s">
        <v>3436</v>
      </c>
      <c r="C598" s="5" t="s">
        <v>3437</v>
      </c>
      <c r="D598" s="5"/>
      <c r="E598" s="5"/>
      <c r="F598" s="20"/>
      <c r="G598" s="20"/>
      <c r="H598" s="5" t="s">
        <v>41</v>
      </c>
      <c r="I598" s="5" t="s">
        <v>357</v>
      </c>
      <c r="J598" s="5" t="s">
        <v>114</v>
      </c>
      <c r="K598" s="5" t="s">
        <v>3438</v>
      </c>
      <c r="L598" s="5"/>
      <c r="M598" s="5" t="s">
        <v>8</v>
      </c>
      <c r="N598" s="5" t="s">
        <v>80</v>
      </c>
      <c r="O598" s="5" t="str">
        <f>IF(B598="","",IFERROR(LOOKUP(2,1/('Call Log'!$C$2:$C$5000=B598),'Call Log'!$B$2:$B$5000),""))</f>
        <v/>
      </c>
      <c r="P598" s="5">
        <f>IF(B598="","",COUNTIFS('Call Log'!$C$2:$C$5000,B598,'Call Log'!$A$2:$A$5000,"&gt;="&amp;(TODAY()-WEEKDAY(TODAY(),2)+1)))</f>
        <v>0</v>
      </c>
      <c r="Q598" s="5">
        <f>IF(B598="","",COUNTIF('Call Log'!$C$2:$C$5000,B598))</f>
        <v>0</v>
      </c>
      <c r="R598" s="21" t="str">
        <f>IF(B598="","",IFERROR(IF(MAXIFS('Call Log'!$A$2:$A$5000,'Call Log'!$C$2:$C$5000,B598)=0,"",MAXIFS('Call Log'!$A$2:$A$5000,'Call Log'!$C$2:$C$5000,B598)),""))</f>
        <v/>
      </c>
      <c r="S598" s="5"/>
      <c r="T598" s="21"/>
      <c r="U598" s="21"/>
      <c r="V598" s="5"/>
      <c r="W598" s="20"/>
      <c r="X598" s="5"/>
      <c r="Y598" s="5"/>
      <c r="Z598" s="5" t="s">
        <v>178</v>
      </c>
      <c r="AA598" s="5" t="s">
        <v>3439</v>
      </c>
    </row>
    <row r="599" ht="15.0" customHeight="1">
      <c r="A599" s="5" t="s">
        <v>3440</v>
      </c>
      <c r="B599" s="5" t="s">
        <v>3441</v>
      </c>
      <c r="C599" s="5" t="s">
        <v>3442</v>
      </c>
      <c r="D599" s="5"/>
      <c r="E599" s="5"/>
      <c r="F599" s="20"/>
      <c r="G599" s="20"/>
      <c r="H599" s="5" t="s">
        <v>40</v>
      </c>
      <c r="I599" s="5" t="s">
        <v>756</v>
      </c>
      <c r="J599" s="5" t="s">
        <v>114</v>
      </c>
      <c r="K599" s="5" t="s">
        <v>3443</v>
      </c>
      <c r="L599" s="5"/>
      <c r="M599" s="5" t="s">
        <v>8</v>
      </c>
      <c r="N599" s="5" t="s">
        <v>80</v>
      </c>
      <c r="O599" s="5" t="str">
        <f>IF(B599="","",IFERROR(LOOKUP(2,1/('Call Log'!$C$2:$C$5000=B599),'Call Log'!$B$2:$B$5000),""))</f>
        <v/>
      </c>
      <c r="P599" s="5">
        <f>IF(B599="","",COUNTIFS('Call Log'!$C$2:$C$5000,B599,'Call Log'!$A$2:$A$5000,"&gt;="&amp;(TODAY()-WEEKDAY(TODAY(),2)+1)))</f>
        <v>0</v>
      </c>
      <c r="Q599" s="5">
        <f>IF(B599="","",COUNTIF('Call Log'!$C$2:$C$5000,B599))</f>
        <v>0</v>
      </c>
      <c r="R599" s="21" t="str">
        <f>IF(B599="","",IFERROR(IF(MAXIFS('Call Log'!$A$2:$A$5000,'Call Log'!$C$2:$C$5000,B599)=0,"",MAXIFS('Call Log'!$A$2:$A$5000,'Call Log'!$C$2:$C$5000,B599)),""))</f>
        <v/>
      </c>
      <c r="S599" s="5"/>
      <c r="T599" s="21"/>
      <c r="U599" s="21"/>
      <c r="V599" s="5"/>
      <c r="W599" s="20"/>
      <c r="X599" s="5"/>
      <c r="Y599" s="5"/>
      <c r="Z599" s="5" t="s">
        <v>132</v>
      </c>
      <c r="AA599" s="5" t="s">
        <v>3444</v>
      </c>
    </row>
    <row r="600" ht="15.0" customHeight="1">
      <c r="A600" s="5" t="s">
        <v>3445</v>
      </c>
      <c r="B600" s="5" t="s">
        <v>3446</v>
      </c>
      <c r="C600" s="5" t="s">
        <v>3447</v>
      </c>
      <c r="D600" s="5"/>
      <c r="E600" s="5"/>
      <c r="F600" s="20"/>
      <c r="G600" s="20"/>
      <c r="H600" s="5" t="s">
        <v>41</v>
      </c>
      <c r="I600" s="5" t="s">
        <v>357</v>
      </c>
      <c r="J600" s="5" t="s">
        <v>114</v>
      </c>
      <c r="K600" s="5" t="s">
        <v>3448</v>
      </c>
      <c r="L600" s="5"/>
      <c r="M600" s="5" t="s">
        <v>8</v>
      </c>
      <c r="N600" s="5" t="s">
        <v>80</v>
      </c>
      <c r="O600" s="5" t="str">
        <f>IF(B600="","",IFERROR(LOOKUP(2,1/('Call Log'!$C$2:$C$5000=B600),'Call Log'!$B$2:$B$5000),""))</f>
        <v/>
      </c>
      <c r="P600" s="5">
        <f>IF(B600="","",COUNTIFS('Call Log'!$C$2:$C$5000,B600,'Call Log'!$A$2:$A$5000,"&gt;="&amp;(TODAY()-WEEKDAY(TODAY(),2)+1)))</f>
        <v>0</v>
      </c>
      <c r="Q600" s="5">
        <f>IF(B600="","",COUNTIF('Call Log'!$C$2:$C$5000,B600))</f>
        <v>0</v>
      </c>
      <c r="R600" s="21" t="str">
        <f>IF(B600="","",IFERROR(IF(MAXIFS('Call Log'!$A$2:$A$5000,'Call Log'!$C$2:$C$5000,B600)=0,"",MAXIFS('Call Log'!$A$2:$A$5000,'Call Log'!$C$2:$C$5000,B600)),""))</f>
        <v/>
      </c>
      <c r="S600" s="5"/>
      <c r="T600" s="21"/>
      <c r="U600" s="21"/>
      <c r="V600" s="5"/>
      <c r="W600" s="20"/>
      <c r="X600" s="5"/>
      <c r="Y600" s="5"/>
      <c r="Z600" s="5" t="s">
        <v>132</v>
      </c>
      <c r="AA600" s="5" t="s">
        <v>3449</v>
      </c>
    </row>
    <row r="601" ht="15.0" customHeight="1">
      <c r="A601" s="5" t="s">
        <v>3450</v>
      </c>
      <c r="B601" s="5" t="s">
        <v>3451</v>
      </c>
      <c r="C601" s="5" t="s">
        <v>3452</v>
      </c>
      <c r="D601" s="5"/>
      <c r="E601" s="5"/>
      <c r="F601" s="20"/>
      <c r="G601" s="20"/>
      <c r="H601" s="5" t="s">
        <v>40</v>
      </c>
      <c r="I601" s="5" t="s">
        <v>113</v>
      </c>
      <c r="J601" s="5" t="s">
        <v>114</v>
      </c>
      <c r="K601" s="5"/>
      <c r="L601" s="5" t="s">
        <v>3453</v>
      </c>
      <c r="M601" s="5" t="s">
        <v>8</v>
      </c>
      <c r="N601" s="5" t="s">
        <v>80</v>
      </c>
      <c r="O601" s="5" t="str">
        <f>IF(B601="","",IFERROR(LOOKUP(2,1/('Call Log'!$C$2:$C$5000=B601),'Call Log'!$B$2:$B$5000),""))</f>
        <v/>
      </c>
      <c r="P601" s="5">
        <f>IF(B601="","",COUNTIFS('Call Log'!$C$2:$C$5000,B601,'Call Log'!$A$2:$A$5000,"&gt;="&amp;(TODAY()-WEEKDAY(TODAY(),2)+1)))</f>
        <v>0</v>
      </c>
      <c r="Q601" s="5">
        <f>IF(B601="","",COUNTIF('Call Log'!$C$2:$C$5000,B601))</f>
        <v>0</v>
      </c>
      <c r="R601" s="21" t="str">
        <f>IF(B601="","",IFERROR(IF(MAXIFS('Call Log'!$A$2:$A$5000,'Call Log'!$C$2:$C$5000,B601)=0,"",MAXIFS('Call Log'!$A$2:$A$5000,'Call Log'!$C$2:$C$5000,B601)),""))</f>
        <v/>
      </c>
      <c r="S601" s="5"/>
      <c r="T601" s="21"/>
      <c r="U601" s="21"/>
      <c r="V601" s="5"/>
      <c r="W601" s="20"/>
      <c r="X601" s="5"/>
      <c r="Y601" s="5"/>
      <c r="Z601" s="5" t="s">
        <v>132</v>
      </c>
      <c r="AA601" s="5" t="s">
        <v>3454</v>
      </c>
    </row>
    <row r="602" ht="15.0" customHeight="1">
      <c r="A602" s="5" t="s">
        <v>3455</v>
      </c>
      <c r="B602" s="5" t="s">
        <v>3456</v>
      </c>
      <c r="C602" s="5" t="s">
        <v>3390</v>
      </c>
      <c r="D602" s="5"/>
      <c r="E602" s="5"/>
      <c r="F602" s="20"/>
      <c r="G602" s="20"/>
      <c r="H602" s="5" t="s">
        <v>41</v>
      </c>
      <c r="I602" s="5" t="s">
        <v>865</v>
      </c>
      <c r="J602" s="5" t="s">
        <v>114</v>
      </c>
      <c r="K602" s="5" t="s">
        <v>3457</v>
      </c>
      <c r="L602" s="5"/>
      <c r="M602" s="5" t="s">
        <v>8</v>
      </c>
      <c r="N602" s="5" t="s">
        <v>80</v>
      </c>
      <c r="O602" s="5" t="str">
        <f>IF(B602="","",IFERROR(LOOKUP(2,1/('Call Log'!$C$2:$C$5000=B602),'Call Log'!$B$2:$B$5000),""))</f>
        <v/>
      </c>
      <c r="P602" s="5">
        <f>IF(B602="","",COUNTIFS('Call Log'!$C$2:$C$5000,B602,'Call Log'!$A$2:$A$5000,"&gt;="&amp;(TODAY()-WEEKDAY(TODAY(),2)+1)))</f>
        <v>0</v>
      </c>
      <c r="Q602" s="5">
        <f>IF(B602="","",COUNTIF('Call Log'!$C$2:$C$5000,B602))</f>
        <v>0</v>
      </c>
      <c r="R602" s="21" t="str">
        <f>IF(B602="","",IFERROR(IF(MAXIFS('Call Log'!$A$2:$A$5000,'Call Log'!$C$2:$C$5000,B602)=0,"",MAXIFS('Call Log'!$A$2:$A$5000,'Call Log'!$C$2:$C$5000,B602)),""))</f>
        <v/>
      </c>
      <c r="S602" s="5"/>
      <c r="T602" s="21"/>
      <c r="U602" s="21"/>
      <c r="V602" s="5"/>
      <c r="W602" s="20"/>
      <c r="X602" s="5"/>
      <c r="Y602" s="5"/>
      <c r="Z602" s="5" t="s">
        <v>132</v>
      </c>
      <c r="AA602" s="5" t="s">
        <v>3458</v>
      </c>
    </row>
    <row r="603" ht="15.0" customHeight="1">
      <c r="A603" s="5" t="s">
        <v>3459</v>
      </c>
      <c r="B603" s="5" t="s">
        <v>3460</v>
      </c>
      <c r="C603" s="5" t="s">
        <v>3461</v>
      </c>
      <c r="D603" s="5"/>
      <c r="E603" s="5"/>
      <c r="F603" s="20"/>
      <c r="G603" s="20"/>
      <c r="H603" s="5" t="s">
        <v>43</v>
      </c>
      <c r="I603" s="5" t="s">
        <v>231</v>
      </c>
      <c r="J603" s="5" t="s">
        <v>114</v>
      </c>
      <c r="K603" s="5" t="s">
        <v>3462</v>
      </c>
      <c r="L603" s="5"/>
      <c r="M603" s="5" t="s">
        <v>8</v>
      </c>
      <c r="N603" s="5" t="s">
        <v>80</v>
      </c>
      <c r="O603" s="5" t="str">
        <f>IF(B603="","",IFERROR(LOOKUP(2,1/('Call Log'!$C$2:$C$5000=B603),'Call Log'!$B$2:$B$5000),""))</f>
        <v/>
      </c>
      <c r="P603" s="5">
        <f>IF(B603="","",COUNTIFS('Call Log'!$C$2:$C$5000,B603,'Call Log'!$A$2:$A$5000,"&gt;="&amp;(TODAY()-WEEKDAY(TODAY(),2)+1)))</f>
        <v>0</v>
      </c>
      <c r="Q603" s="5">
        <f>IF(B603="","",COUNTIF('Call Log'!$C$2:$C$5000,B603))</f>
        <v>0</v>
      </c>
      <c r="R603" s="21" t="str">
        <f>IF(B603="","",IFERROR(IF(MAXIFS('Call Log'!$A$2:$A$5000,'Call Log'!$C$2:$C$5000,B603)=0,"",MAXIFS('Call Log'!$A$2:$A$5000,'Call Log'!$C$2:$C$5000,B603)),""))</f>
        <v/>
      </c>
      <c r="S603" s="5"/>
      <c r="T603" s="21"/>
      <c r="U603" s="21"/>
      <c r="V603" s="5"/>
      <c r="W603" s="20"/>
      <c r="X603" s="5"/>
      <c r="Y603" s="5"/>
      <c r="Z603" s="5" t="s">
        <v>132</v>
      </c>
      <c r="AA603" s="5" t="s">
        <v>3463</v>
      </c>
    </row>
    <row r="604" ht="15.0" customHeight="1">
      <c r="A604" s="5" t="s">
        <v>3464</v>
      </c>
      <c r="B604" s="5" t="s">
        <v>3465</v>
      </c>
      <c r="C604" s="5" t="s">
        <v>3466</v>
      </c>
      <c r="D604" s="5"/>
      <c r="E604" s="5"/>
      <c r="F604" s="20"/>
      <c r="G604" s="20"/>
      <c r="H604" s="5" t="s">
        <v>41</v>
      </c>
      <c r="I604" s="5" t="s">
        <v>721</v>
      </c>
      <c r="J604" s="5" t="s">
        <v>114</v>
      </c>
      <c r="K604" s="5" t="s">
        <v>3467</v>
      </c>
      <c r="L604" s="5"/>
      <c r="M604" s="5" t="s">
        <v>8</v>
      </c>
      <c r="N604" s="5" t="s">
        <v>80</v>
      </c>
      <c r="O604" s="5" t="str">
        <f>IF(B604="","",IFERROR(LOOKUP(2,1/('Call Log'!$C$2:$C$5000=B604),'Call Log'!$B$2:$B$5000),""))</f>
        <v/>
      </c>
      <c r="P604" s="5">
        <f>IF(B604="","",COUNTIFS('Call Log'!$C$2:$C$5000,B604,'Call Log'!$A$2:$A$5000,"&gt;="&amp;(TODAY()-WEEKDAY(TODAY(),2)+1)))</f>
        <v>0</v>
      </c>
      <c r="Q604" s="5">
        <f>IF(B604="","",COUNTIF('Call Log'!$C$2:$C$5000,B604))</f>
        <v>0</v>
      </c>
      <c r="R604" s="21" t="str">
        <f>IF(B604="","",IFERROR(IF(MAXIFS('Call Log'!$A$2:$A$5000,'Call Log'!$C$2:$C$5000,B604)=0,"",MAXIFS('Call Log'!$A$2:$A$5000,'Call Log'!$C$2:$C$5000,B604)),""))</f>
        <v/>
      </c>
      <c r="S604" s="5"/>
      <c r="T604" s="21"/>
      <c r="U604" s="21"/>
      <c r="V604" s="5"/>
      <c r="W604" s="20"/>
      <c r="X604" s="5"/>
      <c r="Y604" s="5"/>
      <c r="Z604" s="5" t="s">
        <v>132</v>
      </c>
      <c r="AA604" s="5" t="s">
        <v>3468</v>
      </c>
    </row>
    <row r="605" ht="15.0" customHeight="1">
      <c r="A605" s="5" t="s">
        <v>3469</v>
      </c>
      <c r="B605" s="5" t="s">
        <v>3470</v>
      </c>
      <c r="C605" s="5" t="s">
        <v>3471</v>
      </c>
      <c r="D605" s="5"/>
      <c r="E605" s="5"/>
      <c r="F605" s="20"/>
      <c r="G605" s="20"/>
      <c r="H605" s="5" t="s">
        <v>40</v>
      </c>
      <c r="I605" s="5" t="s">
        <v>1093</v>
      </c>
      <c r="J605" s="5" t="s">
        <v>114</v>
      </c>
      <c r="K605" s="5" t="s">
        <v>3472</v>
      </c>
      <c r="L605" s="5"/>
      <c r="M605" s="5" t="s">
        <v>8</v>
      </c>
      <c r="N605" s="5" t="s">
        <v>80</v>
      </c>
      <c r="O605" s="5" t="str">
        <f>IF(B605="","",IFERROR(LOOKUP(2,1/('Call Log'!$C$2:$C$5000=B605),'Call Log'!$B$2:$B$5000),""))</f>
        <v/>
      </c>
      <c r="P605" s="5">
        <f>IF(B605="","",COUNTIFS('Call Log'!$C$2:$C$5000,B605,'Call Log'!$A$2:$A$5000,"&gt;="&amp;(TODAY()-WEEKDAY(TODAY(),2)+1)))</f>
        <v>0</v>
      </c>
      <c r="Q605" s="5">
        <f>IF(B605="","",COUNTIF('Call Log'!$C$2:$C$5000,B605))</f>
        <v>0</v>
      </c>
      <c r="R605" s="21" t="str">
        <f>IF(B605="","",IFERROR(IF(MAXIFS('Call Log'!$A$2:$A$5000,'Call Log'!$C$2:$C$5000,B605)=0,"",MAXIFS('Call Log'!$A$2:$A$5000,'Call Log'!$C$2:$C$5000,B605)),""))</f>
        <v/>
      </c>
      <c r="S605" s="5"/>
      <c r="T605" s="21"/>
      <c r="U605" s="21"/>
      <c r="V605" s="5"/>
      <c r="W605" s="20"/>
      <c r="X605" s="5"/>
      <c r="Y605" s="5"/>
      <c r="Z605" s="5" t="s">
        <v>132</v>
      </c>
      <c r="AA605" s="5" t="s">
        <v>3473</v>
      </c>
    </row>
    <row r="606" ht="15.0" customHeight="1">
      <c r="A606" s="5" t="s">
        <v>3474</v>
      </c>
      <c r="B606" s="5" t="s">
        <v>3475</v>
      </c>
      <c r="C606" s="5" t="s">
        <v>1781</v>
      </c>
      <c r="D606" s="5"/>
      <c r="E606" s="5">
        <v>4.0</v>
      </c>
      <c r="F606" s="20"/>
      <c r="G606" s="20"/>
      <c r="H606" s="5" t="s">
        <v>41</v>
      </c>
      <c r="I606" s="5" t="s">
        <v>184</v>
      </c>
      <c r="J606" s="5" t="s">
        <v>114</v>
      </c>
      <c r="K606" s="5" t="s">
        <v>3476</v>
      </c>
      <c r="L606" s="5" t="s">
        <v>1719</v>
      </c>
      <c r="M606" s="5" t="s">
        <v>8</v>
      </c>
      <c r="N606" s="5" t="s">
        <v>80</v>
      </c>
      <c r="O606" s="5" t="str">
        <f>IF(B606="","",IFERROR(LOOKUP(2,1/('Call Log'!$C$2:$C$5000=B606),'Call Log'!$B$2:$B$5000),""))</f>
        <v/>
      </c>
      <c r="P606" s="5">
        <f>IF(B606="","",COUNTIFS('Call Log'!$C$2:$C$5000,B606,'Call Log'!$A$2:$A$5000,"&gt;="&amp;(TODAY()-WEEKDAY(TODAY(),2)+1)))</f>
        <v>0</v>
      </c>
      <c r="Q606" s="5">
        <f>IF(B606="","",COUNTIF('Call Log'!$C$2:$C$5000,B606))</f>
        <v>0</v>
      </c>
      <c r="R606" s="21" t="str">
        <f>IF(B606="","",IFERROR(IF(MAXIFS('Call Log'!$A$2:$A$5000,'Call Log'!$C$2:$C$5000,B606)=0,"",MAXIFS('Call Log'!$A$2:$A$5000,'Call Log'!$C$2:$C$5000,B606)),""))</f>
        <v/>
      </c>
      <c r="S606" s="5"/>
      <c r="T606" s="21"/>
      <c r="U606" s="21"/>
      <c r="V606" s="5"/>
      <c r="W606" s="20"/>
      <c r="X606" s="5"/>
      <c r="Y606" s="5"/>
      <c r="Z606" s="5"/>
      <c r="AA606" s="5" t="s">
        <v>724</v>
      </c>
    </row>
    <row r="607" ht="15.0" customHeight="1">
      <c r="A607" s="5" t="s">
        <v>3477</v>
      </c>
      <c r="B607" s="5" t="s">
        <v>3478</v>
      </c>
      <c r="C607" s="5" t="s">
        <v>3479</v>
      </c>
      <c r="D607" s="5"/>
      <c r="E607" s="5"/>
      <c r="F607" s="20"/>
      <c r="G607" s="20"/>
      <c r="H607" s="5" t="s">
        <v>40</v>
      </c>
      <c r="I607" s="5" t="s">
        <v>198</v>
      </c>
      <c r="J607" s="5" t="s">
        <v>114</v>
      </c>
      <c r="K607" s="5" t="s">
        <v>3480</v>
      </c>
      <c r="L607" s="5"/>
      <c r="M607" s="5" t="s">
        <v>8</v>
      </c>
      <c r="N607" s="5" t="s">
        <v>80</v>
      </c>
      <c r="O607" s="5" t="str">
        <f>IF(B607="","",IFERROR(LOOKUP(2,1/('Call Log'!$C$2:$C$5000=B607),'Call Log'!$B$2:$B$5000),""))</f>
        <v/>
      </c>
      <c r="P607" s="5">
        <f>IF(B607="","",COUNTIFS('Call Log'!$C$2:$C$5000,B607,'Call Log'!$A$2:$A$5000,"&gt;="&amp;(TODAY()-WEEKDAY(TODAY(),2)+1)))</f>
        <v>0</v>
      </c>
      <c r="Q607" s="5">
        <f>IF(B607="","",COUNTIF('Call Log'!$C$2:$C$5000,B607))</f>
        <v>0</v>
      </c>
      <c r="R607" s="21" t="str">
        <f>IF(B607="","",IFERROR(IF(MAXIFS('Call Log'!$A$2:$A$5000,'Call Log'!$C$2:$C$5000,B607)=0,"",MAXIFS('Call Log'!$A$2:$A$5000,'Call Log'!$C$2:$C$5000,B607)),""))</f>
        <v/>
      </c>
      <c r="S607" s="5"/>
      <c r="T607" s="21"/>
      <c r="U607" s="21"/>
      <c r="V607" s="5"/>
      <c r="W607" s="20"/>
      <c r="X607" s="5"/>
      <c r="Y607" s="5"/>
      <c r="Z607" s="5"/>
      <c r="AA607" s="5" t="s">
        <v>3481</v>
      </c>
    </row>
    <row r="608" ht="15.0" customHeight="1">
      <c r="A608" s="5" t="s">
        <v>3482</v>
      </c>
      <c r="B608" s="5" t="s">
        <v>3483</v>
      </c>
      <c r="C608" s="5" t="s">
        <v>3484</v>
      </c>
      <c r="D608" s="5"/>
      <c r="E608" s="5"/>
      <c r="F608" s="20"/>
      <c r="G608" s="20"/>
      <c r="H608" s="5" t="s">
        <v>41</v>
      </c>
      <c r="I608" s="5" t="s">
        <v>113</v>
      </c>
      <c r="J608" s="5" t="s">
        <v>114</v>
      </c>
      <c r="K608" s="5" t="s">
        <v>3485</v>
      </c>
      <c r="L608" s="5"/>
      <c r="M608" s="5" t="s">
        <v>8</v>
      </c>
      <c r="N608" s="5" t="s">
        <v>80</v>
      </c>
      <c r="O608" s="5" t="str">
        <f>IF(B608="","",IFERROR(LOOKUP(2,1/('Call Log'!$C$2:$C$5000=B608),'Call Log'!$B$2:$B$5000),""))</f>
        <v/>
      </c>
      <c r="P608" s="5">
        <f>IF(B608="","",COUNTIFS('Call Log'!$C$2:$C$5000,B608,'Call Log'!$A$2:$A$5000,"&gt;="&amp;(TODAY()-WEEKDAY(TODAY(),2)+1)))</f>
        <v>0</v>
      </c>
      <c r="Q608" s="5">
        <f>IF(B608="","",COUNTIF('Call Log'!$C$2:$C$5000,B608))</f>
        <v>0</v>
      </c>
      <c r="R608" s="21" t="str">
        <f>IF(B608="","",IFERROR(IF(MAXIFS('Call Log'!$A$2:$A$5000,'Call Log'!$C$2:$C$5000,B608)=0,"",MAXIFS('Call Log'!$A$2:$A$5000,'Call Log'!$C$2:$C$5000,B608)),""))</f>
        <v/>
      </c>
      <c r="S608" s="5"/>
      <c r="T608" s="21"/>
      <c r="U608" s="21"/>
      <c r="V608" s="5"/>
      <c r="W608" s="20"/>
      <c r="X608" s="5"/>
      <c r="Y608" s="5"/>
      <c r="Z608" s="5" t="s">
        <v>132</v>
      </c>
      <c r="AA608" s="5" t="s">
        <v>3486</v>
      </c>
    </row>
    <row r="609" ht="15.0" customHeight="1">
      <c r="A609" s="5" t="s">
        <v>3487</v>
      </c>
      <c r="B609" s="5" t="s">
        <v>3488</v>
      </c>
      <c r="C609" s="5" t="s">
        <v>3489</v>
      </c>
      <c r="D609" s="5"/>
      <c r="E609" s="5"/>
      <c r="F609" s="20"/>
      <c r="G609" s="20"/>
      <c r="H609" s="5" t="s">
        <v>41</v>
      </c>
      <c r="I609" s="5" t="s">
        <v>1093</v>
      </c>
      <c r="J609" s="5" t="s">
        <v>114</v>
      </c>
      <c r="K609" s="5" t="s">
        <v>3490</v>
      </c>
      <c r="L609" s="5" t="s">
        <v>3491</v>
      </c>
      <c r="M609" s="5" t="s">
        <v>8</v>
      </c>
      <c r="N609" s="5" t="s">
        <v>80</v>
      </c>
      <c r="O609" s="5" t="str">
        <f>IF(B609="","",IFERROR(LOOKUP(2,1/('Call Log'!$C$2:$C$5000=B609),'Call Log'!$B$2:$B$5000),""))</f>
        <v/>
      </c>
      <c r="P609" s="5">
        <f>IF(B609="","",COUNTIFS('Call Log'!$C$2:$C$5000,B609,'Call Log'!$A$2:$A$5000,"&gt;="&amp;(TODAY()-WEEKDAY(TODAY(),2)+1)))</f>
        <v>0</v>
      </c>
      <c r="Q609" s="5">
        <f>IF(B609="","",COUNTIF('Call Log'!$C$2:$C$5000,B609))</f>
        <v>0</v>
      </c>
      <c r="R609" s="21" t="str">
        <f>IF(B609="","",IFERROR(IF(MAXIFS('Call Log'!$A$2:$A$5000,'Call Log'!$C$2:$C$5000,B609)=0,"",MAXIFS('Call Log'!$A$2:$A$5000,'Call Log'!$C$2:$C$5000,B609)),""))</f>
        <v/>
      </c>
      <c r="S609" s="5"/>
      <c r="T609" s="21"/>
      <c r="U609" s="21"/>
      <c r="V609" s="5"/>
      <c r="W609" s="20"/>
      <c r="X609" s="5"/>
      <c r="Y609" s="5"/>
      <c r="Z609" s="5" t="s">
        <v>132</v>
      </c>
      <c r="AA609" s="5" t="s">
        <v>3492</v>
      </c>
    </row>
    <row r="610" ht="15.0" customHeight="1">
      <c r="A610" s="5" t="s">
        <v>3493</v>
      </c>
      <c r="B610" s="5" t="s">
        <v>3494</v>
      </c>
      <c r="C610" s="5" t="s">
        <v>3495</v>
      </c>
      <c r="D610" s="5"/>
      <c r="E610" s="5"/>
      <c r="F610" s="20"/>
      <c r="G610" s="20"/>
      <c r="H610" s="5" t="s">
        <v>41</v>
      </c>
      <c r="I610" s="5" t="s">
        <v>198</v>
      </c>
      <c r="J610" s="5" t="s">
        <v>114</v>
      </c>
      <c r="K610" s="5" t="s">
        <v>3496</v>
      </c>
      <c r="L610" s="5"/>
      <c r="M610" s="5" t="s">
        <v>8</v>
      </c>
      <c r="N610" s="5" t="s">
        <v>80</v>
      </c>
      <c r="O610" s="5" t="str">
        <f>IF(B610="","",IFERROR(LOOKUP(2,1/('Call Log'!$C$2:$C$5000=B610),'Call Log'!$B$2:$B$5000),""))</f>
        <v/>
      </c>
      <c r="P610" s="5">
        <f>IF(B610="","",COUNTIFS('Call Log'!$C$2:$C$5000,B610,'Call Log'!$A$2:$A$5000,"&gt;="&amp;(TODAY()-WEEKDAY(TODAY(),2)+1)))</f>
        <v>0</v>
      </c>
      <c r="Q610" s="5">
        <f>IF(B610="","",COUNTIF('Call Log'!$C$2:$C$5000,B610))</f>
        <v>0</v>
      </c>
      <c r="R610" s="21" t="str">
        <f>IF(B610="","",IFERROR(IF(MAXIFS('Call Log'!$A$2:$A$5000,'Call Log'!$C$2:$C$5000,B610)=0,"",MAXIFS('Call Log'!$A$2:$A$5000,'Call Log'!$C$2:$C$5000,B610)),""))</f>
        <v/>
      </c>
      <c r="S610" s="5"/>
      <c r="T610" s="21"/>
      <c r="U610" s="21"/>
      <c r="V610" s="5"/>
      <c r="W610" s="20"/>
      <c r="X610" s="5"/>
      <c r="Y610" s="5"/>
      <c r="Z610" s="5" t="s">
        <v>132</v>
      </c>
      <c r="AA610" s="5" t="s">
        <v>3497</v>
      </c>
    </row>
    <row r="611" ht="15.0" customHeight="1">
      <c r="A611" s="5" t="s">
        <v>3498</v>
      </c>
      <c r="B611" s="5" t="s">
        <v>3499</v>
      </c>
      <c r="C611" s="5" t="s">
        <v>3500</v>
      </c>
      <c r="D611" s="5"/>
      <c r="E611" s="5"/>
      <c r="F611" s="20"/>
      <c r="G611" s="20"/>
      <c r="H611" s="5" t="s">
        <v>40</v>
      </c>
      <c r="I611" s="5" t="s">
        <v>1093</v>
      </c>
      <c r="J611" s="5" t="s">
        <v>114</v>
      </c>
      <c r="K611" s="5"/>
      <c r="L611" s="5" t="s">
        <v>3501</v>
      </c>
      <c r="M611" s="5" t="s">
        <v>8</v>
      </c>
      <c r="N611" s="5" t="s">
        <v>80</v>
      </c>
      <c r="O611" s="5" t="str">
        <f>IF(B611="","",IFERROR(LOOKUP(2,1/('Call Log'!$C$2:$C$5000=B611),'Call Log'!$B$2:$B$5000),""))</f>
        <v/>
      </c>
      <c r="P611" s="5">
        <f>IF(B611="","",COUNTIFS('Call Log'!$C$2:$C$5000,B611,'Call Log'!$A$2:$A$5000,"&gt;="&amp;(TODAY()-WEEKDAY(TODAY(),2)+1)))</f>
        <v>0</v>
      </c>
      <c r="Q611" s="5">
        <f>IF(B611="","",COUNTIF('Call Log'!$C$2:$C$5000,B611))</f>
        <v>0</v>
      </c>
      <c r="R611" s="21" t="str">
        <f>IF(B611="","",IFERROR(IF(MAXIFS('Call Log'!$A$2:$A$5000,'Call Log'!$C$2:$C$5000,B611)=0,"",MAXIFS('Call Log'!$A$2:$A$5000,'Call Log'!$C$2:$C$5000,B611)),""))</f>
        <v/>
      </c>
      <c r="S611" s="5"/>
      <c r="T611" s="21"/>
      <c r="U611" s="21"/>
      <c r="V611" s="5"/>
      <c r="W611" s="20"/>
      <c r="X611" s="5"/>
      <c r="Y611" s="5"/>
      <c r="Z611" s="5" t="s">
        <v>132</v>
      </c>
      <c r="AA611" s="5" t="s">
        <v>3502</v>
      </c>
    </row>
    <row r="612" ht="15.0" customHeight="1">
      <c r="A612" s="5" t="s">
        <v>3503</v>
      </c>
      <c r="B612" s="5" t="s">
        <v>3504</v>
      </c>
      <c r="C612" s="5" t="s">
        <v>3505</v>
      </c>
      <c r="D612" s="5"/>
      <c r="E612" s="5"/>
      <c r="F612" s="20"/>
      <c r="G612" s="20"/>
      <c r="H612" s="5" t="s">
        <v>40</v>
      </c>
      <c r="I612" s="5" t="s">
        <v>857</v>
      </c>
      <c r="J612" s="5" t="s">
        <v>114</v>
      </c>
      <c r="K612" s="5" t="s">
        <v>3506</v>
      </c>
      <c r="L612" s="5"/>
      <c r="M612" s="5" t="s">
        <v>8</v>
      </c>
      <c r="N612" s="5" t="s">
        <v>80</v>
      </c>
      <c r="O612" s="5" t="str">
        <f>IF(B612="","",IFERROR(LOOKUP(2,1/('Call Log'!$C$2:$C$5000=B612),'Call Log'!$B$2:$B$5000),""))</f>
        <v/>
      </c>
      <c r="P612" s="5">
        <f>IF(B612="","",COUNTIFS('Call Log'!$C$2:$C$5000,B612,'Call Log'!$A$2:$A$5000,"&gt;="&amp;(TODAY()-WEEKDAY(TODAY(),2)+1)))</f>
        <v>0</v>
      </c>
      <c r="Q612" s="5">
        <f>IF(B612="","",COUNTIF('Call Log'!$C$2:$C$5000,B612))</f>
        <v>0</v>
      </c>
      <c r="R612" s="21" t="str">
        <f>IF(B612="","",IFERROR(IF(MAXIFS('Call Log'!$A$2:$A$5000,'Call Log'!$C$2:$C$5000,B612)=0,"",MAXIFS('Call Log'!$A$2:$A$5000,'Call Log'!$C$2:$C$5000,B612)),""))</f>
        <v/>
      </c>
      <c r="S612" s="5"/>
      <c r="T612" s="21"/>
      <c r="U612" s="21"/>
      <c r="V612" s="5"/>
      <c r="W612" s="20"/>
      <c r="X612" s="5"/>
      <c r="Y612" s="5"/>
      <c r="Z612" s="5" t="s">
        <v>132</v>
      </c>
      <c r="AA612" s="5" t="s">
        <v>3507</v>
      </c>
    </row>
    <row r="613" ht="15.0" customHeight="1">
      <c r="A613" s="5" t="s">
        <v>3508</v>
      </c>
      <c r="B613" s="5" t="s">
        <v>3509</v>
      </c>
      <c r="C613" s="5" t="s">
        <v>3510</v>
      </c>
      <c r="D613" s="5"/>
      <c r="E613" s="5"/>
      <c r="F613" s="20"/>
      <c r="G613" s="20"/>
      <c r="H613" s="5" t="s">
        <v>41</v>
      </c>
      <c r="I613" s="5" t="s">
        <v>547</v>
      </c>
      <c r="J613" s="5" t="s">
        <v>114</v>
      </c>
      <c r="K613" s="5" t="s">
        <v>3511</v>
      </c>
      <c r="L613" s="5" t="s">
        <v>3512</v>
      </c>
      <c r="M613" s="5" t="s">
        <v>8</v>
      </c>
      <c r="N613" s="5" t="s">
        <v>80</v>
      </c>
      <c r="O613" s="5" t="str">
        <f>IF(B613="","",IFERROR(LOOKUP(2,1/('Call Log'!$C$2:$C$5000=B613),'Call Log'!$B$2:$B$5000),""))</f>
        <v/>
      </c>
      <c r="P613" s="5">
        <f>IF(B613="","",COUNTIFS('Call Log'!$C$2:$C$5000,B613,'Call Log'!$A$2:$A$5000,"&gt;="&amp;(TODAY()-WEEKDAY(TODAY(),2)+1)))</f>
        <v>0</v>
      </c>
      <c r="Q613" s="5">
        <f>IF(B613="","",COUNTIF('Call Log'!$C$2:$C$5000,B613))</f>
        <v>0</v>
      </c>
      <c r="R613" s="21" t="str">
        <f>IF(B613="","",IFERROR(IF(MAXIFS('Call Log'!$A$2:$A$5000,'Call Log'!$C$2:$C$5000,B613)=0,"",MAXIFS('Call Log'!$A$2:$A$5000,'Call Log'!$C$2:$C$5000,B613)),""))</f>
        <v/>
      </c>
      <c r="S613" s="5"/>
      <c r="T613" s="21"/>
      <c r="U613" s="21"/>
      <c r="V613" s="5"/>
      <c r="W613" s="20"/>
      <c r="X613" s="5"/>
      <c r="Y613" s="5"/>
      <c r="Z613" s="5" t="s">
        <v>132</v>
      </c>
      <c r="AA613" s="5" t="s">
        <v>3513</v>
      </c>
    </row>
    <row r="614" ht="15.0" customHeight="1">
      <c r="A614" s="5" t="s">
        <v>3514</v>
      </c>
      <c r="B614" s="5" t="s">
        <v>3515</v>
      </c>
      <c r="C614" s="5" t="s">
        <v>3516</v>
      </c>
      <c r="D614" s="5"/>
      <c r="E614" s="5">
        <v>1.0</v>
      </c>
      <c r="F614" s="20"/>
      <c r="G614" s="20"/>
      <c r="H614" s="5" t="s">
        <v>40</v>
      </c>
      <c r="I614" s="5" t="s">
        <v>2252</v>
      </c>
      <c r="J614" s="5" t="s">
        <v>114</v>
      </c>
      <c r="K614" s="5" t="s">
        <v>3517</v>
      </c>
      <c r="L614" s="5" t="s">
        <v>3518</v>
      </c>
      <c r="M614" s="5" t="s">
        <v>8</v>
      </c>
      <c r="N614" s="5" t="s">
        <v>80</v>
      </c>
      <c r="O614" s="5" t="str">
        <f>IF(B614="","",IFERROR(LOOKUP(2,1/('Call Log'!$C$2:$C$5000=B614),'Call Log'!$B$2:$B$5000),""))</f>
        <v/>
      </c>
      <c r="P614" s="5">
        <f>IF(B614="","",COUNTIFS('Call Log'!$C$2:$C$5000,B614,'Call Log'!$A$2:$A$5000,"&gt;="&amp;(TODAY()-WEEKDAY(TODAY(),2)+1)))</f>
        <v>0</v>
      </c>
      <c r="Q614" s="5">
        <f>IF(B614="","",COUNTIF('Call Log'!$C$2:$C$5000,B614))</f>
        <v>0</v>
      </c>
      <c r="R614" s="21" t="str">
        <f>IF(B614="","",IFERROR(IF(MAXIFS('Call Log'!$A$2:$A$5000,'Call Log'!$C$2:$C$5000,B614)=0,"",MAXIFS('Call Log'!$A$2:$A$5000,'Call Log'!$C$2:$C$5000,B614)),""))</f>
        <v/>
      </c>
      <c r="S614" s="5"/>
      <c r="T614" s="21"/>
      <c r="U614" s="21"/>
      <c r="V614" s="5"/>
      <c r="W614" s="20"/>
      <c r="X614" s="5"/>
      <c r="Y614" s="5"/>
      <c r="Z614" s="5" t="s">
        <v>132</v>
      </c>
      <c r="AA614" s="5" t="s">
        <v>3519</v>
      </c>
    </row>
    <row r="615" ht="15.0" customHeight="1">
      <c r="A615" s="5" t="s">
        <v>3520</v>
      </c>
      <c r="B615" s="5" t="s">
        <v>3521</v>
      </c>
      <c r="C615" s="5" t="s">
        <v>1781</v>
      </c>
      <c r="D615" s="5"/>
      <c r="E615" s="5">
        <v>4.0</v>
      </c>
      <c r="F615" s="20"/>
      <c r="G615" s="20"/>
      <c r="H615" s="5" t="s">
        <v>41</v>
      </c>
      <c r="I615" s="5" t="s">
        <v>154</v>
      </c>
      <c r="J615" s="5" t="s">
        <v>114</v>
      </c>
      <c r="K615" s="5" t="s">
        <v>3522</v>
      </c>
      <c r="L615" s="5" t="s">
        <v>1719</v>
      </c>
      <c r="M615" s="5" t="s">
        <v>8</v>
      </c>
      <c r="N615" s="5" t="s">
        <v>80</v>
      </c>
      <c r="O615" s="5" t="str">
        <f>IF(B615="","",IFERROR(LOOKUP(2,1/('Call Log'!$C$2:$C$5000=B615),'Call Log'!$B$2:$B$5000),""))</f>
        <v/>
      </c>
      <c r="P615" s="5">
        <f>IF(B615="","",COUNTIFS('Call Log'!$C$2:$C$5000,B615,'Call Log'!$A$2:$A$5000,"&gt;="&amp;(TODAY()-WEEKDAY(TODAY(),2)+1)))</f>
        <v>0</v>
      </c>
      <c r="Q615" s="5">
        <f>IF(B615="","",COUNTIF('Call Log'!$C$2:$C$5000,B615))</f>
        <v>0</v>
      </c>
      <c r="R615" s="21" t="str">
        <f>IF(B615="","",IFERROR(IF(MAXIFS('Call Log'!$A$2:$A$5000,'Call Log'!$C$2:$C$5000,B615)=0,"",MAXIFS('Call Log'!$A$2:$A$5000,'Call Log'!$C$2:$C$5000,B615)),""))</f>
        <v/>
      </c>
      <c r="S615" s="5"/>
      <c r="T615" s="21"/>
      <c r="U615" s="21"/>
      <c r="V615" s="5"/>
      <c r="W615" s="20"/>
      <c r="X615" s="5"/>
      <c r="Y615" s="5"/>
      <c r="Z615" s="5"/>
      <c r="AA615" s="5" t="s">
        <v>724</v>
      </c>
    </row>
    <row r="616" ht="15.0" customHeight="1">
      <c r="A616" s="5" t="s">
        <v>3523</v>
      </c>
      <c r="B616" s="5" t="s">
        <v>3524</v>
      </c>
      <c r="C616" s="5" t="s">
        <v>3059</v>
      </c>
      <c r="D616" s="5"/>
      <c r="E616" s="5"/>
      <c r="F616" s="20"/>
      <c r="G616" s="20"/>
      <c r="H616" s="5" t="s">
        <v>40</v>
      </c>
      <c r="I616" s="5" t="s">
        <v>2252</v>
      </c>
      <c r="J616" s="5" t="s">
        <v>114</v>
      </c>
      <c r="K616" s="5" t="s">
        <v>3525</v>
      </c>
      <c r="L616" s="5"/>
      <c r="M616" s="5" t="s">
        <v>8</v>
      </c>
      <c r="N616" s="5" t="s">
        <v>80</v>
      </c>
      <c r="O616" s="5" t="str">
        <f>IF(B616="","",IFERROR(LOOKUP(2,1/('Call Log'!$C$2:$C$5000=B616),'Call Log'!$B$2:$B$5000),""))</f>
        <v/>
      </c>
      <c r="P616" s="5">
        <f>IF(B616="","",COUNTIFS('Call Log'!$C$2:$C$5000,B616,'Call Log'!$A$2:$A$5000,"&gt;="&amp;(TODAY()-WEEKDAY(TODAY(),2)+1)))</f>
        <v>0</v>
      </c>
      <c r="Q616" s="5">
        <f>IF(B616="","",COUNTIF('Call Log'!$C$2:$C$5000,B616))</f>
        <v>0</v>
      </c>
      <c r="R616" s="21" t="str">
        <f>IF(B616="","",IFERROR(IF(MAXIFS('Call Log'!$A$2:$A$5000,'Call Log'!$C$2:$C$5000,B616)=0,"",MAXIFS('Call Log'!$A$2:$A$5000,'Call Log'!$C$2:$C$5000,B616)),""))</f>
        <v/>
      </c>
      <c r="S616" s="5"/>
      <c r="T616" s="21"/>
      <c r="U616" s="21"/>
      <c r="V616" s="5"/>
      <c r="W616" s="20"/>
      <c r="X616" s="5"/>
      <c r="Y616" s="5"/>
      <c r="Z616" s="5" t="s">
        <v>132</v>
      </c>
      <c r="AA616" s="5" t="s">
        <v>3061</v>
      </c>
    </row>
    <row r="617" ht="15.0" customHeight="1">
      <c r="A617" s="5" t="s">
        <v>3526</v>
      </c>
      <c r="B617" s="5" t="s">
        <v>3527</v>
      </c>
      <c r="C617" s="5" t="s">
        <v>3528</v>
      </c>
      <c r="D617" s="5"/>
      <c r="E617" s="5"/>
      <c r="F617" s="20"/>
      <c r="G617" s="20"/>
      <c r="H617" s="5" t="s">
        <v>41</v>
      </c>
      <c r="I617" s="5" t="s">
        <v>129</v>
      </c>
      <c r="J617" s="5" t="s">
        <v>114</v>
      </c>
      <c r="K617" s="5" t="s">
        <v>3529</v>
      </c>
      <c r="L617" s="5" t="s">
        <v>3530</v>
      </c>
      <c r="M617" s="5" t="s">
        <v>8</v>
      </c>
      <c r="N617" s="5" t="s">
        <v>80</v>
      </c>
      <c r="O617" s="5" t="str">
        <f>IF(B617="","",IFERROR(LOOKUP(2,1/('Call Log'!$C$2:$C$5000=B617),'Call Log'!$B$2:$B$5000),""))</f>
        <v/>
      </c>
      <c r="P617" s="5">
        <f>IF(B617="","",COUNTIFS('Call Log'!$C$2:$C$5000,B617,'Call Log'!$A$2:$A$5000,"&gt;="&amp;(TODAY()-WEEKDAY(TODAY(),2)+1)))</f>
        <v>0</v>
      </c>
      <c r="Q617" s="5">
        <f>IF(B617="","",COUNTIF('Call Log'!$C$2:$C$5000,B617))</f>
        <v>0</v>
      </c>
      <c r="R617" s="21" t="str">
        <f>IF(B617="","",IFERROR(IF(MAXIFS('Call Log'!$A$2:$A$5000,'Call Log'!$C$2:$C$5000,B617)=0,"",MAXIFS('Call Log'!$A$2:$A$5000,'Call Log'!$C$2:$C$5000,B617)),""))</f>
        <v/>
      </c>
      <c r="S617" s="5"/>
      <c r="T617" s="21"/>
      <c r="U617" s="21"/>
      <c r="V617" s="5"/>
      <c r="W617" s="20"/>
      <c r="X617" s="5"/>
      <c r="Y617" s="5"/>
      <c r="Z617" s="5" t="s">
        <v>132</v>
      </c>
      <c r="AA617" s="5" t="s">
        <v>3531</v>
      </c>
    </row>
    <row r="618" ht="15.0" customHeight="1">
      <c r="A618" s="5" t="s">
        <v>3532</v>
      </c>
      <c r="B618" s="5" t="s">
        <v>3533</v>
      </c>
      <c r="C618" s="5" t="s">
        <v>3534</v>
      </c>
      <c r="D618" s="5"/>
      <c r="E618" s="5"/>
      <c r="F618" s="20"/>
      <c r="G618" s="20"/>
      <c r="H618" s="5" t="s">
        <v>40</v>
      </c>
      <c r="I618" s="5" t="s">
        <v>231</v>
      </c>
      <c r="J618" s="5" t="s">
        <v>114</v>
      </c>
      <c r="K618" s="5" t="s">
        <v>3535</v>
      </c>
      <c r="L618" s="5" t="s">
        <v>3536</v>
      </c>
      <c r="M618" s="5" t="s">
        <v>8</v>
      </c>
      <c r="N618" s="5" t="s">
        <v>80</v>
      </c>
      <c r="O618" s="5" t="str">
        <f>IF(B618="","",IFERROR(LOOKUP(2,1/('Call Log'!$C$2:$C$5000=B618),'Call Log'!$B$2:$B$5000),""))</f>
        <v/>
      </c>
      <c r="P618" s="5">
        <f>IF(B618="","",COUNTIFS('Call Log'!$C$2:$C$5000,B618,'Call Log'!$A$2:$A$5000,"&gt;="&amp;(TODAY()-WEEKDAY(TODAY(),2)+1)))</f>
        <v>0</v>
      </c>
      <c r="Q618" s="5">
        <f>IF(B618="","",COUNTIF('Call Log'!$C$2:$C$5000,B618))</f>
        <v>0</v>
      </c>
      <c r="R618" s="21" t="str">
        <f>IF(B618="","",IFERROR(IF(MAXIFS('Call Log'!$A$2:$A$5000,'Call Log'!$C$2:$C$5000,B618)=0,"",MAXIFS('Call Log'!$A$2:$A$5000,'Call Log'!$C$2:$C$5000,B618)),""))</f>
        <v/>
      </c>
      <c r="S618" s="5"/>
      <c r="T618" s="21"/>
      <c r="U618" s="21"/>
      <c r="V618" s="5"/>
      <c r="W618" s="20"/>
      <c r="X618" s="5"/>
      <c r="Y618" s="5"/>
      <c r="Z618" s="5" t="s">
        <v>132</v>
      </c>
      <c r="AA618" s="5" t="s">
        <v>3537</v>
      </c>
    </row>
    <row r="619" ht="15.0" customHeight="1">
      <c r="A619" s="5" t="s">
        <v>3538</v>
      </c>
      <c r="B619" s="5" t="s">
        <v>3539</v>
      </c>
      <c r="C619" s="5" t="s">
        <v>3540</v>
      </c>
      <c r="D619" s="5"/>
      <c r="E619" s="5"/>
      <c r="F619" s="20"/>
      <c r="G619" s="20"/>
      <c r="H619" s="5" t="s">
        <v>41</v>
      </c>
      <c r="I619" s="5" t="s">
        <v>113</v>
      </c>
      <c r="J619" s="5" t="s">
        <v>114</v>
      </c>
      <c r="K619" s="5" t="s">
        <v>3541</v>
      </c>
      <c r="L619" s="5"/>
      <c r="M619" s="5" t="s">
        <v>8</v>
      </c>
      <c r="N619" s="5" t="s">
        <v>80</v>
      </c>
      <c r="O619" s="5" t="str">
        <f>IF(B619="","",IFERROR(LOOKUP(2,1/('Call Log'!$C$2:$C$5000=B619),'Call Log'!$B$2:$B$5000),""))</f>
        <v/>
      </c>
      <c r="P619" s="5">
        <f>IF(B619="","",COUNTIFS('Call Log'!$C$2:$C$5000,B619,'Call Log'!$A$2:$A$5000,"&gt;="&amp;(TODAY()-WEEKDAY(TODAY(),2)+1)))</f>
        <v>0</v>
      </c>
      <c r="Q619" s="5">
        <f>IF(B619="","",COUNTIF('Call Log'!$C$2:$C$5000,B619))</f>
        <v>0</v>
      </c>
      <c r="R619" s="21" t="str">
        <f>IF(B619="","",IFERROR(IF(MAXIFS('Call Log'!$A$2:$A$5000,'Call Log'!$C$2:$C$5000,B619)=0,"",MAXIFS('Call Log'!$A$2:$A$5000,'Call Log'!$C$2:$C$5000,B619)),""))</f>
        <v/>
      </c>
      <c r="S619" s="5"/>
      <c r="T619" s="21"/>
      <c r="U619" s="21"/>
      <c r="V619" s="5"/>
      <c r="W619" s="20"/>
      <c r="X619" s="5"/>
      <c r="Y619" s="5"/>
      <c r="Z619" s="5" t="s">
        <v>132</v>
      </c>
      <c r="AA619" s="5" t="s">
        <v>3542</v>
      </c>
    </row>
    <row r="620" ht="15.0" customHeight="1">
      <c r="A620" s="5" t="s">
        <v>3543</v>
      </c>
      <c r="B620" s="5" t="s">
        <v>3544</v>
      </c>
      <c r="C620" s="5" t="s">
        <v>3545</v>
      </c>
      <c r="D620" s="5"/>
      <c r="E620" s="5"/>
      <c r="F620" s="20"/>
      <c r="G620" s="20"/>
      <c r="H620" s="5" t="s">
        <v>40</v>
      </c>
      <c r="I620" s="5" t="s">
        <v>1320</v>
      </c>
      <c r="J620" s="5" t="s">
        <v>114</v>
      </c>
      <c r="K620" s="5" t="s">
        <v>3546</v>
      </c>
      <c r="L620" s="5"/>
      <c r="M620" s="5" t="s">
        <v>8</v>
      </c>
      <c r="N620" s="5" t="s">
        <v>80</v>
      </c>
      <c r="O620" s="5" t="str">
        <f>IF(B620="","",IFERROR(LOOKUP(2,1/('Call Log'!$C$2:$C$5000=B620),'Call Log'!$B$2:$B$5000),""))</f>
        <v/>
      </c>
      <c r="P620" s="5">
        <f>IF(B620="","",COUNTIFS('Call Log'!$C$2:$C$5000,B620,'Call Log'!$A$2:$A$5000,"&gt;="&amp;(TODAY()-WEEKDAY(TODAY(),2)+1)))</f>
        <v>0</v>
      </c>
      <c r="Q620" s="5">
        <f>IF(B620="","",COUNTIF('Call Log'!$C$2:$C$5000,B620))</f>
        <v>0</v>
      </c>
      <c r="R620" s="21" t="str">
        <f>IF(B620="","",IFERROR(IF(MAXIFS('Call Log'!$A$2:$A$5000,'Call Log'!$C$2:$C$5000,B620)=0,"",MAXIFS('Call Log'!$A$2:$A$5000,'Call Log'!$C$2:$C$5000,B620)),""))</f>
        <v/>
      </c>
      <c r="S620" s="5"/>
      <c r="T620" s="21"/>
      <c r="U620" s="21"/>
      <c r="V620" s="5"/>
      <c r="W620" s="20"/>
      <c r="X620" s="5"/>
      <c r="Y620" s="5"/>
      <c r="Z620" s="5" t="s">
        <v>132</v>
      </c>
      <c r="AA620" s="5" t="s">
        <v>3547</v>
      </c>
    </row>
    <row r="621" ht="15.0" customHeight="1">
      <c r="A621" s="5" t="s">
        <v>3548</v>
      </c>
      <c r="B621" s="5" t="s">
        <v>3549</v>
      </c>
      <c r="C621" s="5" t="s">
        <v>3550</v>
      </c>
      <c r="D621" s="5"/>
      <c r="E621" s="5"/>
      <c r="F621" s="20"/>
      <c r="G621" s="20"/>
      <c r="H621" s="5" t="s">
        <v>40</v>
      </c>
      <c r="I621" s="5" t="s">
        <v>113</v>
      </c>
      <c r="J621" s="5" t="s">
        <v>114</v>
      </c>
      <c r="K621" s="5" t="s">
        <v>3551</v>
      </c>
      <c r="L621" s="5"/>
      <c r="M621" s="5" t="s">
        <v>8</v>
      </c>
      <c r="N621" s="5" t="s">
        <v>80</v>
      </c>
      <c r="O621" s="5" t="str">
        <f>IF(B621="","",IFERROR(LOOKUP(2,1/('Call Log'!$C$2:$C$5000=B621),'Call Log'!$B$2:$B$5000),""))</f>
        <v/>
      </c>
      <c r="P621" s="5">
        <f>IF(B621="","",COUNTIFS('Call Log'!$C$2:$C$5000,B621,'Call Log'!$A$2:$A$5000,"&gt;="&amp;(TODAY()-WEEKDAY(TODAY(),2)+1)))</f>
        <v>0</v>
      </c>
      <c r="Q621" s="5">
        <f>IF(B621="","",COUNTIF('Call Log'!$C$2:$C$5000,B621))</f>
        <v>0</v>
      </c>
      <c r="R621" s="21" t="str">
        <f>IF(B621="","",IFERROR(IF(MAXIFS('Call Log'!$A$2:$A$5000,'Call Log'!$C$2:$C$5000,B621)=0,"",MAXIFS('Call Log'!$A$2:$A$5000,'Call Log'!$C$2:$C$5000,B621)),""))</f>
        <v/>
      </c>
      <c r="S621" s="5"/>
      <c r="T621" s="21"/>
      <c r="U621" s="21"/>
      <c r="V621" s="5"/>
      <c r="W621" s="20"/>
      <c r="X621" s="5"/>
      <c r="Y621" s="5"/>
      <c r="Z621" s="5" t="s">
        <v>132</v>
      </c>
      <c r="AA621" s="5" t="s">
        <v>3552</v>
      </c>
    </row>
    <row r="622" ht="15.0" customHeight="1">
      <c r="A622" s="5" t="s">
        <v>3553</v>
      </c>
      <c r="B622" s="5" t="s">
        <v>3554</v>
      </c>
      <c r="C622" s="5"/>
      <c r="D622" s="5"/>
      <c r="E622" s="5"/>
      <c r="F622" s="20">
        <v>4782000.0</v>
      </c>
      <c r="G622" s="20">
        <v>3.9851E7</v>
      </c>
      <c r="H622" s="5" t="s">
        <v>40</v>
      </c>
      <c r="I622" s="5" t="s">
        <v>1048</v>
      </c>
      <c r="J622" s="5" t="s">
        <v>114</v>
      </c>
      <c r="K622" s="5" t="s">
        <v>3555</v>
      </c>
      <c r="L622" s="5"/>
      <c r="M622" s="5" t="s">
        <v>8</v>
      </c>
      <c r="N622" s="5" t="s">
        <v>80</v>
      </c>
      <c r="O622" s="5" t="str">
        <f>IF(B622="","",IFERROR(LOOKUP(2,1/('Call Log'!$C$2:$C$5000=B622),'Call Log'!$B$2:$B$5000),""))</f>
        <v/>
      </c>
      <c r="P622" s="5">
        <f>IF(B622="","",COUNTIFS('Call Log'!$C$2:$C$5000,B622,'Call Log'!$A$2:$A$5000,"&gt;="&amp;(TODAY()-WEEKDAY(TODAY(),2)+1)))</f>
        <v>0</v>
      </c>
      <c r="Q622" s="5">
        <f>IF(B622="","",COUNTIF('Call Log'!$C$2:$C$5000,B622))</f>
        <v>0</v>
      </c>
      <c r="R622" s="21" t="str">
        <f>IF(B622="","",IFERROR(IF(MAXIFS('Call Log'!$A$2:$A$5000,'Call Log'!$C$2:$C$5000,B622)=0,"",MAXIFS('Call Log'!$A$2:$A$5000,'Call Log'!$C$2:$C$5000,B622)),""))</f>
        <v/>
      </c>
      <c r="S622" s="5"/>
      <c r="T622" s="21"/>
      <c r="U622" s="21"/>
      <c r="V622" s="5"/>
      <c r="W622" s="20"/>
      <c r="X622" s="5"/>
      <c r="Y622" s="5"/>
      <c r="Z622" s="5"/>
      <c r="AA622" s="5" t="s">
        <v>3556</v>
      </c>
    </row>
    <row r="623" ht="15.0" customHeight="1">
      <c r="A623" s="5" t="s">
        <v>3557</v>
      </c>
      <c r="B623" s="5" t="s">
        <v>3558</v>
      </c>
      <c r="C623" s="5"/>
      <c r="D623" s="5"/>
      <c r="E623" s="5">
        <v>7.0</v>
      </c>
      <c r="F623" s="20">
        <v>4166000.0</v>
      </c>
      <c r="G623" s="20">
        <v>3.472E7</v>
      </c>
      <c r="H623" s="5" t="s">
        <v>40</v>
      </c>
      <c r="I623" s="5" t="s">
        <v>146</v>
      </c>
      <c r="J623" s="5" t="s">
        <v>114</v>
      </c>
      <c r="K623" s="5" t="s">
        <v>3559</v>
      </c>
      <c r="L623" s="5"/>
      <c r="M623" s="5" t="s">
        <v>8</v>
      </c>
      <c r="N623" s="5" t="s">
        <v>80</v>
      </c>
      <c r="O623" s="5" t="str">
        <f>IF(B623="","",IFERROR(LOOKUP(2,1/('Call Log'!$C$2:$C$5000=B623),'Call Log'!$B$2:$B$5000),""))</f>
        <v/>
      </c>
      <c r="P623" s="5">
        <f>IF(B623="","",COUNTIFS('Call Log'!$C$2:$C$5000,B623,'Call Log'!$A$2:$A$5000,"&gt;="&amp;(TODAY()-WEEKDAY(TODAY(),2)+1)))</f>
        <v>0</v>
      </c>
      <c r="Q623" s="5">
        <f>IF(B623="","",COUNTIF('Call Log'!$C$2:$C$5000,B623))</f>
        <v>0</v>
      </c>
      <c r="R623" s="21" t="str">
        <f>IF(B623="","",IFERROR(IF(MAXIFS('Call Log'!$A$2:$A$5000,'Call Log'!$C$2:$C$5000,B623)=0,"",MAXIFS('Call Log'!$A$2:$A$5000,'Call Log'!$C$2:$C$5000,B623)),""))</f>
        <v/>
      </c>
      <c r="S623" s="5"/>
      <c r="T623" s="21"/>
      <c r="U623" s="21"/>
      <c r="V623" s="5"/>
      <c r="W623" s="20"/>
      <c r="X623" s="5"/>
      <c r="Y623" s="5"/>
      <c r="Z623" s="5"/>
      <c r="AA623" s="5" t="s">
        <v>3560</v>
      </c>
    </row>
    <row r="624" ht="15.0" customHeight="1">
      <c r="A624" s="5" t="s">
        <v>3561</v>
      </c>
      <c r="B624" s="5" t="s">
        <v>3562</v>
      </c>
      <c r="C624" s="5"/>
      <c r="D624" s="5"/>
      <c r="E624" s="5">
        <v>9.0</v>
      </c>
      <c r="F624" s="20">
        <v>3614000.0</v>
      </c>
      <c r="G624" s="20">
        <v>3.0117E7</v>
      </c>
      <c r="H624" s="5" t="s">
        <v>41</v>
      </c>
      <c r="I624" s="5" t="s">
        <v>184</v>
      </c>
      <c r="J624" s="5" t="s">
        <v>114</v>
      </c>
      <c r="K624" s="5" t="s">
        <v>3563</v>
      </c>
      <c r="L624" s="5"/>
      <c r="M624" s="5" t="s">
        <v>8</v>
      </c>
      <c r="N624" s="5" t="s">
        <v>80</v>
      </c>
      <c r="O624" s="5" t="str">
        <f>IF(B624="","",IFERROR(LOOKUP(2,1/('Call Log'!$C$2:$C$5000=B624),'Call Log'!$B$2:$B$5000),""))</f>
        <v/>
      </c>
      <c r="P624" s="5">
        <f>IF(B624="","",COUNTIFS('Call Log'!$C$2:$C$5000,B624,'Call Log'!$A$2:$A$5000,"&gt;="&amp;(TODAY()-WEEKDAY(TODAY(),2)+1)))</f>
        <v>0</v>
      </c>
      <c r="Q624" s="5">
        <f>IF(B624="","",COUNTIF('Call Log'!$C$2:$C$5000,B624))</f>
        <v>0</v>
      </c>
      <c r="R624" s="21" t="str">
        <f>IF(B624="","",IFERROR(IF(MAXIFS('Call Log'!$A$2:$A$5000,'Call Log'!$C$2:$C$5000,B624)=0,"",MAXIFS('Call Log'!$A$2:$A$5000,'Call Log'!$C$2:$C$5000,B624)),""))</f>
        <v/>
      </c>
      <c r="S624" s="5"/>
      <c r="T624" s="21"/>
      <c r="U624" s="21"/>
      <c r="V624" s="5"/>
      <c r="W624" s="20"/>
      <c r="X624" s="5"/>
      <c r="Y624" s="5"/>
      <c r="Z624" s="5"/>
      <c r="AA624" s="5" t="s">
        <v>3564</v>
      </c>
    </row>
    <row r="625" ht="15.0" customHeight="1">
      <c r="A625" s="5" t="s">
        <v>3565</v>
      </c>
      <c r="B625" s="5" t="s">
        <v>3566</v>
      </c>
      <c r="C625" s="5"/>
      <c r="D625" s="5"/>
      <c r="E625" s="5">
        <v>10.0</v>
      </c>
      <c r="F625" s="20">
        <v>2366000.0</v>
      </c>
      <c r="G625" s="20">
        <v>1.9716E7</v>
      </c>
      <c r="H625" s="5" t="s">
        <v>40</v>
      </c>
      <c r="I625" s="5" t="s">
        <v>154</v>
      </c>
      <c r="J625" s="5" t="s">
        <v>114</v>
      </c>
      <c r="K625" s="5" t="s">
        <v>3567</v>
      </c>
      <c r="L625" s="5"/>
      <c r="M625" s="5" t="s">
        <v>8</v>
      </c>
      <c r="N625" s="5" t="s">
        <v>80</v>
      </c>
      <c r="O625" s="5" t="str">
        <f>IF(B625="","",IFERROR(LOOKUP(2,1/('Call Log'!$C$2:$C$5000=B625),'Call Log'!$B$2:$B$5000),""))</f>
        <v/>
      </c>
      <c r="P625" s="5">
        <f>IF(B625="","",COUNTIFS('Call Log'!$C$2:$C$5000,B625,'Call Log'!$A$2:$A$5000,"&gt;="&amp;(TODAY()-WEEKDAY(TODAY(),2)+1)))</f>
        <v>0</v>
      </c>
      <c r="Q625" s="5">
        <f>IF(B625="","",COUNTIF('Call Log'!$C$2:$C$5000,B625))</f>
        <v>0</v>
      </c>
      <c r="R625" s="21" t="str">
        <f>IF(B625="","",IFERROR(IF(MAXIFS('Call Log'!$A$2:$A$5000,'Call Log'!$C$2:$C$5000,B625)=0,"",MAXIFS('Call Log'!$A$2:$A$5000,'Call Log'!$C$2:$C$5000,B625)),""))</f>
        <v/>
      </c>
      <c r="S625" s="5"/>
      <c r="T625" s="21"/>
      <c r="U625" s="21"/>
      <c r="V625" s="5"/>
      <c r="W625" s="20"/>
      <c r="X625" s="5"/>
      <c r="Y625" s="5"/>
      <c r="Z625" s="5"/>
      <c r="AA625" s="5" t="s">
        <v>3568</v>
      </c>
    </row>
    <row r="626" ht="15.0" customHeight="1">
      <c r="A626" s="5" t="s">
        <v>3569</v>
      </c>
      <c r="B626" s="5" t="s">
        <v>3570</v>
      </c>
      <c r="C626" s="5"/>
      <c r="D626" s="5"/>
      <c r="E626" s="5">
        <v>15.0</v>
      </c>
      <c r="F626" s="20">
        <v>1553000.0</v>
      </c>
      <c r="G626" s="20">
        <v>1.2942E7</v>
      </c>
      <c r="H626" s="5" t="s">
        <v>43</v>
      </c>
      <c r="I626" s="5" t="s">
        <v>206</v>
      </c>
      <c r="J626" s="5" t="s">
        <v>114</v>
      </c>
      <c r="K626" s="5" t="s">
        <v>3571</v>
      </c>
      <c r="L626" s="5"/>
      <c r="M626" s="5" t="s">
        <v>8</v>
      </c>
      <c r="N626" s="5" t="s">
        <v>80</v>
      </c>
      <c r="O626" s="5" t="str">
        <f>IF(B626="","",IFERROR(LOOKUP(2,1/('Call Log'!$C$2:$C$5000=B626),'Call Log'!$B$2:$B$5000),""))</f>
        <v/>
      </c>
      <c r="P626" s="5">
        <f>IF(B626="","",COUNTIFS('Call Log'!$C$2:$C$5000,B626,'Call Log'!$A$2:$A$5000,"&gt;="&amp;(TODAY()-WEEKDAY(TODAY(),2)+1)))</f>
        <v>0</v>
      </c>
      <c r="Q626" s="5">
        <f>IF(B626="","",COUNTIF('Call Log'!$C$2:$C$5000,B626))</f>
        <v>0</v>
      </c>
      <c r="R626" s="21" t="str">
        <f>IF(B626="","",IFERROR(IF(MAXIFS('Call Log'!$A$2:$A$5000,'Call Log'!$C$2:$C$5000,B626)=0,"",MAXIFS('Call Log'!$A$2:$A$5000,'Call Log'!$C$2:$C$5000,B626)),""))</f>
        <v/>
      </c>
      <c r="S626" s="5"/>
      <c r="T626" s="21"/>
      <c r="U626" s="21"/>
      <c r="V626" s="5"/>
      <c r="W626" s="20"/>
      <c r="X626" s="5"/>
      <c r="Y626" s="5"/>
      <c r="Z626" s="5"/>
      <c r="AA626" s="5" t="s">
        <v>3556</v>
      </c>
    </row>
    <row r="627" ht="15.0" customHeight="1">
      <c r="A627" s="5" t="s">
        <v>3572</v>
      </c>
      <c r="B627" s="5" t="s">
        <v>3573</v>
      </c>
      <c r="C627" s="5"/>
      <c r="D627" s="5"/>
      <c r="E627" s="5">
        <v>91.0</v>
      </c>
      <c r="F627" s="20">
        <v>1391000.0</v>
      </c>
      <c r="G627" s="20">
        <v>1.1591E7</v>
      </c>
      <c r="H627" s="5" t="s">
        <v>41</v>
      </c>
      <c r="I627" s="5" t="s">
        <v>1320</v>
      </c>
      <c r="J627" s="5" t="s">
        <v>114</v>
      </c>
      <c r="K627" s="5" t="s">
        <v>3574</v>
      </c>
      <c r="L627" s="5"/>
      <c r="M627" s="5" t="s">
        <v>8</v>
      </c>
      <c r="N627" s="5" t="s">
        <v>80</v>
      </c>
      <c r="O627" s="5" t="str">
        <f>IF(B627="","",IFERROR(LOOKUP(2,1/('Call Log'!$C$2:$C$5000=B627),'Call Log'!$B$2:$B$5000),""))</f>
        <v/>
      </c>
      <c r="P627" s="5">
        <f>IF(B627="","",COUNTIFS('Call Log'!$C$2:$C$5000,B627,'Call Log'!$A$2:$A$5000,"&gt;="&amp;(TODAY()-WEEKDAY(TODAY(),2)+1)))</f>
        <v>0</v>
      </c>
      <c r="Q627" s="5">
        <f>IF(B627="","",COUNTIF('Call Log'!$C$2:$C$5000,B627))</f>
        <v>0</v>
      </c>
      <c r="R627" s="21" t="str">
        <f>IF(B627="","",IFERROR(IF(MAXIFS('Call Log'!$A$2:$A$5000,'Call Log'!$C$2:$C$5000,B627)=0,"",MAXIFS('Call Log'!$A$2:$A$5000,'Call Log'!$C$2:$C$5000,B627)),""))</f>
        <v/>
      </c>
      <c r="S627" s="5"/>
      <c r="T627" s="21"/>
      <c r="U627" s="21"/>
      <c r="V627" s="5"/>
      <c r="W627" s="20"/>
      <c r="X627" s="5"/>
      <c r="Y627" s="5"/>
      <c r="Z627" s="5"/>
      <c r="AA627" s="5" t="s">
        <v>3556</v>
      </c>
    </row>
    <row r="628" ht="15.0" customHeight="1">
      <c r="A628" s="5" t="s">
        <v>3575</v>
      </c>
      <c r="B628" s="5" t="s">
        <v>3576</v>
      </c>
      <c r="C628" s="5"/>
      <c r="D628" s="5"/>
      <c r="E628" s="5">
        <v>4.0</v>
      </c>
      <c r="F628" s="20">
        <v>1219000.0</v>
      </c>
      <c r="G628" s="20">
        <v>1.016E7</v>
      </c>
      <c r="H628" s="5" t="s">
        <v>40</v>
      </c>
      <c r="I628" s="5" t="s">
        <v>246</v>
      </c>
      <c r="J628" s="5" t="s">
        <v>114</v>
      </c>
      <c r="K628" s="5" t="s">
        <v>3577</v>
      </c>
      <c r="L628" s="5"/>
      <c r="M628" s="5" t="s">
        <v>8</v>
      </c>
      <c r="N628" s="5" t="s">
        <v>80</v>
      </c>
      <c r="O628" s="5" t="str">
        <f>IF(B628="","",IFERROR(LOOKUP(2,1/('Call Log'!$C$2:$C$5000=B628),'Call Log'!$B$2:$B$5000),""))</f>
        <v/>
      </c>
      <c r="P628" s="5">
        <f>IF(B628="","",COUNTIFS('Call Log'!$C$2:$C$5000,B628,'Call Log'!$A$2:$A$5000,"&gt;="&amp;(TODAY()-WEEKDAY(TODAY(),2)+1)))</f>
        <v>0</v>
      </c>
      <c r="Q628" s="5">
        <f>IF(B628="","",COUNTIF('Call Log'!$C$2:$C$5000,B628))</f>
        <v>0</v>
      </c>
      <c r="R628" s="21" t="str">
        <f>IF(B628="","",IFERROR(IF(MAXIFS('Call Log'!$A$2:$A$5000,'Call Log'!$C$2:$C$5000,B628)=0,"",MAXIFS('Call Log'!$A$2:$A$5000,'Call Log'!$C$2:$C$5000,B628)),""))</f>
        <v/>
      </c>
      <c r="S628" s="5"/>
      <c r="T628" s="21"/>
      <c r="U628" s="21"/>
      <c r="V628" s="5"/>
      <c r="W628" s="20"/>
      <c r="X628" s="5"/>
      <c r="Y628" s="5"/>
      <c r="Z628" s="5"/>
      <c r="AA628" s="5" t="s">
        <v>3556</v>
      </c>
    </row>
    <row r="629" ht="15.0" customHeight="1">
      <c r="A629" s="5" t="s">
        <v>3578</v>
      </c>
      <c r="B629" s="5" t="s">
        <v>3579</v>
      </c>
      <c r="C629" s="5"/>
      <c r="D629" s="5"/>
      <c r="E629" s="5">
        <v>42.0</v>
      </c>
      <c r="F629" s="20">
        <v>800000.0</v>
      </c>
      <c r="G629" s="20">
        <v>6665000.0</v>
      </c>
      <c r="H629" s="5" t="s">
        <v>40</v>
      </c>
      <c r="I629" s="5" t="s">
        <v>146</v>
      </c>
      <c r="J629" s="5" t="s">
        <v>114</v>
      </c>
      <c r="K629" s="5" t="s">
        <v>3580</v>
      </c>
      <c r="L629" s="5"/>
      <c r="M629" s="5" t="s">
        <v>8</v>
      </c>
      <c r="N629" s="5" t="s">
        <v>80</v>
      </c>
      <c r="O629" s="5" t="str">
        <f>IF(B629="","",IFERROR(LOOKUP(2,1/('Call Log'!$C$2:$C$5000=B629),'Call Log'!$B$2:$B$5000),""))</f>
        <v/>
      </c>
      <c r="P629" s="5">
        <f>IF(B629="","",COUNTIFS('Call Log'!$C$2:$C$5000,B629,'Call Log'!$A$2:$A$5000,"&gt;="&amp;(TODAY()-WEEKDAY(TODAY(),2)+1)))</f>
        <v>0</v>
      </c>
      <c r="Q629" s="5">
        <f>IF(B629="","",COUNTIF('Call Log'!$C$2:$C$5000,B629))</f>
        <v>0</v>
      </c>
      <c r="R629" s="21" t="str">
        <f>IF(B629="","",IFERROR(IF(MAXIFS('Call Log'!$A$2:$A$5000,'Call Log'!$C$2:$C$5000,B629)=0,"",MAXIFS('Call Log'!$A$2:$A$5000,'Call Log'!$C$2:$C$5000,B629)),""))</f>
        <v/>
      </c>
      <c r="S629" s="5"/>
      <c r="T629" s="21"/>
      <c r="U629" s="21"/>
      <c r="V629" s="5"/>
      <c r="W629" s="20"/>
      <c r="X629" s="5"/>
      <c r="Y629" s="5"/>
      <c r="Z629" s="5"/>
      <c r="AA629" s="5" t="s">
        <v>3581</v>
      </c>
    </row>
    <row r="630" ht="15.0" customHeight="1">
      <c r="A630" s="5" t="s">
        <v>3582</v>
      </c>
      <c r="B630" s="5" t="s">
        <v>3583</v>
      </c>
      <c r="C630" s="5"/>
      <c r="D630" s="5"/>
      <c r="E630" s="5">
        <v>1.0</v>
      </c>
      <c r="F630" s="20">
        <v>680000.0</v>
      </c>
      <c r="G630" s="20">
        <v>5669000.0</v>
      </c>
      <c r="H630" s="5" t="s">
        <v>40</v>
      </c>
      <c r="I630" s="5" t="s">
        <v>175</v>
      </c>
      <c r="J630" s="5" t="s">
        <v>114</v>
      </c>
      <c r="K630" s="5" t="s">
        <v>3584</v>
      </c>
      <c r="L630" s="5"/>
      <c r="M630" s="5" t="s">
        <v>8</v>
      </c>
      <c r="N630" s="5" t="s">
        <v>80</v>
      </c>
      <c r="O630" s="5" t="str">
        <f>IF(B630="","",IFERROR(LOOKUP(2,1/('Call Log'!$C$2:$C$5000=B630),'Call Log'!$B$2:$B$5000),""))</f>
        <v/>
      </c>
      <c r="P630" s="5">
        <f>IF(B630="","",COUNTIFS('Call Log'!$C$2:$C$5000,B630,'Call Log'!$A$2:$A$5000,"&gt;="&amp;(TODAY()-WEEKDAY(TODAY(),2)+1)))</f>
        <v>0</v>
      </c>
      <c r="Q630" s="5">
        <f>IF(B630="","",COUNTIF('Call Log'!$C$2:$C$5000,B630))</f>
        <v>0</v>
      </c>
      <c r="R630" s="21" t="str">
        <f>IF(B630="","",IFERROR(IF(MAXIFS('Call Log'!$A$2:$A$5000,'Call Log'!$C$2:$C$5000,B630)=0,"",MAXIFS('Call Log'!$A$2:$A$5000,'Call Log'!$C$2:$C$5000,B630)),""))</f>
        <v/>
      </c>
      <c r="S630" s="5"/>
      <c r="T630" s="21"/>
      <c r="U630" s="21"/>
      <c r="V630" s="5"/>
      <c r="W630" s="20"/>
      <c r="X630" s="5"/>
      <c r="Y630" s="5"/>
      <c r="Z630" s="5"/>
      <c r="AA630" s="5" t="s">
        <v>3556</v>
      </c>
    </row>
    <row r="631" ht="15.0" customHeight="1">
      <c r="A631" s="5" t="s">
        <v>3585</v>
      </c>
      <c r="B631" s="5" t="s">
        <v>3586</v>
      </c>
      <c r="C631" s="5"/>
      <c r="D631" s="5"/>
      <c r="E631" s="5">
        <v>33.0</v>
      </c>
      <c r="F631" s="20">
        <v>600000.0</v>
      </c>
      <c r="G631" s="20">
        <v>5000000.0</v>
      </c>
      <c r="H631" s="5" t="s">
        <v>40</v>
      </c>
      <c r="I631" s="5" t="s">
        <v>146</v>
      </c>
      <c r="J631" s="5" t="s">
        <v>114</v>
      </c>
      <c r="K631" s="5" t="s">
        <v>3587</v>
      </c>
      <c r="L631" s="5"/>
      <c r="M631" s="5" t="s">
        <v>8</v>
      </c>
      <c r="N631" s="5" t="s">
        <v>80</v>
      </c>
      <c r="O631" s="5" t="str">
        <f>IF(B631="","",IFERROR(LOOKUP(2,1/('Call Log'!$C$2:$C$5000=B631),'Call Log'!$B$2:$B$5000),""))</f>
        <v/>
      </c>
      <c r="P631" s="5">
        <f>IF(B631="","",COUNTIFS('Call Log'!$C$2:$C$5000,B631,'Call Log'!$A$2:$A$5000,"&gt;="&amp;(TODAY()-WEEKDAY(TODAY(),2)+1)))</f>
        <v>0</v>
      </c>
      <c r="Q631" s="5">
        <f>IF(B631="","",COUNTIF('Call Log'!$C$2:$C$5000,B631))</f>
        <v>0</v>
      </c>
      <c r="R631" s="21" t="str">
        <f>IF(B631="","",IFERROR(IF(MAXIFS('Call Log'!$A$2:$A$5000,'Call Log'!$C$2:$C$5000,B631)=0,"",MAXIFS('Call Log'!$A$2:$A$5000,'Call Log'!$C$2:$C$5000,B631)),""))</f>
        <v/>
      </c>
      <c r="S631" s="5"/>
      <c r="T631" s="21"/>
      <c r="U631" s="21"/>
      <c r="V631" s="5"/>
      <c r="W631" s="20"/>
      <c r="X631" s="5"/>
      <c r="Y631" s="5"/>
      <c r="Z631" s="5"/>
      <c r="AA631" s="5" t="s">
        <v>3556</v>
      </c>
    </row>
    <row r="632" ht="15.0" customHeight="1">
      <c r="A632" s="5" t="s">
        <v>3588</v>
      </c>
      <c r="B632" s="5" t="s">
        <v>3589</v>
      </c>
      <c r="C632" s="5"/>
      <c r="D632" s="5"/>
      <c r="E632" s="5">
        <v>3.0</v>
      </c>
      <c r="F632" s="20">
        <v>567000.0</v>
      </c>
      <c r="G632" s="20">
        <v>4724000.0</v>
      </c>
      <c r="H632" s="5" t="s">
        <v>40</v>
      </c>
      <c r="I632" s="5" t="s">
        <v>206</v>
      </c>
      <c r="J632" s="5" t="s">
        <v>114</v>
      </c>
      <c r="K632" s="5" t="s">
        <v>3590</v>
      </c>
      <c r="L632" s="5"/>
      <c r="M632" s="5" t="s">
        <v>8</v>
      </c>
      <c r="N632" s="5" t="s">
        <v>80</v>
      </c>
      <c r="O632" s="5" t="str">
        <f>IF(B632="","",IFERROR(LOOKUP(2,1/('Call Log'!$C$2:$C$5000=B632),'Call Log'!$B$2:$B$5000),""))</f>
        <v/>
      </c>
      <c r="P632" s="5">
        <f>IF(B632="","",COUNTIFS('Call Log'!$C$2:$C$5000,B632,'Call Log'!$A$2:$A$5000,"&gt;="&amp;(TODAY()-WEEKDAY(TODAY(),2)+1)))</f>
        <v>0</v>
      </c>
      <c r="Q632" s="5">
        <f>IF(B632="","",COUNTIF('Call Log'!$C$2:$C$5000,B632))</f>
        <v>0</v>
      </c>
      <c r="R632" s="21" t="str">
        <f>IF(B632="","",IFERROR(IF(MAXIFS('Call Log'!$A$2:$A$5000,'Call Log'!$C$2:$C$5000,B632)=0,"",MAXIFS('Call Log'!$A$2:$A$5000,'Call Log'!$C$2:$C$5000,B632)),""))</f>
        <v/>
      </c>
      <c r="S632" s="5"/>
      <c r="T632" s="21"/>
      <c r="U632" s="21"/>
      <c r="V632" s="5"/>
      <c r="W632" s="20"/>
      <c r="X632" s="5"/>
      <c r="Y632" s="5"/>
      <c r="Z632" s="5"/>
      <c r="AA632" s="5" t="s">
        <v>3556</v>
      </c>
    </row>
    <row r="633" ht="15.0" customHeight="1">
      <c r="A633" s="5" t="s">
        <v>3591</v>
      </c>
      <c r="B633" s="5" t="s">
        <v>3592</v>
      </c>
      <c r="C633" s="5"/>
      <c r="D633" s="5" t="s">
        <v>3593</v>
      </c>
      <c r="E633" s="5">
        <v>11.0</v>
      </c>
      <c r="F633" s="20">
        <v>411000.0</v>
      </c>
      <c r="G633" s="20">
        <v>3428000.0</v>
      </c>
      <c r="H633" s="5" t="s">
        <v>41</v>
      </c>
      <c r="I633" s="5" t="s">
        <v>370</v>
      </c>
      <c r="J633" s="5" t="s">
        <v>114</v>
      </c>
      <c r="K633" s="5" t="s">
        <v>3594</v>
      </c>
      <c r="L633" s="5"/>
      <c r="M633" s="5" t="s">
        <v>8</v>
      </c>
      <c r="N633" s="5" t="s">
        <v>80</v>
      </c>
      <c r="O633" s="5" t="str">
        <f>IF(B633="","",IFERROR(LOOKUP(2,1/('Call Log'!$C$2:$C$5000=B633),'Call Log'!$B$2:$B$5000),""))</f>
        <v/>
      </c>
      <c r="P633" s="5">
        <f>IF(B633="","",COUNTIFS('Call Log'!$C$2:$C$5000,B633,'Call Log'!$A$2:$A$5000,"&gt;="&amp;(TODAY()-WEEKDAY(TODAY(),2)+1)))</f>
        <v>0</v>
      </c>
      <c r="Q633" s="5">
        <f>IF(B633="","",COUNTIF('Call Log'!$C$2:$C$5000,B633))</f>
        <v>0</v>
      </c>
      <c r="R633" s="21" t="str">
        <f>IF(B633="","",IFERROR(IF(MAXIFS('Call Log'!$A$2:$A$5000,'Call Log'!$C$2:$C$5000,B633)=0,"",MAXIFS('Call Log'!$A$2:$A$5000,'Call Log'!$C$2:$C$5000,B633)),""))</f>
        <v/>
      </c>
      <c r="S633" s="5"/>
      <c r="T633" s="21"/>
      <c r="U633" s="21"/>
      <c r="V633" s="5"/>
      <c r="W633" s="20"/>
      <c r="X633" s="5"/>
      <c r="Y633" s="5"/>
      <c r="Z633" s="5"/>
      <c r="AA633" s="5" t="s">
        <v>3595</v>
      </c>
    </row>
    <row r="634" ht="15.0" customHeight="1">
      <c r="A634" s="5" t="s">
        <v>3596</v>
      </c>
      <c r="B634" s="5" t="s">
        <v>3597</v>
      </c>
      <c r="C634" s="5"/>
      <c r="D634" s="5"/>
      <c r="E634" s="5">
        <v>5.0</v>
      </c>
      <c r="F634" s="20">
        <v>384000.0</v>
      </c>
      <c r="G634" s="20">
        <v>3200000.0</v>
      </c>
      <c r="H634" s="5" t="s">
        <v>40</v>
      </c>
      <c r="I634" s="5" t="s">
        <v>161</v>
      </c>
      <c r="J634" s="5" t="s">
        <v>114</v>
      </c>
      <c r="K634" s="5" t="s">
        <v>3598</v>
      </c>
      <c r="L634" s="5"/>
      <c r="M634" s="5" t="s">
        <v>8</v>
      </c>
      <c r="N634" s="5" t="s">
        <v>80</v>
      </c>
      <c r="O634" s="5" t="str">
        <f>IF(B634="","",IFERROR(LOOKUP(2,1/('Call Log'!$C$2:$C$5000=B634),'Call Log'!$B$2:$B$5000),""))</f>
        <v/>
      </c>
      <c r="P634" s="5">
        <f>IF(B634="","",COUNTIFS('Call Log'!$C$2:$C$5000,B634,'Call Log'!$A$2:$A$5000,"&gt;="&amp;(TODAY()-WEEKDAY(TODAY(),2)+1)))</f>
        <v>0</v>
      </c>
      <c r="Q634" s="5">
        <f>IF(B634="","",COUNTIF('Call Log'!$C$2:$C$5000,B634))</f>
        <v>0</v>
      </c>
      <c r="R634" s="21" t="str">
        <f>IF(B634="","",IFERROR(IF(MAXIFS('Call Log'!$A$2:$A$5000,'Call Log'!$C$2:$C$5000,B634)=0,"",MAXIFS('Call Log'!$A$2:$A$5000,'Call Log'!$C$2:$C$5000,B634)),""))</f>
        <v/>
      </c>
      <c r="S634" s="5"/>
      <c r="T634" s="21"/>
      <c r="U634" s="21"/>
      <c r="V634" s="5"/>
      <c r="W634" s="20"/>
      <c r="X634" s="5"/>
      <c r="Y634" s="5"/>
      <c r="Z634" s="5"/>
      <c r="AA634" s="5" t="s">
        <v>3599</v>
      </c>
    </row>
    <row r="635" ht="15.0" customHeight="1">
      <c r="A635" s="5" t="s">
        <v>3600</v>
      </c>
      <c r="B635" s="5" t="s">
        <v>3601</v>
      </c>
      <c r="C635" s="5"/>
      <c r="D635" s="5"/>
      <c r="E635" s="5"/>
      <c r="F635" s="20">
        <v>313000.0</v>
      </c>
      <c r="G635" s="20">
        <v>2610000.0</v>
      </c>
      <c r="H635" s="5" t="s">
        <v>41</v>
      </c>
      <c r="I635" s="5" t="s">
        <v>667</v>
      </c>
      <c r="J635" s="5" t="s">
        <v>114</v>
      </c>
      <c r="K635" s="5" t="s">
        <v>3602</v>
      </c>
      <c r="L635" s="5"/>
      <c r="M635" s="5" t="s">
        <v>8</v>
      </c>
      <c r="N635" s="5" t="s">
        <v>80</v>
      </c>
      <c r="O635" s="5" t="str">
        <f>IF(B635="","",IFERROR(LOOKUP(2,1/('Call Log'!$C$2:$C$5000=B635),'Call Log'!$B$2:$B$5000),""))</f>
        <v/>
      </c>
      <c r="P635" s="5">
        <f>IF(B635="","",COUNTIFS('Call Log'!$C$2:$C$5000,B635,'Call Log'!$A$2:$A$5000,"&gt;="&amp;(TODAY()-WEEKDAY(TODAY(),2)+1)))</f>
        <v>0</v>
      </c>
      <c r="Q635" s="5">
        <f>IF(B635="","",COUNTIF('Call Log'!$C$2:$C$5000,B635))</f>
        <v>0</v>
      </c>
      <c r="R635" s="21" t="str">
        <f>IF(B635="","",IFERROR(IF(MAXIFS('Call Log'!$A$2:$A$5000,'Call Log'!$C$2:$C$5000,B635)=0,"",MAXIFS('Call Log'!$A$2:$A$5000,'Call Log'!$C$2:$C$5000,B635)),""))</f>
        <v/>
      </c>
      <c r="S635" s="5"/>
      <c r="T635" s="21"/>
      <c r="U635" s="21"/>
      <c r="V635" s="5"/>
      <c r="W635" s="20"/>
      <c r="X635" s="5"/>
      <c r="Y635" s="5"/>
      <c r="Z635" s="5"/>
      <c r="AA635" s="5" t="s">
        <v>3603</v>
      </c>
    </row>
    <row r="636" ht="15.0" customHeight="1">
      <c r="A636" s="5" t="s">
        <v>3604</v>
      </c>
      <c r="B636" s="5" t="s">
        <v>3605</v>
      </c>
      <c r="C636" s="5"/>
      <c r="D636" s="5"/>
      <c r="E636" s="5">
        <v>72.0</v>
      </c>
      <c r="F636" s="20"/>
      <c r="G636" s="20"/>
      <c r="H636" s="5" t="s">
        <v>41</v>
      </c>
      <c r="I636" s="5" t="s">
        <v>175</v>
      </c>
      <c r="J636" s="5" t="s">
        <v>114</v>
      </c>
      <c r="K636" s="5" t="s">
        <v>3606</v>
      </c>
      <c r="L636" s="5"/>
      <c r="M636" s="5" t="s">
        <v>8</v>
      </c>
      <c r="N636" s="5" t="s">
        <v>80</v>
      </c>
      <c r="O636" s="5" t="str">
        <f>IF(B636="","",IFERROR(LOOKUP(2,1/('Call Log'!$C$2:$C$5000=B636),'Call Log'!$B$2:$B$5000),""))</f>
        <v/>
      </c>
      <c r="P636" s="5">
        <f>IF(B636="","",COUNTIFS('Call Log'!$C$2:$C$5000,B636,'Call Log'!$A$2:$A$5000,"&gt;="&amp;(TODAY()-WEEKDAY(TODAY(),2)+1)))</f>
        <v>0</v>
      </c>
      <c r="Q636" s="5">
        <f>IF(B636="","",COUNTIF('Call Log'!$C$2:$C$5000,B636))</f>
        <v>0</v>
      </c>
      <c r="R636" s="21" t="str">
        <f>IF(B636="","",IFERROR(IF(MAXIFS('Call Log'!$A$2:$A$5000,'Call Log'!$C$2:$C$5000,B636)=0,"",MAXIFS('Call Log'!$A$2:$A$5000,'Call Log'!$C$2:$C$5000,B636)),""))</f>
        <v/>
      </c>
      <c r="S636" s="5"/>
      <c r="T636" s="21"/>
      <c r="U636" s="21"/>
      <c r="V636" s="5"/>
      <c r="W636" s="20"/>
      <c r="X636" s="5"/>
      <c r="Y636" s="5"/>
      <c r="Z636" s="5"/>
      <c r="AA636" s="5" t="s">
        <v>3607</v>
      </c>
    </row>
    <row r="637" ht="15.0" customHeight="1">
      <c r="A637" s="5" t="s">
        <v>3608</v>
      </c>
      <c r="B637" s="5" t="s">
        <v>3609</v>
      </c>
      <c r="C637" s="5"/>
      <c r="D637" s="5"/>
      <c r="E637" s="5">
        <v>27.0</v>
      </c>
      <c r="F637" s="20"/>
      <c r="G637" s="20"/>
      <c r="H637" s="5" t="s">
        <v>43</v>
      </c>
      <c r="I637" s="5" t="s">
        <v>161</v>
      </c>
      <c r="J637" s="5" t="s">
        <v>114</v>
      </c>
      <c r="K637" s="5" t="s">
        <v>3610</v>
      </c>
      <c r="L637" s="5"/>
      <c r="M637" s="5" t="s">
        <v>8</v>
      </c>
      <c r="N637" s="5" t="s">
        <v>80</v>
      </c>
      <c r="O637" s="5" t="str">
        <f>IF(B637="","",IFERROR(LOOKUP(2,1/('Call Log'!$C$2:$C$5000=B637),'Call Log'!$B$2:$B$5000),""))</f>
        <v/>
      </c>
      <c r="P637" s="5">
        <f>IF(B637="","",COUNTIFS('Call Log'!$C$2:$C$5000,B637,'Call Log'!$A$2:$A$5000,"&gt;="&amp;(TODAY()-WEEKDAY(TODAY(),2)+1)))</f>
        <v>0</v>
      </c>
      <c r="Q637" s="5">
        <f>IF(B637="","",COUNTIF('Call Log'!$C$2:$C$5000,B637))</f>
        <v>0</v>
      </c>
      <c r="R637" s="21" t="str">
        <f>IF(B637="","",IFERROR(IF(MAXIFS('Call Log'!$A$2:$A$5000,'Call Log'!$C$2:$C$5000,B637)=0,"",MAXIFS('Call Log'!$A$2:$A$5000,'Call Log'!$C$2:$C$5000,B637)),""))</f>
        <v/>
      </c>
      <c r="S637" s="5"/>
      <c r="T637" s="21"/>
      <c r="U637" s="21"/>
      <c r="V637" s="5"/>
      <c r="W637" s="20"/>
      <c r="X637" s="5"/>
      <c r="Y637" s="5"/>
      <c r="Z637" s="5"/>
      <c r="AA637" s="5"/>
    </row>
    <row r="638" ht="15.0" customHeight="1">
      <c r="A638" s="5" t="s">
        <v>3611</v>
      </c>
      <c r="B638" s="5" t="s">
        <v>3612</v>
      </c>
      <c r="C638" s="5"/>
      <c r="D638" s="5" t="s">
        <v>608</v>
      </c>
      <c r="E638" s="5">
        <v>27.0</v>
      </c>
      <c r="F638" s="20"/>
      <c r="G638" s="20"/>
      <c r="H638" s="5" t="s">
        <v>40</v>
      </c>
      <c r="I638" s="5" t="s">
        <v>113</v>
      </c>
      <c r="J638" s="5" t="s">
        <v>114</v>
      </c>
      <c r="K638" s="5" t="s">
        <v>3613</v>
      </c>
      <c r="L638" s="5"/>
      <c r="M638" s="5" t="s">
        <v>8</v>
      </c>
      <c r="N638" s="5" t="s">
        <v>80</v>
      </c>
      <c r="O638" s="5" t="str">
        <f>IF(B638="","",IFERROR(LOOKUP(2,1/('Call Log'!$C$2:$C$5000=B638),'Call Log'!$B$2:$B$5000),""))</f>
        <v/>
      </c>
      <c r="P638" s="5">
        <f>IF(B638="","",COUNTIFS('Call Log'!$C$2:$C$5000,B638,'Call Log'!$A$2:$A$5000,"&gt;="&amp;(TODAY()-WEEKDAY(TODAY(),2)+1)))</f>
        <v>0</v>
      </c>
      <c r="Q638" s="5">
        <f>IF(B638="","",COUNTIF('Call Log'!$C$2:$C$5000,B638))</f>
        <v>0</v>
      </c>
      <c r="R638" s="21" t="str">
        <f>IF(B638="","",IFERROR(IF(MAXIFS('Call Log'!$A$2:$A$5000,'Call Log'!$C$2:$C$5000,B638)=0,"",MAXIFS('Call Log'!$A$2:$A$5000,'Call Log'!$C$2:$C$5000,B638)),""))</f>
        <v/>
      </c>
      <c r="S638" s="5"/>
      <c r="T638" s="21"/>
      <c r="U638" s="21"/>
      <c r="V638" s="5"/>
      <c r="W638" s="20"/>
      <c r="X638" s="5"/>
      <c r="Y638" s="5"/>
      <c r="Z638" s="5"/>
      <c r="AA638" s="5" t="s">
        <v>3614</v>
      </c>
    </row>
    <row r="639" ht="15.0" customHeight="1">
      <c r="A639" s="5" t="s">
        <v>3615</v>
      </c>
      <c r="B639" s="5" t="s">
        <v>3616</v>
      </c>
      <c r="C639" s="5"/>
      <c r="D639" s="5"/>
      <c r="E639" s="5">
        <v>27.0</v>
      </c>
      <c r="F639" s="20"/>
      <c r="G639" s="20"/>
      <c r="H639" s="5" t="s">
        <v>41</v>
      </c>
      <c r="I639" s="5" t="s">
        <v>146</v>
      </c>
      <c r="J639" s="5" t="s">
        <v>114</v>
      </c>
      <c r="K639" s="5" t="s">
        <v>3617</v>
      </c>
      <c r="L639" s="5"/>
      <c r="M639" s="5" t="s">
        <v>8</v>
      </c>
      <c r="N639" s="5" t="s">
        <v>80</v>
      </c>
      <c r="O639" s="5" t="str">
        <f>IF(B639="","",IFERROR(LOOKUP(2,1/('Call Log'!$C$2:$C$5000=B639),'Call Log'!$B$2:$B$5000),""))</f>
        <v/>
      </c>
      <c r="P639" s="5">
        <f>IF(B639="","",COUNTIFS('Call Log'!$C$2:$C$5000,B639,'Call Log'!$A$2:$A$5000,"&gt;="&amp;(TODAY()-WEEKDAY(TODAY(),2)+1)))</f>
        <v>0</v>
      </c>
      <c r="Q639" s="5">
        <f>IF(B639="","",COUNTIF('Call Log'!$C$2:$C$5000,B639))</f>
        <v>0</v>
      </c>
      <c r="R639" s="21" t="str">
        <f>IF(B639="","",IFERROR(IF(MAXIFS('Call Log'!$A$2:$A$5000,'Call Log'!$C$2:$C$5000,B639)=0,"",MAXIFS('Call Log'!$A$2:$A$5000,'Call Log'!$C$2:$C$5000,B639)),""))</f>
        <v/>
      </c>
      <c r="S639" s="5"/>
      <c r="T639" s="21"/>
      <c r="U639" s="21"/>
      <c r="V639" s="5"/>
      <c r="W639" s="20"/>
      <c r="X639" s="5"/>
      <c r="Y639" s="5"/>
      <c r="Z639" s="5" t="s">
        <v>132</v>
      </c>
      <c r="AA639" s="5" t="s">
        <v>3618</v>
      </c>
    </row>
    <row r="640" ht="15.0" customHeight="1">
      <c r="A640" s="5" t="s">
        <v>3619</v>
      </c>
      <c r="B640" s="5" t="s">
        <v>3620</v>
      </c>
      <c r="C640" s="5"/>
      <c r="D640" s="5"/>
      <c r="E640" s="5"/>
      <c r="F640" s="20"/>
      <c r="G640" s="20"/>
      <c r="H640" s="5" t="s">
        <v>41</v>
      </c>
      <c r="I640" s="5" t="s">
        <v>206</v>
      </c>
      <c r="J640" s="5" t="s">
        <v>114</v>
      </c>
      <c r="K640" s="5" t="s">
        <v>3621</v>
      </c>
      <c r="L640" s="5"/>
      <c r="M640" s="5" t="s">
        <v>8</v>
      </c>
      <c r="N640" s="5" t="s">
        <v>80</v>
      </c>
      <c r="O640" s="5" t="str">
        <f>IF(B640="","",IFERROR(LOOKUP(2,1/('Call Log'!$C$2:$C$5000=B640),'Call Log'!$B$2:$B$5000),""))</f>
        <v/>
      </c>
      <c r="P640" s="5">
        <f>IF(B640="","",COUNTIFS('Call Log'!$C$2:$C$5000,B640,'Call Log'!$A$2:$A$5000,"&gt;="&amp;(TODAY()-WEEKDAY(TODAY(),2)+1)))</f>
        <v>0</v>
      </c>
      <c r="Q640" s="5">
        <f>IF(B640="","",COUNTIF('Call Log'!$C$2:$C$5000,B640))</f>
        <v>0</v>
      </c>
      <c r="R640" s="21" t="str">
        <f>IF(B640="","",IFERROR(IF(MAXIFS('Call Log'!$A$2:$A$5000,'Call Log'!$C$2:$C$5000,B640)=0,"",MAXIFS('Call Log'!$A$2:$A$5000,'Call Log'!$C$2:$C$5000,B640)),""))</f>
        <v/>
      </c>
      <c r="S640" s="5"/>
      <c r="T640" s="21"/>
      <c r="U640" s="21"/>
      <c r="V640" s="5"/>
      <c r="W640" s="20"/>
      <c r="X640" s="5"/>
      <c r="Y640" s="5"/>
      <c r="Z640" s="5"/>
      <c r="AA640" s="5"/>
    </row>
    <row r="641" ht="15.0" customHeight="1">
      <c r="A641" s="5" t="s">
        <v>3622</v>
      </c>
      <c r="B641" s="5" t="s">
        <v>3623</v>
      </c>
      <c r="C641" s="5"/>
      <c r="D641" s="5"/>
      <c r="E641" s="5">
        <v>1.0</v>
      </c>
      <c r="F641" s="20"/>
      <c r="G641" s="20"/>
      <c r="H641" s="5" t="s">
        <v>40</v>
      </c>
      <c r="I641" s="5" t="s">
        <v>146</v>
      </c>
      <c r="J641" s="5" t="s">
        <v>114</v>
      </c>
      <c r="K641" s="5" t="s">
        <v>3624</v>
      </c>
      <c r="L641" s="5"/>
      <c r="M641" s="5" t="s">
        <v>8</v>
      </c>
      <c r="N641" s="5" t="s">
        <v>80</v>
      </c>
      <c r="O641" s="5" t="str">
        <f>IF(B641="","",IFERROR(LOOKUP(2,1/('Call Log'!$C$2:$C$5000=B641),'Call Log'!$B$2:$B$5000),""))</f>
        <v/>
      </c>
      <c r="P641" s="5">
        <f>IF(B641="","",COUNTIFS('Call Log'!$C$2:$C$5000,B641,'Call Log'!$A$2:$A$5000,"&gt;="&amp;(TODAY()-WEEKDAY(TODAY(),2)+1)))</f>
        <v>0</v>
      </c>
      <c r="Q641" s="5">
        <f>IF(B641="","",COUNTIF('Call Log'!$C$2:$C$5000,B641))</f>
        <v>0</v>
      </c>
      <c r="R641" s="21" t="str">
        <f>IF(B641="","",IFERROR(IF(MAXIFS('Call Log'!$A$2:$A$5000,'Call Log'!$C$2:$C$5000,B641)=0,"",MAXIFS('Call Log'!$A$2:$A$5000,'Call Log'!$C$2:$C$5000,B641)),""))</f>
        <v/>
      </c>
      <c r="S641" s="5"/>
      <c r="T641" s="21"/>
      <c r="U641" s="21"/>
      <c r="V641" s="5"/>
      <c r="W641" s="20"/>
      <c r="X641" s="5"/>
      <c r="Y641" s="5"/>
      <c r="Z641" s="5"/>
      <c r="AA641" s="5"/>
    </row>
    <row r="642" ht="15.0" customHeight="1">
      <c r="A642" s="5" t="s">
        <v>3625</v>
      </c>
      <c r="B642" s="5" t="s">
        <v>3626</v>
      </c>
      <c r="C642" s="5"/>
      <c r="D642" s="5"/>
      <c r="E642" s="5">
        <v>3.0</v>
      </c>
      <c r="F642" s="20"/>
      <c r="G642" s="20"/>
      <c r="H642" s="5" t="s">
        <v>40</v>
      </c>
      <c r="I642" s="5" t="s">
        <v>547</v>
      </c>
      <c r="J642" s="5" t="s">
        <v>114</v>
      </c>
      <c r="K642" s="5" t="s">
        <v>3627</v>
      </c>
      <c r="L642" s="5"/>
      <c r="M642" s="5" t="s">
        <v>8</v>
      </c>
      <c r="N642" s="5" t="s">
        <v>80</v>
      </c>
      <c r="O642" s="5" t="str">
        <f>IF(B642="","",IFERROR(LOOKUP(2,1/('Call Log'!$C$2:$C$5000=B642),'Call Log'!$B$2:$B$5000),""))</f>
        <v/>
      </c>
      <c r="P642" s="5">
        <f>IF(B642="","",COUNTIFS('Call Log'!$C$2:$C$5000,B642,'Call Log'!$A$2:$A$5000,"&gt;="&amp;(TODAY()-WEEKDAY(TODAY(),2)+1)))</f>
        <v>0</v>
      </c>
      <c r="Q642" s="5">
        <f>IF(B642="","",COUNTIF('Call Log'!$C$2:$C$5000,B642))</f>
        <v>0</v>
      </c>
      <c r="R642" s="21" t="str">
        <f>IF(B642="","",IFERROR(IF(MAXIFS('Call Log'!$A$2:$A$5000,'Call Log'!$C$2:$C$5000,B642)=0,"",MAXIFS('Call Log'!$A$2:$A$5000,'Call Log'!$C$2:$C$5000,B642)),""))</f>
        <v/>
      </c>
      <c r="S642" s="5"/>
      <c r="T642" s="21"/>
      <c r="U642" s="21"/>
      <c r="V642" s="5"/>
      <c r="W642" s="20"/>
      <c r="X642" s="5"/>
      <c r="Y642" s="5"/>
      <c r="Z642" s="5"/>
      <c r="AA642" s="5"/>
    </row>
    <row r="643" ht="15.0" customHeight="1">
      <c r="A643" s="5" t="s">
        <v>3628</v>
      </c>
      <c r="B643" s="5" t="s">
        <v>3629</v>
      </c>
      <c r="C643" s="5"/>
      <c r="D643" s="5"/>
      <c r="E643" s="5">
        <v>20.0</v>
      </c>
      <c r="F643" s="20"/>
      <c r="G643" s="20"/>
      <c r="H643" s="5" t="s">
        <v>41</v>
      </c>
      <c r="I643" s="5" t="s">
        <v>1055</v>
      </c>
      <c r="J643" s="5" t="s">
        <v>114</v>
      </c>
      <c r="K643" s="5" t="s">
        <v>3630</v>
      </c>
      <c r="L643" s="5"/>
      <c r="M643" s="5" t="s">
        <v>8</v>
      </c>
      <c r="N643" s="5" t="s">
        <v>80</v>
      </c>
      <c r="O643" s="5" t="str">
        <f>IF(B643="","",IFERROR(LOOKUP(2,1/('Call Log'!$C$2:$C$5000=B643),'Call Log'!$B$2:$B$5000),""))</f>
        <v/>
      </c>
      <c r="P643" s="5">
        <f>IF(B643="","",COUNTIFS('Call Log'!$C$2:$C$5000,B643,'Call Log'!$A$2:$A$5000,"&gt;="&amp;(TODAY()-WEEKDAY(TODAY(),2)+1)))</f>
        <v>0</v>
      </c>
      <c r="Q643" s="5">
        <f>IF(B643="","",COUNTIF('Call Log'!$C$2:$C$5000,B643))</f>
        <v>0</v>
      </c>
      <c r="R643" s="21" t="str">
        <f>IF(B643="","",IFERROR(IF(MAXIFS('Call Log'!$A$2:$A$5000,'Call Log'!$C$2:$C$5000,B643)=0,"",MAXIFS('Call Log'!$A$2:$A$5000,'Call Log'!$C$2:$C$5000,B643)),""))</f>
        <v/>
      </c>
      <c r="S643" s="5"/>
      <c r="T643" s="21"/>
      <c r="U643" s="21"/>
      <c r="V643" s="5"/>
      <c r="W643" s="20"/>
      <c r="X643" s="5"/>
      <c r="Y643" s="5"/>
      <c r="Z643" s="5"/>
      <c r="AA643" s="5" t="s">
        <v>3631</v>
      </c>
    </row>
    <row r="644" ht="15.0" customHeight="1">
      <c r="A644" s="5" t="s">
        <v>3632</v>
      </c>
      <c r="B644" s="5" t="s">
        <v>3633</v>
      </c>
      <c r="C644" s="5"/>
      <c r="D644" s="5" t="s">
        <v>3634</v>
      </c>
      <c r="E644" s="5">
        <v>3.0</v>
      </c>
      <c r="F644" s="20"/>
      <c r="G644" s="20"/>
      <c r="H644" s="5" t="s">
        <v>40</v>
      </c>
      <c r="I644" s="5" t="s">
        <v>904</v>
      </c>
      <c r="J644" s="5" t="s">
        <v>114</v>
      </c>
      <c r="K644" s="5" t="s">
        <v>3635</v>
      </c>
      <c r="L644" s="5"/>
      <c r="M644" s="5" t="s">
        <v>8</v>
      </c>
      <c r="N644" s="5" t="s">
        <v>80</v>
      </c>
      <c r="O644" s="5" t="str">
        <f>IF(B644="","",IFERROR(LOOKUP(2,1/('Call Log'!$C$2:$C$5000=B644),'Call Log'!$B$2:$B$5000),""))</f>
        <v/>
      </c>
      <c r="P644" s="5">
        <f>IF(B644="","",COUNTIFS('Call Log'!$C$2:$C$5000,B644,'Call Log'!$A$2:$A$5000,"&gt;="&amp;(TODAY()-WEEKDAY(TODAY(),2)+1)))</f>
        <v>0</v>
      </c>
      <c r="Q644" s="5">
        <f>IF(B644="","",COUNTIF('Call Log'!$C$2:$C$5000,B644))</f>
        <v>0</v>
      </c>
      <c r="R644" s="21" t="str">
        <f>IF(B644="","",IFERROR(IF(MAXIFS('Call Log'!$A$2:$A$5000,'Call Log'!$C$2:$C$5000,B644)=0,"",MAXIFS('Call Log'!$A$2:$A$5000,'Call Log'!$C$2:$C$5000,B644)),""))</f>
        <v/>
      </c>
      <c r="S644" s="5"/>
      <c r="T644" s="21"/>
      <c r="U644" s="21"/>
      <c r="V644" s="5"/>
      <c r="W644" s="20"/>
      <c r="X644" s="5"/>
      <c r="Y644" s="5"/>
      <c r="Z644" s="5"/>
      <c r="AA644" s="5" t="s">
        <v>3636</v>
      </c>
    </row>
    <row r="645" ht="15.0" customHeight="1">
      <c r="A645" s="5" t="s">
        <v>3637</v>
      </c>
      <c r="B645" s="5" t="s">
        <v>3638</v>
      </c>
      <c r="C645" s="5"/>
      <c r="D645" s="5" t="s">
        <v>608</v>
      </c>
      <c r="E645" s="5">
        <v>20.0</v>
      </c>
      <c r="F645" s="20"/>
      <c r="G645" s="20"/>
      <c r="H645" s="5" t="s">
        <v>40</v>
      </c>
      <c r="I645" s="5" t="s">
        <v>213</v>
      </c>
      <c r="J645" s="5" t="s">
        <v>114</v>
      </c>
      <c r="K645" s="5" t="s">
        <v>3639</v>
      </c>
      <c r="L645" s="5"/>
      <c r="M645" s="5" t="s">
        <v>8</v>
      </c>
      <c r="N645" s="5" t="s">
        <v>80</v>
      </c>
      <c r="O645" s="5" t="str">
        <f>IF(B645="","",IFERROR(LOOKUP(2,1/('Call Log'!$C$2:$C$5000=B645),'Call Log'!$B$2:$B$5000),""))</f>
        <v/>
      </c>
      <c r="P645" s="5">
        <f>IF(B645="","",COUNTIFS('Call Log'!$C$2:$C$5000,B645,'Call Log'!$A$2:$A$5000,"&gt;="&amp;(TODAY()-WEEKDAY(TODAY(),2)+1)))</f>
        <v>0</v>
      </c>
      <c r="Q645" s="5">
        <f>IF(B645="","",COUNTIF('Call Log'!$C$2:$C$5000,B645))</f>
        <v>0</v>
      </c>
      <c r="R645" s="21" t="str">
        <f>IF(B645="","",IFERROR(IF(MAXIFS('Call Log'!$A$2:$A$5000,'Call Log'!$C$2:$C$5000,B645)=0,"",MAXIFS('Call Log'!$A$2:$A$5000,'Call Log'!$C$2:$C$5000,B645)),""))</f>
        <v/>
      </c>
      <c r="S645" s="5"/>
      <c r="T645" s="21"/>
      <c r="U645" s="21"/>
      <c r="V645" s="5"/>
      <c r="W645" s="20"/>
      <c r="X645" s="5"/>
      <c r="Y645" s="5"/>
      <c r="Z645" s="5"/>
      <c r="AA645" s="5" t="s">
        <v>3640</v>
      </c>
    </row>
    <row r="646" ht="15.0" customHeight="1">
      <c r="A646" s="5" t="s">
        <v>3641</v>
      </c>
      <c r="B646" s="5" t="s">
        <v>3642</v>
      </c>
      <c r="C646" s="5"/>
      <c r="D646" s="5"/>
      <c r="E646" s="5"/>
      <c r="F646" s="20"/>
      <c r="G646" s="20"/>
      <c r="H646" s="5" t="s">
        <v>40</v>
      </c>
      <c r="I646" s="5" t="s">
        <v>122</v>
      </c>
      <c r="J646" s="5" t="s">
        <v>114</v>
      </c>
      <c r="K646" s="5" t="s">
        <v>3643</v>
      </c>
      <c r="L646" s="5"/>
      <c r="M646" s="5" t="s">
        <v>8</v>
      </c>
      <c r="N646" s="5" t="s">
        <v>80</v>
      </c>
      <c r="O646" s="5" t="str">
        <f>IF(B646="","",IFERROR(LOOKUP(2,1/('Call Log'!$C$2:$C$5000=B646),'Call Log'!$B$2:$B$5000),""))</f>
        <v/>
      </c>
      <c r="P646" s="5">
        <f>IF(B646="","",COUNTIFS('Call Log'!$C$2:$C$5000,B646,'Call Log'!$A$2:$A$5000,"&gt;="&amp;(TODAY()-WEEKDAY(TODAY(),2)+1)))</f>
        <v>0</v>
      </c>
      <c r="Q646" s="5">
        <f>IF(B646="","",COUNTIF('Call Log'!$C$2:$C$5000,B646))</f>
        <v>0</v>
      </c>
      <c r="R646" s="21" t="str">
        <f>IF(B646="","",IFERROR(IF(MAXIFS('Call Log'!$A$2:$A$5000,'Call Log'!$C$2:$C$5000,B646)=0,"",MAXIFS('Call Log'!$A$2:$A$5000,'Call Log'!$C$2:$C$5000,B646)),""))</f>
        <v/>
      </c>
      <c r="S646" s="5"/>
      <c r="T646" s="21"/>
      <c r="U646" s="21"/>
      <c r="V646" s="5"/>
      <c r="W646" s="20"/>
      <c r="X646" s="5"/>
      <c r="Y646" s="5"/>
      <c r="Z646" s="5"/>
      <c r="AA646" s="5" t="s">
        <v>3644</v>
      </c>
    </row>
    <row r="647" ht="15.0" customHeight="1">
      <c r="A647" s="5" t="s">
        <v>3645</v>
      </c>
      <c r="B647" s="5" t="s">
        <v>3646</v>
      </c>
      <c r="C647" s="5"/>
      <c r="D647" s="5"/>
      <c r="E647" s="5">
        <v>10.0</v>
      </c>
      <c r="F647" s="20"/>
      <c r="G647" s="20"/>
      <c r="H647" s="5" t="s">
        <v>41</v>
      </c>
      <c r="I647" s="5" t="s">
        <v>213</v>
      </c>
      <c r="J647" s="5" t="s">
        <v>114</v>
      </c>
      <c r="K647" s="5" t="s">
        <v>3647</v>
      </c>
      <c r="L647" s="5"/>
      <c r="M647" s="5" t="s">
        <v>8</v>
      </c>
      <c r="N647" s="5" t="s">
        <v>80</v>
      </c>
      <c r="O647" s="5" t="str">
        <f>IF(B647="","",IFERROR(LOOKUP(2,1/('Call Log'!$C$2:$C$5000=B647),'Call Log'!$B$2:$B$5000),""))</f>
        <v/>
      </c>
      <c r="P647" s="5">
        <f>IF(B647="","",COUNTIFS('Call Log'!$C$2:$C$5000,B647,'Call Log'!$A$2:$A$5000,"&gt;="&amp;(TODAY()-WEEKDAY(TODAY(),2)+1)))</f>
        <v>0</v>
      </c>
      <c r="Q647" s="5">
        <f>IF(B647="","",COUNTIF('Call Log'!$C$2:$C$5000,B647))</f>
        <v>0</v>
      </c>
      <c r="R647" s="21" t="str">
        <f>IF(B647="","",IFERROR(IF(MAXIFS('Call Log'!$A$2:$A$5000,'Call Log'!$C$2:$C$5000,B647)=0,"",MAXIFS('Call Log'!$A$2:$A$5000,'Call Log'!$C$2:$C$5000,B647)),""))</f>
        <v/>
      </c>
      <c r="S647" s="5"/>
      <c r="T647" s="21"/>
      <c r="U647" s="21"/>
      <c r="V647" s="5"/>
      <c r="W647" s="20"/>
      <c r="X647" s="5"/>
      <c r="Y647" s="5"/>
      <c r="Z647" s="5"/>
      <c r="AA647" s="5" t="s">
        <v>3648</v>
      </c>
    </row>
    <row r="648" ht="15.0" customHeight="1">
      <c r="A648" s="5" t="s">
        <v>3649</v>
      </c>
      <c r="B648" s="5" t="s">
        <v>3650</v>
      </c>
      <c r="C648" s="5"/>
      <c r="D648" s="5"/>
      <c r="E648" s="5"/>
      <c r="F648" s="20"/>
      <c r="G648" s="20"/>
      <c r="H648" s="5" t="s">
        <v>41</v>
      </c>
      <c r="I648" s="5" t="s">
        <v>122</v>
      </c>
      <c r="J648" s="5" t="s">
        <v>114</v>
      </c>
      <c r="K648" s="5" t="s">
        <v>3651</v>
      </c>
      <c r="L648" s="5"/>
      <c r="M648" s="5" t="s">
        <v>8</v>
      </c>
      <c r="N648" s="5" t="s">
        <v>80</v>
      </c>
      <c r="O648" s="5" t="str">
        <f>IF(B648="","",IFERROR(LOOKUP(2,1/('Call Log'!$C$2:$C$5000=B648),'Call Log'!$B$2:$B$5000),""))</f>
        <v/>
      </c>
      <c r="P648" s="5">
        <f>IF(B648="","",COUNTIFS('Call Log'!$C$2:$C$5000,B648,'Call Log'!$A$2:$A$5000,"&gt;="&amp;(TODAY()-WEEKDAY(TODAY(),2)+1)))</f>
        <v>0</v>
      </c>
      <c r="Q648" s="5">
        <f>IF(B648="","",COUNTIF('Call Log'!$C$2:$C$5000,B648))</f>
        <v>0</v>
      </c>
      <c r="R648" s="21" t="str">
        <f>IF(B648="","",IFERROR(IF(MAXIFS('Call Log'!$A$2:$A$5000,'Call Log'!$C$2:$C$5000,B648)=0,"",MAXIFS('Call Log'!$A$2:$A$5000,'Call Log'!$C$2:$C$5000,B648)),""))</f>
        <v/>
      </c>
      <c r="S648" s="5"/>
      <c r="T648" s="21"/>
      <c r="U648" s="21"/>
      <c r="V648" s="5"/>
      <c r="W648" s="20"/>
      <c r="X648" s="5"/>
      <c r="Y648" s="5"/>
      <c r="Z648" s="5"/>
      <c r="AA648" s="5"/>
    </row>
    <row r="649" ht="15.0" customHeight="1">
      <c r="A649" s="5" t="s">
        <v>3652</v>
      </c>
      <c r="B649" s="5" t="s">
        <v>3653</v>
      </c>
      <c r="C649" s="5"/>
      <c r="D649" s="5"/>
      <c r="E649" s="5"/>
      <c r="F649" s="20"/>
      <c r="G649" s="20"/>
      <c r="H649" s="5" t="s">
        <v>41</v>
      </c>
      <c r="I649" s="5" t="s">
        <v>213</v>
      </c>
      <c r="J649" s="5" t="s">
        <v>114</v>
      </c>
      <c r="K649" s="5" t="s">
        <v>3654</v>
      </c>
      <c r="L649" s="5"/>
      <c r="M649" s="5" t="s">
        <v>8</v>
      </c>
      <c r="N649" s="5" t="s">
        <v>80</v>
      </c>
      <c r="O649" s="5" t="str">
        <f>IF(B649="","",IFERROR(LOOKUP(2,1/('Call Log'!$C$2:$C$5000=B649),'Call Log'!$B$2:$B$5000),""))</f>
        <v/>
      </c>
      <c r="P649" s="5">
        <f>IF(B649="","",COUNTIFS('Call Log'!$C$2:$C$5000,B649,'Call Log'!$A$2:$A$5000,"&gt;="&amp;(TODAY()-WEEKDAY(TODAY(),2)+1)))</f>
        <v>0</v>
      </c>
      <c r="Q649" s="5">
        <f>IF(B649="","",COUNTIF('Call Log'!$C$2:$C$5000,B649))</f>
        <v>0</v>
      </c>
      <c r="R649" s="21" t="str">
        <f>IF(B649="","",IFERROR(IF(MAXIFS('Call Log'!$A$2:$A$5000,'Call Log'!$C$2:$C$5000,B649)=0,"",MAXIFS('Call Log'!$A$2:$A$5000,'Call Log'!$C$2:$C$5000,B649)),""))</f>
        <v/>
      </c>
      <c r="S649" s="5"/>
      <c r="T649" s="21"/>
      <c r="U649" s="21"/>
      <c r="V649" s="5"/>
      <c r="W649" s="20"/>
      <c r="X649" s="5"/>
      <c r="Y649" s="5"/>
      <c r="Z649" s="5"/>
      <c r="AA649" s="5"/>
    </row>
    <row r="650" ht="15.0" customHeight="1">
      <c r="A650" s="5" t="s">
        <v>3655</v>
      </c>
      <c r="B650" s="5" t="s">
        <v>3656</v>
      </c>
      <c r="C650" s="5"/>
      <c r="D650" s="5"/>
      <c r="E650" s="5"/>
      <c r="F650" s="20"/>
      <c r="G650" s="20"/>
      <c r="H650" s="5" t="s">
        <v>41</v>
      </c>
      <c r="I650" s="5" t="s">
        <v>113</v>
      </c>
      <c r="J650" s="5" t="s">
        <v>114</v>
      </c>
      <c r="K650" s="5" t="s">
        <v>3657</v>
      </c>
      <c r="L650" s="5"/>
      <c r="M650" s="5" t="s">
        <v>8</v>
      </c>
      <c r="N650" s="5" t="s">
        <v>80</v>
      </c>
      <c r="O650" s="5" t="str">
        <f>IF(B650="","",IFERROR(LOOKUP(2,1/('Call Log'!$C$2:$C$5000=B650),'Call Log'!$B$2:$B$5000),""))</f>
        <v/>
      </c>
      <c r="P650" s="5">
        <f>IF(B650="","",COUNTIFS('Call Log'!$C$2:$C$5000,B650,'Call Log'!$A$2:$A$5000,"&gt;="&amp;(TODAY()-WEEKDAY(TODAY(),2)+1)))</f>
        <v>0</v>
      </c>
      <c r="Q650" s="5">
        <f>IF(B650="","",COUNTIF('Call Log'!$C$2:$C$5000,B650))</f>
        <v>0</v>
      </c>
      <c r="R650" s="21" t="str">
        <f>IF(B650="","",IFERROR(IF(MAXIFS('Call Log'!$A$2:$A$5000,'Call Log'!$C$2:$C$5000,B650)=0,"",MAXIFS('Call Log'!$A$2:$A$5000,'Call Log'!$C$2:$C$5000,B650)),""))</f>
        <v/>
      </c>
      <c r="S650" s="5"/>
      <c r="T650" s="21"/>
      <c r="U650" s="21"/>
      <c r="V650" s="5"/>
      <c r="W650" s="20"/>
      <c r="X650" s="5"/>
      <c r="Y650" s="5"/>
      <c r="Z650" s="5"/>
      <c r="AA650" s="5"/>
    </row>
    <row r="651" ht="15.0" customHeight="1">
      <c r="A651" s="5" t="s">
        <v>3658</v>
      </c>
      <c r="B651" s="5" t="s">
        <v>3659</v>
      </c>
      <c r="C651" s="5"/>
      <c r="D651" s="5"/>
      <c r="E651" s="5">
        <v>4.0</v>
      </c>
      <c r="F651" s="20"/>
      <c r="G651" s="20"/>
      <c r="H651" s="5" t="s">
        <v>40</v>
      </c>
      <c r="I651" s="5" t="s">
        <v>246</v>
      </c>
      <c r="J651" s="5" t="s">
        <v>114</v>
      </c>
      <c r="K651" s="5" t="s">
        <v>3660</v>
      </c>
      <c r="L651" s="5"/>
      <c r="M651" s="5" t="s">
        <v>8</v>
      </c>
      <c r="N651" s="5" t="s">
        <v>80</v>
      </c>
      <c r="O651" s="5" t="str">
        <f>IF(B651="","",IFERROR(LOOKUP(2,1/('Call Log'!$C$2:$C$5000=B651),'Call Log'!$B$2:$B$5000),""))</f>
        <v/>
      </c>
      <c r="P651" s="5">
        <f>IF(B651="","",COUNTIFS('Call Log'!$C$2:$C$5000,B651,'Call Log'!$A$2:$A$5000,"&gt;="&amp;(TODAY()-WEEKDAY(TODAY(),2)+1)))</f>
        <v>0</v>
      </c>
      <c r="Q651" s="5">
        <f>IF(B651="","",COUNTIF('Call Log'!$C$2:$C$5000,B651))</f>
        <v>0</v>
      </c>
      <c r="R651" s="21" t="str">
        <f>IF(B651="","",IFERROR(IF(MAXIFS('Call Log'!$A$2:$A$5000,'Call Log'!$C$2:$C$5000,B651)=0,"",MAXIFS('Call Log'!$A$2:$A$5000,'Call Log'!$C$2:$C$5000,B651)),""))</f>
        <v/>
      </c>
      <c r="S651" s="5"/>
      <c r="T651" s="21"/>
      <c r="U651" s="21"/>
      <c r="V651" s="5"/>
      <c r="W651" s="20"/>
      <c r="X651" s="5"/>
      <c r="Y651" s="5"/>
      <c r="Z651" s="5"/>
      <c r="AA651" s="5"/>
    </row>
    <row r="652" ht="15.0" customHeight="1">
      <c r="A652" s="5" t="s">
        <v>3661</v>
      </c>
      <c r="B652" s="5" t="s">
        <v>3662</v>
      </c>
      <c r="C652" s="5"/>
      <c r="D652" s="5"/>
      <c r="E652" s="5">
        <v>2.0</v>
      </c>
      <c r="F652" s="20"/>
      <c r="G652" s="20"/>
      <c r="H652" s="5" t="s">
        <v>41</v>
      </c>
      <c r="I652" s="5" t="s">
        <v>357</v>
      </c>
      <c r="J652" s="5" t="s">
        <v>114</v>
      </c>
      <c r="K652" s="5" t="s">
        <v>3663</v>
      </c>
      <c r="L652" s="5"/>
      <c r="M652" s="5" t="s">
        <v>8</v>
      </c>
      <c r="N652" s="5" t="s">
        <v>80</v>
      </c>
      <c r="O652" s="5" t="str">
        <f>IF(B652="","",IFERROR(LOOKUP(2,1/('Call Log'!$C$2:$C$5000=B652),'Call Log'!$B$2:$B$5000),""))</f>
        <v/>
      </c>
      <c r="P652" s="5">
        <f>IF(B652="","",COUNTIFS('Call Log'!$C$2:$C$5000,B652,'Call Log'!$A$2:$A$5000,"&gt;="&amp;(TODAY()-WEEKDAY(TODAY(),2)+1)))</f>
        <v>0</v>
      </c>
      <c r="Q652" s="5">
        <f>IF(B652="","",COUNTIF('Call Log'!$C$2:$C$5000,B652))</f>
        <v>0</v>
      </c>
      <c r="R652" s="21" t="str">
        <f>IF(B652="","",IFERROR(IF(MAXIFS('Call Log'!$A$2:$A$5000,'Call Log'!$C$2:$C$5000,B652)=0,"",MAXIFS('Call Log'!$A$2:$A$5000,'Call Log'!$C$2:$C$5000,B652)),""))</f>
        <v/>
      </c>
      <c r="S652" s="5"/>
      <c r="T652" s="21"/>
      <c r="U652" s="21"/>
      <c r="V652" s="5"/>
      <c r="W652" s="20"/>
      <c r="X652" s="5"/>
      <c r="Y652" s="5"/>
      <c r="Z652" s="5"/>
      <c r="AA652" s="5" t="s">
        <v>3664</v>
      </c>
    </row>
    <row r="653" ht="15.0" customHeight="1">
      <c r="A653" s="5" t="s">
        <v>3665</v>
      </c>
      <c r="B653" s="5" t="s">
        <v>3666</v>
      </c>
      <c r="C653" s="5"/>
      <c r="D653" s="5"/>
      <c r="E653" s="5"/>
      <c r="F653" s="20"/>
      <c r="G653" s="20"/>
      <c r="H653" s="5" t="s">
        <v>40</v>
      </c>
      <c r="I653" s="5" t="s">
        <v>184</v>
      </c>
      <c r="J653" s="5" t="s">
        <v>114</v>
      </c>
      <c r="K653" s="5" t="s">
        <v>3667</v>
      </c>
      <c r="L653" s="5"/>
      <c r="M653" s="5" t="s">
        <v>8</v>
      </c>
      <c r="N653" s="5" t="s">
        <v>80</v>
      </c>
      <c r="O653" s="5" t="str">
        <f>IF(B653="","",IFERROR(LOOKUP(2,1/('Call Log'!$C$2:$C$5000=B653),'Call Log'!$B$2:$B$5000),""))</f>
        <v/>
      </c>
      <c r="P653" s="5">
        <f>IF(B653="","",COUNTIFS('Call Log'!$C$2:$C$5000,B653,'Call Log'!$A$2:$A$5000,"&gt;="&amp;(TODAY()-WEEKDAY(TODAY(),2)+1)))</f>
        <v>0</v>
      </c>
      <c r="Q653" s="5">
        <f>IF(B653="","",COUNTIF('Call Log'!$C$2:$C$5000,B653))</f>
        <v>0</v>
      </c>
      <c r="R653" s="21" t="str">
        <f>IF(B653="","",IFERROR(IF(MAXIFS('Call Log'!$A$2:$A$5000,'Call Log'!$C$2:$C$5000,B653)=0,"",MAXIFS('Call Log'!$A$2:$A$5000,'Call Log'!$C$2:$C$5000,B653)),""))</f>
        <v/>
      </c>
      <c r="S653" s="5"/>
      <c r="T653" s="21"/>
      <c r="U653" s="21"/>
      <c r="V653" s="5"/>
      <c r="W653" s="20"/>
      <c r="X653" s="5"/>
      <c r="Y653" s="5"/>
      <c r="Z653" s="5"/>
      <c r="AA653" s="5"/>
    </row>
    <row r="654" ht="15.0" customHeight="1">
      <c r="A654" s="5" t="s">
        <v>3668</v>
      </c>
      <c r="B654" s="5" t="s">
        <v>3669</v>
      </c>
      <c r="C654" s="5"/>
      <c r="D654" s="5"/>
      <c r="E654" s="5">
        <v>3.0</v>
      </c>
      <c r="F654" s="20"/>
      <c r="G654" s="20"/>
      <c r="H654" s="5" t="s">
        <v>41</v>
      </c>
      <c r="I654" s="5" t="s">
        <v>3670</v>
      </c>
      <c r="J654" s="5" t="s">
        <v>114</v>
      </c>
      <c r="K654" s="5" t="s">
        <v>3671</v>
      </c>
      <c r="L654" s="5"/>
      <c r="M654" s="5" t="s">
        <v>8</v>
      </c>
      <c r="N654" s="5" t="s">
        <v>80</v>
      </c>
      <c r="O654" s="5" t="str">
        <f>IF(B654="","",IFERROR(LOOKUP(2,1/('Call Log'!$C$2:$C$5000=B654),'Call Log'!$B$2:$B$5000),""))</f>
        <v/>
      </c>
      <c r="P654" s="5">
        <f>IF(B654="","",COUNTIFS('Call Log'!$C$2:$C$5000,B654,'Call Log'!$A$2:$A$5000,"&gt;="&amp;(TODAY()-WEEKDAY(TODAY(),2)+1)))</f>
        <v>0</v>
      </c>
      <c r="Q654" s="5">
        <f>IF(B654="","",COUNTIF('Call Log'!$C$2:$C$5000,B654))</f>
        <v>0</v>
      </c>
      <c r="R654" s="21" t="str">
        <f>IF(B654="","",IFERROR(IF(MAXIFS('Call Log'!$A$2:$A$5000,'Call Log'!$C$2:$C$5000,B654)=0,"",MAXIFS('Call Log'!$A$2:$A$5000,'Call Log'!$C$2:$C$5000,B654)),""))</f>
        <v/>
      </c>
      <c r="S654" s="5"/>
      <c r="T654" s="21"/>
      <c r="U654" s="21"/>
      <c r="V654" s="5"/>
      <c r="W654" s="20"/>
      <c r="X654" s="5"/>
      <c r="Y654" s="5"/>
      <c r="Z654" s="5"/>
      <c r="AA654" s="5" t="s">
        <v>3672</v>
      </c>
    </row>
    <row r="655" ht="15.0" customHeight="1">
      <c r="A655" s="5" t="s">
        <v>3673</v>
      </c>
      <c r="B655" s="5" t="s">
        <v>3674</v>
      </c>
      <c r="C655" s="5"/>
      <c r="D655" s="5"/>
      <c r="E655" s="5">
        <v>2.0</v>
      </c>
      <c r="F655" s="20"/>
      <c r="G655" s="20"/>
      <c r="H655" s="5" t="s">
        <v>41</v>
      </c>
      <c r="I655" s="5" t="s">
        <v>154</v>
      </c>
      <c r="J655" s="5" t="s">
        <v>114</v>
      </c>
      <c r="K655" s="5" t="s">
        <v>3675</v>
      </c>
      <c r="L655" s="5"/>
      <c r="M655" s="5" t="s">
        <v>8</v>
      </c>
      <c r="N655" s="5" t="s">
        <v>80</v>
      </c>
      <c r="O655" s="5" t="str">
        <f>IF(B655="","",IFERROR(LOOKUP(2,1/('Call Log'!$C$2:$C$5000=B655),'Call Log'!$B$2:$B$5000),""))</f>
        <v/>
      </c>
      <c r="P655" s="5">
        <f>IF(B655="","",COUNTIFS('Call Log'!$C$2:$C$5000,B655,'Call Log'!$A$2:$A$5000,"&gt;="&amp;(TODAY()-WEEKDAY(TODAY(),2)+1)))</f>
        <v>0</v>
      </c>
      <c r="Q655" s="5">
        <f>IF(B655="","",COUNTIF('Call Log'!$C$2:$C$5000,B655))</f>
        <v>0</v>
      </c>
      <c r="R655" s="21" t="str">
        <f>IF(B655="","",IFERROR(IF(MAXIFS('Call Log'!$A$2:$A$5000,'Call Log'!$C$2:$C$5000,B655)=0,"",MAXIFS('Call Log'!$A$2:$A$5000,'Call Log'!$C$2:$C$5000,B655)),""))</f>
        <v/>
      </c>
      <c r="S655" s="5"/>
      <c r="T655" s="21"/>
      <c r="U655" s="21"/>
      <c r="V655" s="5"/>
      <c r="W655" s="20"/>
      <c r="X655" s="5"/>
      <c r="Y655" s="5"/>
      <c r="Z655" s="5"/>
      <c r="AA655" s="5"/>
    </row>
    <row r="656" ht="15.0" customHeight="1">
      <c r="A656" s="5" t="s">
        <v>3676</v>
      </c>
      <c r="B656" s="5" t="s">
        <v>3677</v>
      </c>
      <c r="C656" s="5"/>
      <c r="D656" s="5"/>
      <c r="E656" s="5">
        <v>6.0</v>
      </c>
      <c r="F656" s="20"/>
      <c r="G656" s="20"/>
      <c r="H656" s="5" t="s">
        <v>40</v>
      </c>
      <c r="I656" s="5" t="s">
        <v>146</v>
      </c>
      <c r="J656" s="5" t="s">
        <v>114</v>
      </c>
      <c r="K656" s="5" t="s">
        <v>3678</v>
      </c>
      <c r="L656" s="5"/>
      <c r="M656" s="5" t="s">
        <v>8</v>
      </c>
      <c r="N656" s="5" t="s">
        <v>80</v>
      </c>
      <c r="O656" s="5" t="str">
        <f>IF(B656="","",IFERROR(LOOKUP(2,1/('Call Log'!$C$2:$C$5000=B656),'Call Log'!$B$2:$B$5000),""))</f>
        <v/>
      </c>
      <c r="P656" s="5">
        <f>IF(B656="","",COUNTIFS('Call Log'!$C$2:$C$5000,B656,'Call Log'!$A$2:$A$5000,"&gt;="&amp;(TODAY()-WEEKDAY(TODAY(),2)+1)))</f>
        <v>0</v>
      </c>
      <c r="Q656" s="5">
        <f>IF(B656="","",COUNTIF('Call Log'!$C$2:$C$5000,B656))</f>
        <v>0</v>
      </c>
      <c r="R656" s="21" t="str">
        <f>IF(B656="","",IFERROR(IF(MAXIFS('Call Log'!$A$2:$A$5000,'Call Log'!$C$2:$C$5000,B656)=0,"",MAXIFS('Call Log'!$A$2:$A$5000,'Call Log'!$C$2:$C$5000,B656)),""))</f>
        <v/>
      </c>
      <c r="S656" s="5"/>
      <c r="T656" s="21"/>
      <c r="U656" s="21"/>
      <c r="V656" s="5"/>
      <c r="W656" s="20"/>
      <c r="X656" s="5"/>
      <c r="Y656" s="5"/>
      <c r="Z656" s="5"/>
      <c r="AA656" s="5" t="s">
        <v>3679</v>
      </c>
    </row>
    <row r="657" ht="15.0" customHeight="1">
      <c r="A657" s="5" t="s">
        <v>3680</v>
      </c>
      <c r="B657" s="5" t="s">
        <v>3681</v>
      </c>
      <c r="C657" s="5"/>
      <c r="D657" s="5"/>
      <c r="E657" s="5">
        <v>18.0</v>
      </c>
      <c r="F657" s="20"/>
      <c r="G657" s="20"/>
      <c r="H657" s="5" t="s">
        <v>41</v>
      </c>
      <c r="I657" s="5" t="s">
        <v>122</v>
      </c>
      <c r="J657" s="5" t="s">
        <v>114</v>
      </c>
      <c r="K657" s="5" t="s">
        <v>3682</v>
      </c>
      <c r="L657" s="5"/>
      <c r="M657" s="5" t="s">
        <v>8</v>
      </c>
      <c r="N657" s="5" t="s">
        <v>80</v>
      </c>
      <c r="O657" s="5" t="str">
        <f>IF(B657="","",IFERROR(LOOKUP(2,1/('Call Log'!$C$2:$C$5000=B657),'Call Log'!$B$2:$B$5000),""))</f>
        <v/>
      </c>
      <c r="P657" s="5">
        <f>IF(B657="","",COUNTIFS('Call Log'!$C$2:$C$5000,B657,'Call Log'!$A$2:$A$5000,"&gt;="&amp;(TODAY()-WEEKDAY(TODAY(),2)+1)))</f>
        <v>0</v>
      </c>
      <c r="Q657" s="5">
        <f>IF(B657="","",COUNTIF('Call Log'!$C$2:$C$5000,B657))</f>
        <v>0</v>
      </c>
      <c r="R657" s="21" t="str">
        <f>IF(B657="","",IFERROR(IF(MAXIFS('Call Log'!$A$2:$A$5000,'Call Log'!$C$2:$C$5000,B657)=0,"",MAXIFS('Call Log'!$A$2:$A$5000,'Call Log'!$C$2:$C$5000,B657)),""))</f>
        <v/>
      </c>
      <c r="S657" s="5"/>
      <c r="T657" s="21"/>
      <c r="U657" s="21"/>
      <c r="V657" s="5"/>
      <c r="W657" s="20"/>
      <c r="X657" s="5"/>
      <c r="Y657" s="5"/>
      <c r="Z657" s="5"/>
      <c r="AA657" s="5"/>
    </row>
    <row r="658" ht="15.0" customHeight="1">
      <c r="A658" s="5" t="s">
        <v>3683</v>
      </c>
      <c r="B658" s="5" t="s">
        <v>3684</v>
      </c>
      <c r="C658" s="5"/>
      <c r="D658" s="5"/>
      <c r="E658" s="5"/>
      <c r="F658" s="20"/>
      <c r="G658" s="20"/>
      <c r="H658" s="5" t="s">
        <v>40</v>
      </c>
      <c r="I658" s="5" t="s">
        <v>175</v>
      </c>
      <c r="J658" s="5" t="s">
        <v>114</v>
      </c>
      <c r="K658" s="5" t="s">
        <v>3685</v>
      </c>
      <c r="L658" s="5"/>
      <c r="M658" s="5" t="s">
        <v>8</v>
      </c>
      <c r="N658" s="5" t="s">
        <v>80</v>
      </c>
      <c r="O658" s="5" t="str">
        <f>IF(B658="","",IFERROR(LOOKUP(2,1/('Call Log'!$C$2:$C$5000=B658),'Call Log'!$B$2:$B$5000),""))</f>
        <v/>
      </c>
      <c r="P658" s="5">
        <f>IF(B658="","",COUNTIFS('Call Log'!$C$2:$C$5000,B658,'Call Log'!$A$2:$A$5000,"&gt;="&amp;(TODAY()-WEEKDAY(TODAY(),2)+1)))</f>
        <v>0</v>
      </c>
      <c r="Q658" s="5">
        <f>IF(B658="","",COUNTIF('Call Log'!$C$2:$C$5000,B658))</f>
        <v>0</v>
      </c>
      <c r="R658" s="21" t="str">
        <f>IF(B658="","",IFERROR(IF(MAXIFS('Call Log'!$A$2:$A$5000,'Call Log'!$C$2:$C$5000,B658)=0,"",MAXIFS('Call Log'!$A$2:$A$5000,'Call Log'!$C$2:$C$5000,B658)),""))</f>
        <v/>
      </c>
      <c r="S658" s="5"/>
      <c r="T658" s="21"/>
      <c r="U658" s="21"/>
      <c r="V658" s="5"/>
      <c r="W658" s="20"/>
      <c r="X658" s="5"/>
      <c r="Y658" s="5"/>
      <c r="Z658" s="5"/>
      <c r="AA658" s="5"/>
    </row>
    <row r="659" ht="15.0" customHeight="1">
      <c r="A659" s="5" t="s">
        <v>3686</v>
      </c>
      <c r="B659" s="5" t="s">
        <v>3687</v>
      </c>
      <c r="C659" s="5"/>
      <c r="D659" s="5"/>
      <c r="E659" s="5">
        <v>10.0</v>
      </c>
      <c r="F659" s="20"/>
      <c r="G659" s="20"/>
      <c r="H659" s="5" t="s">
        <v>40</v>
      </c>
      <c r="I659" s="5" t="s">
        <v>146</v>
      </c>
      <c r="J659" s="5" t="s">
        <v>114</v>
      </c>
      <c r="K659" s="5" t="s">
        <v>3688</v>
      </c>
      <c r="L659" s="5"/>
      <c r="M659" s="5" t="s">
        <v>8</v>
      </c>
      <c r="N659" s="5" t="s">
        <v>80</v>
      </c>
      <c r="O659" s="5" t="str">
        <f>IF(B659="","",IFERROR(LOOKUP(2,1/('Call Log'!$C$2:$C$5000=B659),'Call Log'!$B$2:$B$5000),""))</f>
        <v/>
      </c>
      <c r="P659" s="5">
        <f>IF(B659="","",COUNTIFS('Call Log'!$C$2:$C$5000,B659,'Call Log'!$A$2:$A$5000,"&gt;="&amp;(TODAY()-WEEKDAY(TODAY(),2)+1)))</f>
        <v>0</v>
      </c>
      <c r="Q659" s="5">
        <f>IF(B659="","",COUNTIF('Call Log'!$C$2:$C$5000,B659))</f>
        <v>0</v>
      </c>
      <c r="R659" s="21" t="str">
        <f>IF(B659="","",IFERROR(IF(MAXIFS('Call Log'!$A$2:$A$5000,'Call Log'!$C$2:$C$5000,B659)=0,"",MAXIFS('Call Log'!$A$2:$A$5000,'Call Log'!$C$2:$C$5000,B659)),""))</f>
        <v/>
      </c>
      <c r="S659" s="5"/>
      <c r="T659" s="21"/>
      <c r="U659" s="21"/>
      <c r="V659" s="5"/>
      <c r="W659" s="20"/>
      <c r="X659" s="5"/>
      <c r="Y659" s="5"/>
      <c r="Z659" s="5"/>
      <c r="AA659" s="5" t="s">
        <v>3689</v>
      </c>
    </row>
    <row r="660" ht="15.0" customHeight="1">
      <c r="A660" s="5" t="s">
        <v>3690</v>
      </c>
      <c r="B660" s="5" t="s">
        <v>3691</v>
      </c>
      <c r="C660" s="5"/>
      <c r="D660" s="5"/>
      <c r="E660" s="5"/>
      <c r="F660" s="20"/>
      <c r="G660" s="20"/>
      <c r="H660" s="5" t="s">
        <v>41</v>
      </c>
      <c r="I660" s="5" t="s">
        <v>904</v>
      </c>
      <c r="J660" s="5" t="s">
        <v>114</v>
      </c>
      <c r="K660" s="5" t="s">
        <v>3692</v>
      </c>
      <c r="L660" s="5"/>
      <c r="M660" s="5" t="s">
        <v>8</v>
      </c>
      <c r="N660" s="5" t="s">
        <v>80</v>
      </c>
      <c r="O660" s="5" t="str">
        <f>IF(B660="","",IFERROR(LOOKUP(2,1/('Call Log'!$C$2:$C$5000=B660),'Call Log'!$B$2:$B$5000),""))</f>
        <v/>
      </c>
      <c r="P660" s="5">
        <f>IF(B660="","",COUNTIFS('Call Log'!$C$2:$C$5000,B660,'Call Log'!$A$2:$A$5000,"&gt;="&amp;(TODAY()-WEEKDAY(TODAY(),2)+1)))</f>
        <v>0</v>
      </c>
      <c r="Q660" s="5">
        <f>IF(B660="","",COUNTIF('Call Log'!$C$2:$C$5000,B660))</f>
        <v>0</v>
      </c>
      <c r="R660" s="21" t="str">
        <f>IF(B660="","",IFERROR(IF(MAXIFS('Call Log'!$A$2:$A$5000,'Call Log'!$C$2:$C$5000,B660)=0,"",MAXIFS('Call Log'!$A$2:$A$5000,'Call Log'!$C$2:$C$5000,B660)),""))</f>
        <v/>
      </c>
      <c r="S660" s="5"/>
      <c r="T660" s="21"/>
      <c r="U660" s="21"/>
      <c r="V660" s="5"/>
      <c r="W660" s="20"/>
      <c r="X660" s="5"/>
      <c r="Y660" s="5"/>
      <c r="Z660" s="5"/>
      <c r="AA660" s="5"/>
    </row>
    <row r="661" ht="15.0" customHeight="1">
      <c r="A661" s="5" t="s">
        <v>3693</v>
      </c>
      <c r="B661" s="5" t="s">
        <v>3694</v>
      </c>
      <c r="C661" s="5"/>
      <c r="D661" s="5"/>
      <c r="E661" s="5">
        <v>3.0</v>
      </c>
      <c r="F661" s="20"/>
      <c r="G661" s="20"/>
      <c r="H661" s="5" t="s">
        <v>40</v>
      </c>
      <c r="I661" s="5" t="s">
        <v>154</v>
      </c>
      <c r="J661" s="5" t="s">
        <v>114</v>
      </c>
      <c r="K661" s="5" t="s">
        <v>3695</v>
      </c>
      <c r="L661" s="5"/>
      <c r="M661" s="5" t="s">
        <v>8</v>
      </c>
      <c r="N661" s="5" t="s">
        <v>80</v>
      </c>
      <c r="O661" s="5" t="str">
        <f>IF(B661="","",IFERROR(LOOKUP(2,1/('Call Log'!$C$2:$C$5000=B661),'Call Log'!$B$2:$B$5000),""))</f>
        <v/>
      </c>
      <c r="P661" s="5">
        <f>IF(B661="","",COUNTIFS('Call Log'!$C$2:$C$5000,B661,'Call Log'!$A$2:$A$5000,"&gt;="&amp;(TODAY()-WEEKDAY(TODAY(),2)+1)))</f>
        <v>0</v>
      </c>
      <c r="Q661" s="5">
        <f>IF(B661="","",COUNTIF('Call Log'!$C$2:$C$5000,B661))</f>
        <v>0</v>
      </c>
      <c r="R661" s="21" t="str">
        <f>IF(B661="","",IFERROR(IF(MAXIFS('Call Log'!$A$2:$A$5000,'Call Log'!$C$2:$C$5000,B661)=0,"",MAXIFS('Call Log'!$A$2:$A$5000,'Call Log'!$C$2:$C$5000,B661)),""))</f>
        <v/>
      </c>
      <c r="S661" s="5"/>
      <c r="T661" s="21"/>
      <c r="U661" s="21"/>
      <c r="V661" s="5"/>
      <c r="W661" s="20"/>
      <c r="X661" s="5"/>
      <c r="Y661" s="5"/>
      <c r="Z661" s="5"/>
      <c r="AA661" s="5"/>
    </row>
    <row r="662" ht="15.0" customHeight="1">
      <c r="A662" s="5" t="s">
        <v>3696</v>
      </c>
      <c r="B662" s="5" t="s">
        <v>3697</v>
      </c>
      <c r="C662" s="5"/>
      <c r="D662" s="5"/>
      <c r="E662" s="5">
        <v>6.0</v>
      </c>
      <c r="F662" s="20"/>
      <c r="G662" s="20"/>
      <c r="H662" s="5" t="s">
        <v>40</v>
      </c>
      <c r="I662" s="5" t="s">
        <v>122</v>
      </c>
      <c r="J662" s="5" t="s">
        <v>114</v>
      </c>
      <c r="K662" s="5" t="s">
        <v>3698</v>
      </c>
      <c r="L662" s="5"/>
      <c r="M662" s="5" t="s">
        <v>8</v>
      </c>
      <c r="N662" s="5" t="s">
        <v>80</v>
      </c>
      <c r="O662" s="5" t="str">
        <f>IF(B662="","",IFERROR(LOOKUP(2,1/('Call Log'!$C$2:$C$5000=B662),'Call Log'!$B$2:$B$5000),""))</f>
        <v/>
      </c>
      <c r="P662" s="5">
        <f>IF(B662="","",COUNTIFS('Call Log'!$C$2:$C$5000,B662,'Call Log'!$A$2:$A$5000,"&gt;="&amp;(TODAY()-WEEKDAY(TODAY(),2)+1)))</f>
        <v>0</v>
      </c>
      <c r="Q662" s="5">
        <f>IF(B662="","",COUNTIF('Call Log'!$C$2:$C$5000,B662))</f>
        <v>0</v>
      </c>
      <c r="R662" s="21" t="str">
        <f>IF(B662="","",IFERROR(IF(MAXIFS('Call Log'!$A$2:$A$5000,'Call Log'!$C$2:$C$5000,B662)=0,"",MAXIFS('Call Log'!$A$2:$A$5000,'Call Log'!$C$2:$C$5000,B662)),""))</f>
        <v/>
      </c>
      <c r="S662" s="5"/>
      <c r="T662" s="21"/>
      <c r="U662" s="21"/>
      <c r="V662" s="5"/>
      <c r="W662" s="20"/>
      <c r="X662" s="5"/>
      <c r="Y662" s="5"/>
      <c r="Z662" s="5"/>
      <c r="AA662" s="5" t="s">
        <v>3699</v>
      </c>
    </row>
    <row r="663" ht="15.0" customHeight="1">
      <c r="A663" s="5" t="s">
        <v>3700</v>
      </c>
      <c r="B663" s="5" t="s">
        <v>3701</v>
      </c>
      <c r="C663" s="5"/>
      <c r="D663" s="5" t="s">
        <v>608</v>
      </c>
      <c r="E663" s="5"/>
      <c r="F663" s="20"/>
      <c r="G663" s="20"/>
      <c r="H663" s="5" t="s">
        <v>40</v>
      </c>
      <c r="I663" s="5" t="s">
        <v>154</v>
      </c>
      <c r="J663" s="5" t="s">
        <v>114</v>
      </c>
      <c r="K663" s="5" t="s">
        <v>3702</v>
      </c>
      <c r="L663" s="5"/>
      <c r="M663" s="5" t="s">
        <v>8</v>
      </c>
      <c r="N663" s="5" t="s">
        <v>80</v>
      </c>
      <c r="O663" s="5" t="str">
        <f>IF(B663="","",IFERROR(LOOKUP(2,1/('Call Log'!$C$2:$C$5000=B663),'Call Log'!$B$2:$B$5000),""))</f>
        <v/>
      </c>
      <c r="P663" s="5">
        <f>IF(B663="","",COUNTIFS('Call Log'!$C$2:$C$5000,B663,'Call Log'!$A$2:$A$5000,"&gt;="&amp;(TODAY()-WEEKDAY(TODAY(),2)+1)))</f>
        <v>0</v>
      </c>
      <c r="Q663" s="5">
        <f>IF(B663="","",COUNTIF('Call Log'!$C$2:$C$5000,B663))</f>
        <v>0</v>
      </c>
      <c r="R663" s="21" t="str">
        <f>IF(B663="","",IFERROR(IF(MAXIFS('Call Log'!$A$2:$A$5000,'Call Log'!$C$2:$C$5000,B663)=0,"",MAXIFS('Call Log'!$A$2:$A$5000,'Call Log'!$C$2:$C$5000,B663)),""))</f>
        <v/>
      </c>
      <c r="S663" s="5"/>
      <c r="T663" s="21"/>
      <c r="U663" s="21"/>
      <c r="V663" s="5"/>
      <c r="W663" s="20"/>
      <c r="X663" s="5"/>
      <c r="Y663" s="5"/>
      <c r="Z663" s="5"/>
      <c r="AA663" s="5" t="s">
        <v>3703</v>
      </c>
    </row>
    <row r="664" ht="15.0" customHeight="1">
      <c r="A664" s="5" t="s">
        <v>3704</v>
      </c>
      <c r="B664" s="5" t="s">
        <v>3705</v>
      </c>
      <c r="C664" s="5"/>
      <c r="D664" s="5"/>
      <c r="E664" s="5">
        <v>10.0</v>
      </c>
      <c r="F664" s="20"/>
      <c r="G664" s="20"/>
      <c r="H664" s="5" t="s">
        <v>40</v>
      </c>
      <c r="I664" s="5" t="s">
        <v>246</v>
      </c>
      <c r="J664" s="5" t="s">
        <v>114</v>
      </c>
      <c r="K664" s="5" t="s">
        <v>3706</v>
      </c>
      <c r="L664" s="5"/>
      <c r="M664" s="5" t="s">
        <v>8</v>
      </c>
      <c r="N664" s="5" t="s">
        <v>80</v>
      </c>
      <c r="O664" s="5" t="str">
        <f>IF(B664="","",IFERROR(LOOKUP(2,1/('Call Log'!$C$2:$C$5000=B664),'Call Log'!$B$2:$B$5000),""))</f>
        <v/>
      </c>
      <c r="P664" s="5">
        <f>IF(B664="","",COUNTIFS('Call Log'!$C$2:$C$5000,B664,'Call Log'!$A$2:$A$5000,"&gt;="&amp;(TODAY()-WEEKDAY(TODAY(),2)+1)))</f>
        <v>0</v>
      </c>
      <c r="Q664" s="5">
        <f>IF(B664="","",COUNTIF('Call Log'!$C$2:$C$5000,B664))</f>
        <v>0</v>
      </c>
      <c r="R664" s="21" t="str">
        <f>IF(B664="","",IFERROR(IF(MAXIFS('Call Log'!$A$2:$A$5000,'Call Log'!$C$2:$C$5000,B664)=0,"",MAXIFS('Call Log'!$A$2:$A$5000,'Call Log'!$C$2:$C$5000,B664)),""))</f>
        <v/>
      </c>
      <c r="S664" s="5"/>
      <c r="T664" s="21"/>
      <c r="U664" s="21"/>
      <c r="V664" s="5"/>
      <c r="W664" s="20"/>
      <c r="X664" s="5"/>
      <c r="Y664" s="5"/>
      <c r="Z664" s="5"/>
      <c r="AA664" s="5" t="s">
        <v>3707</v>
      </c>
    </row>
    <row r="665" ht="15.0" customHeight="1">
      <c r="A665" s="5" t="s">
        <v>3708</v>
      </c>
      <c r="B665" s="5" t="s">
        <v>3709</v>
      </c>
      <c r="C665" s="5"/>
      <c r="D665" s="5"/>
      <c r="E665" s="5"/>
      <c r="F665" s="20"/>
      <c r="G665" s="20"/>
      <c r="H665" s="5" t="s">
        <v>41</v>
      </c>
      <c r="I665" s="5" t="s">
        <v>370</v>
      </c>
      <c r="J665" s="5" t="s">
        <v>114</v>
      </c>
      <c r="K665" s="5" t="s">
        <v>3710</v>
      </c>
      <c r="L665" s="5"/>
      <c r="M665" s="5" t="s">
        <v>8</v>
      </c>
      <c r="N665" s="5" t="s">
        <v>80</v>
      </c>
      <c r="O665" s="5" t="str">
        <f>IF(B665="","",IFERROR(LOOKUP(2,1/('Call Log'!$C$2:$C$5000=B665),'Call Log'!$B$2:$B$5000),""))</f>
        <v/>
      </c>
      <c r="P665" s="5">
        <f>IF(B665="","",COUNTIFS('Call Log'!$C$2:$C$5000,B665,'Call Log'!$A$2:$A$5000,"&gt;="&amp;(TODAY()-WEEKDAY(TODAY(),2)+1)))</f>
        <v>0</v>
      </c>
      <c r="Q665" s="5">
        <f>IF(B665="","",COUNTIF('Call Log'!$C$2:$C$5000,B665))</f>
        <v>0</v>
      </c>
      <c r="R665" s="21" t="str">
        <f>IF(B665="","",IFERROR(IF(MAXIFS('Call Log'!$A$2:$A$5000,'Call Log'!$C$2:$C$5000,B665)=0,"",MAXIFS('Call Log'!$A$2:$A$5000,'Call Log'!$C$2:$C$5000,B665)),""))</f>
        <v/>
      </c>
      <c r="S665" s="5"/>
      <c r="T665" s="21"/>
      <c r="U665" s="21"/>
      <c r="V665" s="5"/>
      <c r="W665" s="20"/>
      <c r="X665" s="5"/>
      <c r="Y665" s="5"/>
      <c r="Z665" s="5"/>
      <c r="AA665" s="5" t="s">
        <v>3711</v>
      </c>
    </row>
    <row r="666" ht="15.0" customHeight="1">
      <c r="A666" s="5" t="s">
        <v>3712</v>
      </c>
      <c r="B666" s="5" t="s">
        <v>3713</v>
      </c>
      <c r="C666" s="5"/>
      <c r="D666" s="5"/>
      <c r="E666" s="5">
        <v>3.0</v>
      </c>
      <c r="F666" s="20"/>
      <c r="G666" s="20"/>
      <c r="H666" s="5" t="s">
        <v>41</v>
      </c>
      <c r="I666" s="5" t="s">
        <v>146</v>
      </c>
      <c r="J666" s="5" t="s">
        <v>114</v>
      </c>
      <c r="K666" s="5" t="s">
        <v>3714</v>
      </c>
      <c r="L666" s="5"/>
      <c r="M666" s="5" t="s">
        <v>8</v>
      </c>
      <c r="N666" s="5" t="s">
        <v>80</v>
      </c>
      <c r="O666" s="5" t="str">
        <f>IF(B666="","",IFERROR(LOOKUP(2,1/('Call Log'!$C$2:$C$5000=B666),'Call Log'!$B$2:$B$5000),""))</f>
        <v/>
      </c>
      <c r="P666" s="5">
        <f>IF(B666="","",COUNTIFS('Call Log'!$C$2:$C$5000,B666,'Call Log'!$A$2:$A$5000,"&gt;="&amp;(TODAY()-WEEKDAY(TODAY(),2)+1)))</f>
        <v>0</v>
      </c>
      <c r="Q666" s="5">
        <f>IF(B666="","",COUNTIF('Call Log'!$C$2:$C$5000,B666))</f>
        <v>0</v>
      </c>
      <c r="R666" s="21" t="str">
        <f>IF(B666="","",IFERROR(IF(MAXIFS('Call Log'!$A$2:$A$5000,'Call Log'!$C$2:$C$5000,B666)=0,"",MAXIFS('Call Log'!$A$2:$A$5000,'Call Log'!$C$2:$C$5000,B666)),""))</f>
        <v/>
      </c>
      <c r="S666" s="5"/>
      <c r="T666" s="21"/>
      <c r="U666" s="21"/>
      <c r="V666" s="5"/>
      <c r="W666" s="20"/>
      <c r="X666" s="5"/>
      <c r="Y666" s="5"/>
      <c r="Z666" s="5" t="s">
        <v>132</v>
      </c>
      <c r="AA666" s="5" t="s">
        <v>3715</v>
      </c>
    </row>
    <row r="667" ht="15.0" customHeight="1">
      <c r="A667" s="5" t="s">
        <v>3716</v>
      </c>
      <c r="B667" s="5" t="s">
        <v>3717</v>
      </c>
      <c r="C667" s="5"/>
      <c r="D667" s="5"/>
      <c r="E667" s="5"/>
      <c r="F667" s="20"/>
      <c r="G667" s="20"/>
      <c r="H667" s="5" t="s">
        <v>40</v>
      </c>
      <c r="I667" s="5" t="s">
        <v>146</v>
      </c>
      <c r="J667" s="5" t="s">
        <v>114</v>
      </c>
      <c r="K667" s="5" t="s">
        <v>3718</v>
      </c>
      <c r="L667" s="5"/>
      <c r="M667" s="5" t="s">
        <v>8</v>
      </c>
      <c r="N667" s="5" t="s">
        <v>80</v>
      </c>
      <c r="O667" s="5" t="str">
        <f>IF(B667="","",IFERROR(LOOKUP(2,1/('Call Log'!$C$2:$C$5000=B667),'Call Log'!$B$2:$B$5000),""))</f>
        <v/>
      </c>
      <c r="P667" s="5">
        <f>IF(B667="","",COUNTIFS('Call Log'!$C$2:$C$5000,B667,'Call Log'!$A$2:$A$5000,"&gt;="&amp;(TODAY()-WEEKDAY(TODAY(),2)+1)))</f>
        <v>0</v>
      </c>
      <c r="Q667" s="5">
        <f>IF(B667="","",COUNTIF('Call Log'!$C$2:$C$5000,B667))</f>
        <v>0</v>
      </c>
      <c r="R667" s="21" t="str">
        <f>IF(B667="","",IFERROR(IF(MAXIFS('Call Log'!$A$2:$A$5000,'Call Log'!$C$2:$C$5000,B667)=0,"",MAXIFS('Call Log'!$A$2:$A$5000,'Call Log'!$C$2:$C$5000,B667)),""))</f>
        <v/>
      </c>
      <c r="S667" s="5"/>
      <c r="T667" s="21"/>
      <c r="U667" s="21"/>
      <c r="V667" s="5"/>
      <c r="W667" s="20"/>
      <c r="X667" s="5"/>
      <c r="Y667" s="5"/>
      <c r="Z667" s="5"/>
      <c r="AA667" s="5" t="s">
        <v>3644</v>
      </c>
    </row>
    <row r="668" ht="15.0" customHeight="1">
      <c r="A668" s="5" t="s">
        <v>3719</v>
      </c>
      <c r="B668" s="5" t="s">
        <v>3720</v>
      </c>
      <c r="C668" s="5"/>
      <c r="D668" s="5"/>
      <c r="E668" s="5"/>
      <c r="F668" s="20"/>
      <c r="G668" s="20"/>
      <c r="H668" s="5" t="s">
        <v>43</v>
      </c>
      <c r="I668" s="5" t="s">
        <v>622</v>
      </c>
      <c r="J668" s="5" t="s">
        <v>114</v>
      </c>
      <c r="K668" s="5" t="s">
        <v>3721</v>
      </c>
      <c r="L668" s="5"/>
      <c r="M668" s="5" t="s">
        <v>8</v>
      </c>
      <c r="N668" s="5" t="s">
        <v>80</v>
      </c>
      <c r="O668" s="5" t="str">
        <f>IF(B668="","",IFERROR(LOOKUP(2,1/('Call Log'!$C$2:$C$5000=B668),'Call Log'!$B$2:$B$5000),""))</f>
        <v/>
      </c>
      <c r="P668" s="5">
        <f>IF(B668="","",COUNTIFS('Call Log'!$C$2:$C$5000,B668,'Call Log'!$A$2:$A$5000,"&gt;="&amp;(TODAY()-WEEKDAY(TODAY(),2)+1)))</f>
        <v>0</v>
      </c>
      <c r="Q668" s="5">
        <f>IF(B668="","",COUNTIF('Call Log'!$C$2:$C$5000,B668))</f>
        <v>0</v>
      </c>
      <c r="R668" s="21" t="str">
        <f>IF(B668="","",IFERROR(IF(MAXIFS('Call Log'!$A$2:$A$5000,'Call Log'!$C$2:$C$5000,B668)=0,"",MAXIFS('Call Log'!$A$2:$A$5000,'Call Log'!$C$2:$C$5000,B668)),""))</f>
        <v/>
      </c>
      <c r="S668" s="5"/>
      <c r="T668" s="21"/>
      <c r="U668" s="21"/>
      <c r="V668" s="5"/>
      <c r="W668" s="20"/>
      <c r="X668" s="5"/>
      <c r="Y668" s="5"/>
      <c r="Z668" s="5"/>
      <c r="AA668" s="5" t="s">
        <v>3644</v>
      </c>
    </row>
    <row r="669" ht="15.0" customHeight="1">
      <c r="A669" s="5" t="s">
        <v>3722</v>
      </c>
      <c r="B669" s="5" t="s">
        <v>3723</v>
      </c>
      <c r="C669" s="5"/>
      <c r="D669" s="5"/>
      <c r="E669" s="5">
        <v>6.0</v>
      </c>
      <c r="F669" s="20"/>
      <c r="G669" s="20"/>
      <c r="H669" s="5" t="s">
        <v>41</v>
      </c>
      <c r="I669" s="5" t="s">
        <v>146</v>
      </c>
      <c r="J669" s="5" t="s">
        <v>114</v>
      </c>
      <c r="K669" s="5" t="s">
        <v>3724</v>
      </c>
      <c r="L669" s="5"/>
      <c r="M669" s="5" t="s">
        <v>8</v>
      </c>
      <c r="N669" s="5" t="s">
        <v>80</v>
      </c>
      <c r="O669" s="5" t="str">
        <f>IF(B669="","",IFERROR(LOOKUP(2,1/('Call Log'!$C$2:$C$5000=B669),'Call Log'!$B$2:$B$5000),""))</f>
        <v/>
      </c>
      <c r="P669" s="5">
        <f>IF(B669="","",COUNTIFS('Call Log'!$C$2:$C$5000,B669,'Call Log'!$A$2:$A$5000,"&gt;="&amp;(TODAY()-WEEKDAY(TODAY(),2)+1)))</f>
        <v>0</v>
      </c>
      <c r="Q669" s="5">
        <f>IF(B669="","",COUNTIF('Call Log'!$C$2:$C$5000,B669))</f>
        <v>0</v>
      </c>
      <c r="R669" s="21" t="str">
        <f>IF(B669="","",IFERROR(IF(MAXIFS('Call Log'!$A$2:$A$5000,'Call Log'!$C$2:$C$5000,B669)=0,"",MAXIFS('Call Log'!$A$2:$A$5000,'Call Log'!$C$2:$C$5000,B669)),""))</f>
        <v/>
      </c>
      <c r="S669" s="5"/>
      <c r="T669" s="21"/>
      <c r="U669" s="21"/>
      <c r="V669" s="5"/>
      <c r="W669" s="20"/>
      <c r="X669" s="5"/>
      <c r="Y669" s="5"/>
      <c r="Z669" s="5"/>
      <c r="AA669" s="5" t="s">
        <v>3725</v>
      </c>
    </row>
    <row r="670" ht="15.0" customHeight="1">
      <c r="A670" s="5" t="s">
        <v>3726</v>
      </c>
      <c r="B670" s="5" t="s">
        <v>3727</v>
      </c>
      <c r="C670" s="5"/>
      <c r="D670" s="5"/>
      <c r="E670" s="5"/>
      <c r="F670" s="20"/>
      <c r="G670" s="20"/>
      <c r="H670" s="5" t="s">
        <v>41</v>
      </c>
      <c r="I670" s="5" t="s">
        <v>161</v>
      </c>
      <c r="J670" s="5" t="s">
        <v>114</v>
      </c>
      <c r="K670" s="5" t="s">
        <v>3728</v>
      </c>
      <c r="L670" s="5"/>
      <c r="M670" s="5" t="s">
        <v>8</v>
      </c>
      <c r="N670" s="5" t="s">
        <v>80</v>
      </c>
      <c r="O670" s="5" t="str">
        <f>IF(B670="","",IFERROR(LOOKUP(2,1/('Call Log'!$C$2:$C$5000=B670),'Call Log'!$B$2:$B$5000),""))</f>
        <v/>
      </c>
      <c r="P670" s="5">
        <f>IF(B670="","",COUNTIFS('Call Log'!$C$2:$C$5000,B670,'Call Log'!$A$2:$A$5000,"&gt;="&amp;(TODAY()-WEEKDAY(TODAY(),2)+1)))</f>
        <v>0</v>
      </c>
      <c r="Q670" s="5">
        <f>IF(B670="","",COUNTIF('Call Log'!$C$2:$C$5000,B670))</f>
        <v>0</v>
      </c>
      <c r="R670" s="21" t="str">
        <f>IF(B670="","",IFERROR(IF(MAXIFS('Call Log'!$A$2:$A$5000,'Call Log'!$C$2:$C$5000,B670)=0,"",MAXIFS('Call Log'!$A$2:$A$5000,'Call Log'!$C$2:$C$5000,B670)),""))</f>
        <v/>
      </c>
      <c r="S670" s="5"/>
      <c r="T670" s="21"/>
      <c r="U670" s="21"/>
      <c r="V670" s="5"/>
      <c r="W670" s="20"/>
      <c r="X670" s="5"/>
      <c r="Y670" s="5"/>
      <c r="Z670" s="5"/>
      <c r="AA670" s="5"/>
    </row>
    <row r="671" ht="15.0" customHeight="1">
      <c r="A671" s="5" t="s">
        <v>3729</v>
      </c>
      <c r="B671" s="5" t="s">
        <v>3730</v>
      </c>
      <c r="C671" s="5"/>
      <c r="D671" s="5"/>
      <c r="E671" s="5"/>
      <c r="F671" s="20"/>
      <c r="G671" s="20"/>
      <c r="H671" s="5" t="s">
        <v>40</v>
      </c>
      <c r="I671" s="5" t="s">
        <v>146</v>
      </c>
      <c r="J671" s="5" t="s">
        <v>114</v>
      </c>
      <c r="K671" s="5" t="s">
        <v>3731</v>
      </c>
      <c r="L671" s="5"/>
      <c r="M671" s="5" t="s">
        <v>8</v>
      </c>
      <c r="N671" s="5" t="s">
        <v>80</v>
      </c>
      <c r="O671" s="5" t="str">
        <f>IF(B671="","",IFERROR(LOOKUP(2,1/('Call Log'!$C$2:$C$5000=B671),'Call Log'!$B$2:$B$5000),""))</f>
        <v/>
      </c>
      <c r="P671" s="5">
        <f>IF(B671="","",COUNTIFS('Call Log'!$C$2:$C$5000,B671,'Call Log'!$A$2:$A$5000,"&gt;="&amp;(TODAY()-WEEKDAY(TODAY(),2)+1)))</f>
        <v>0</v>
      </c>
      <c r="Q671" s="5">
        <f>IF(B671="","",COUNTIF('Call Log'!$C$2:$C$5000,B671))</f>
        <v>0</v>
      </c>
      <c r="R671" s="21" t="str">
        <f>IF(B671="","",IFERROR(IF(MAXIFS('Call Log'!$A$2:$A$5000,'Call Log'!$C$2:$C$5000,B671)=0,"",MAXIFS('Call Log'!$A$2:$A$5000,'Call Log'!$C$2:$C$5000,B671)),""))</f>
        <v/>
      </c>
      <c r="S671" s="5"/>
      <c r="T671" s="21"/>
      <c r="U671" s="21"/>
      <c r="V671" s="5"/>
      <c r="W671" s="20"/>
      <c r="X671" s="5"/>
      <c r="Y671" s="5"/>
      <c r="Z671" s="5"/>
      <c r="AA671" s="5"/>
    </row>
    <row r="672" ht="15.0" customHeight="1">
      <c r="A672" s="5" t="s">
        <v>3732</v>
      </c>
      <c r="B672" s="5" t="s">
        <v>3733</v>
      </c>
      <c r="C672" s="5"/>
      <c r="D672" s="5"/>
      <c r="E672" s="5">
        <v>20.0</v>
      </c>
      <c r="F672" s="20"/>
      <c r="G672" s="20"/>
      <c r="H672" s="5" t="s">
        <v>41</v>
      </c>
      <c r="I672" s="5" t="s">
        <v>2059</v>
      </c>
      <c r="J672" s="5" t="s">
        <v>114</v>
      </c>
      <c r="K672" s="5" t="s">
        <v>3734</v>
      </c>
      <c r="L672" s="5"/>
      <c r="M672" s="5" t="s">
        <v>8</v>
      </c>
      <c r="N672" s="5" t="s">
        <v>80</v>
      </c>
      <c r="O672" s="5" t="str">
        <f>IF(B672="","",IFERROR(LOOKUP(2,1/('Call Log'!$C$2:$C$5000=B672),'Call Log'!$B$2:$B$5000),""))</f>
        <v/>
      </c>
      <c r="P672" s="5">
        <f>IF(B672="","",COUNTIFS('Call Log'!$C$2:$C$5000,B672,'Call Log'!$A$2:$A$5000,"&gt;="&amp;(TODAY()-WEEKDAY(TODAY(),2)+1)))</f>
        <v>0</v>
      </c>
      <c r="Q672" s="5">
        <f>IF(B672="","",COUNTIF('Call Log'!$C$2:$C$5000,B672))</f>
        <v>0</v>
      </c>
      <c r="R672" s="21" t="str">
        <f>IF(B672="","",IFERROR(IF(MAXIFS('Call Log'!$A$2:$A$5000,'Call Log'!$C$2:$C$5000,B672)=0,"",MAXIFS('Call Log'!$A$2:$A$5000,'Call Log'!$C$2:$C$5000,B672)),""))</f>
        <v/>
      </c>
      <c r="S672" s="5"/>
      <c r="T672" s="21"/>
      <c r="U672" s="21"/>
      <c r="V672" s="5"/>
      <c r="W672" s="20"/>
      <c r="X672" s="5"/>
      <c r="Y672" s="5"/>
      <c r="Z672" s="5"/>
      <c r="AA672" s="5" t="s">
        <v>3735</v>
      </c>
    </row>
    <row r="673" ht="15.0" customHeight="1">
      <c r="A673" s="5" t="s">
        <v>3736</v>
      </c>
      <c r="B673" s="5" t="s">
        <v>3737</v>
      </c>
      <c r="C673" s="5"/>
      <c r="D673" s="5" t="s">
        <v>3738</v>
      </c>
      <c r="E673" s="5"/>
      <c r="F673" s="20"/>
      <c r="G673" s="20"/>
      <c r="H673" s="5" t="s">
        <v>40</v>
      </c>
      <c r="I673" s="5" t="s">
        <v>2059</v>
      </c>
      <c r="J673" s="5" t="s">
        <v>114</v>
      </c>
      <c r="K673" s="5" t="s">
        <v>3739</v>
      </c>
      <c r="L673" s="5"/>
      <c r="M673" s="5" t="s">
        <v>8</v>
      </c>
      <c r="N673" s="5" t="s">
        <v>80</v>
      </c>
      <c r="O673" s="5" t="str">
        <f>IF(B673="","",IFERROR(LOOKUP(2,1/('Call Log'!$C$2:$C$5000=B673),'Call Log'!$B$2:$B$5000),""))</f>
        <v/>
      </c>
      <c r="P673" s="5">
        <f>IF(B673="","",COUNTIFS('Call Log'!$C$2:$C$5000,B673,'Call Log'!$A$2:$A$5000,"&gt;="&amp;(TODAY()-WEEKDAY(TODAY(),2)+1)))</f>
        <v>0</v>
      </c>
      <c r="Q673" s="5">
        <f>IF(B673="","",COUNTIF('Call Log'!$C$2:$C$5000,B673))</f>
        <v>0</v>
      </c>
      <c r="R673" s="21" t="str">
        <f>IF(B673="","",IFERROR(IF(MAXIFS('Call Log'!$A$2:$A$5000,'Call Log'!$C$2:$C$5000,B673)=0,"",MAXIFS('Call Log'!$A$2:$A$5000,'Call Log'!$C$2:$C$5000,B673)),""))</f>
        <v/>
      </c>
      <c r="S673" s="5"/>
      <c r="T673" s="21"/>
      <c r="U673" s="21"/>
      <c r="V673" s="5"/>
      <c r="W673" s="20"/>
      <c r="X673" s="5"/>
      <c r="Y673" s="5"/>
      <c r="Z673" s="5"/>
      <c r="AA673" s="5" t="s">
        <v>3740</v>
      </c>
    </row>
    <row r="674" ht="15.0" customHeight="1">
      <c r="A674" s="5" t="s">
        <v>3741</v>
      </c>
      <c r="B674" s="5" t="s">
        <v>3742</v>
      </c>
      <c r="C674" s="5"/>
      <c r="D674" s="5"/>
      <c r="E674" s="5"/>
      <c r="F674" s="20"/>
      <c r="G674" s="20"/>
      <c r="H674" s="5" t="s">
        <v>40</v>
      </c>
      <c r="I674" s="5" t="s">
        <v>213</v>
      </c>
      <c r="J674" s="5" t="s">
        <v>114</v>
      </c>
      <c r="K674" s="5" t="s">
        <v>3743</v>
      </c>
      <c r="L674" s="5"/>
      <c r="M674" s="5" t="s">
        <v>8</v>
      </c>
      <c r="N674" s="5" t="s">
        <v>80</v>
      </c>
      <c r="O674" s="5" t="str">
        <f>IF(B674="","",IFERROR(LOOKUP(2,1/('Call Log'!$C$2:$C$5000=B674),'Call Log'!$B$2:$B$5000),""))</f>
        <v/>
      </c>
      <c r="P674" s="5">
        <f>IF(B674="","",COUNTIFS('Call Log'!$C$2:$C$5000,B674,'Call Log'!$A$2:$A$5000,"&gt;="&amp;(TODAY()-WEEKDAY(TODAY(),2)+1)))</f>
        <v>0</v>
      </c>
      <c r="Q674" s="5">
        <f>IF(B674="","",COUNTIF('Call Log'!$C$2:$C$5000,B674))</f>
        <v>0</v>
      </c>
      <c r="R674" s="21" t="str">
        <f>IF(B674="","",IFERROR(IF(MAXIFS('Call Log'!$A$2:$A$5000,'Call Log'!$C$2:$C$5000,B674)=0,"",MAXIFS('Call Log'!$A$2:$A$5000,'Call Log'!$C$2:$C$5000,B674)),""))</f>
        <v/>
      </c>
      <c r="S674" s="5"/>
      <c r="T674" s="21"/>
      <c r="U674" s="21"/>
      <c r="V674" s="5"/>
      <c r="W674" s="20"/>
      <c r="X674" s="5"/>
      <c r="Y674" s="5"/>
      <c r="Z674" s="5"/>
      <c r="AA674" s="5"/>
    </row>
    <row r="675" ht="15.0" customHeight="1">
      <c r="A675" s="5" t="s">
        <v>3744</v>
      </c>
      <c r="B675" s="5" t="s">
        <v>3745</v>
      </c>
      <c r="C675" s="5"/>
      <c r="D675" s="5"/>
      <c r="E675" s="5"/>
      <c r="F675" s="20"/>
      <c r="G675" s="20"/>
      <c r="H675" s="5" t="s">
        <v>41</v>
      </c>
      <c r="I675" s="5" t="s">
        <v>904</v>
      </c>
      <c r="J675" s="5" t="s">
        <v>114</v>
      </c>
      <c r="K675" s="5" t="s">
        <v>3746</v>
      </c>
      <c r="L675" s="5"/>
      <c r="M675" s="5" t="s">
        <v>8</v>
      </c>
      <c r="N675" s="5" t="s">
        <v>80</v>
      </c>
      <c r="O675" s="5" t="str">
        <f>IF(B675="","",IFERROR(LOOKUP(2,1/('Call Log'!$C$2:$C$5000=B675),'Call Log'!$B$2:$B$5000),""))</f>
        <v/>
      </c>
      <c r="P675" s="5">
        <f>IF(B675="","",COUNTIFS('Call Log'!$C$2:$C$5000,B675,'Call Log'!$A$2:$A$5000,"&gt;="&amp;(TODAY()-WEEKDAY(TODAY(),2)+1)))</f>
        <v>0</v>
      </c>
      <c r="Q675" s="5">
        <f>IF(B675="","",COUNTIF('Call Log'!$C$2:$C$5000,B675))</f>
        <v>0</v>
      </c>
      <c r="R675" s="21" t="str">
        <f>IF(B675="","",IFERROR(IF(MAXIFS('Call Log'!$A$2:$A$5000,'Call Log'!$C$2:$C$5000,B675)=0,"",MAXIFS('Call Log'!$A$2:$A$5000,'Call Log'!$C$2:$C$5000,B675)),""))</f>
        <v/>
      </c>
      <c r="S675" s="5"/>
      <c r="T675" s="21"/>
      <c r="U675" s="21"/>
      <c r="V675" s="5"/>
      <c r="W675" s="20"/>
      <c r="X675" s="5"/>
      <c r="Y675" s="5"/>
      <c r="Z675" s="5"/>
      <c r="AA675" s="5"/>
    </row>
    <row r="676" ht="15.0" customHeight="1">
      <c r="A676" s="5" t="s">
        <v>3747</v>
      </c>
      <c r="B676" s="5" t="s">
        <v>3748</v>
      </c>
      <c r="C676" s="5"/>
      <c r="D676" s="5" t="s">
        <v>3749</v>
      </c>
      <c r="E676" s="5">
        <v>4.0</v>
      </c>
      <c r="F676" s="20"/>
      <c r="G676" s="20"/>
      <c r="H676" s="5" t="s">
        <v>40</v>
      </c>
      <c r="I676" s="5" t="s">
        <v>122</v>
      </c>
      <c r="J676" s="5" t="s">
        <v>114</v>
      </c>
      <c r="K676" s="5" t="s">
        <v>3750</v>
      </c>
      <c r="L676" s="5"/>
      <c r="M676" s="5" t="s">
        <v>8</v>
      </c>
      <c r="N676" s="5" t="s">
        <v>80</v>
      </c>
      <c r="O676" s="5" t="str">
        <f>IF(B676="","",IFERROR(LOOKUP(2,1/('Call Log'!$C$2:$C$5000=B676),'Call Log'!$B$2:$B$5000),""))</f>
        <v/>
      </c>
      <c r="P676" s="5">
        <f>IF(B676="","",COUNTIFS('Call Log'!$C$2:$C$5000,B676,'Call Log'!$A$2:$A$5000,"&gt;="&amp;(TODAY()-WEEKDAY(TODAY(),2)+1)))</f>
        <v>0</v>
      </c>
      <c r="Q676" s="5">
        <f>IF(B676="","",COUNTIF('Call Log'!$C$2:$C$5000,B676))</f>
        <v>0</v>
      </c>
      <c r="R676" s="21" t="str">
        <f>IF(B676="","",IFERROR(IF(MAXIFS('Call Log'!$A$2:$A$5000,'Call Log'!$C$2:$C$5000,B676)=0,"",MAXIFS('Call Log'!$A$2:$A$5000,'Call Log'!$C$2:$C$5000,B676)),""))</f>
        <v/>
      </c>
      <c r="S676" s="5"/>
      <c r="T676" s="21"/>
      <c r="U676" s="21"/>
      <c r="V676" s="5"/>
      <c r="W676" s="20"/>
      <c r="X676" s="5"/>
      <c r="Y676" s="5"/>
      <c r="Z676" s="5"/>
      <c r="AA676" s="5" t="s">
        <v>3751</v>
      </c>
    </row>
    <row r="677" ht="15.0" customHeight="1">
      <c r="A677" s="5" t="s">
        <v>3752</v>
      </c>
      <c r="B677" s="5" t="s">
        <v>3753</v>
      </c>
      <c r="C677" s="5"/>
      <c r="D677" s="5"/>
      <c r="E677" s="5"/>
      <c r="F677" s="20"/>
      <c r="G677" s="20"/>
      <c r="H677" s="5" t="s">
        <v>41</v>
      </c>
      <c r="I677" s="5" t="s">
        <v>2536</v>
      </c>
      <c r="J677" s="5" t="s">
        <v>114</v>
      </c>
      <c r="K677" s="5" t="s">
        <v>3754</v>
      </c>
      <c r="L677" s="5"/>
      <c r="M677" s="5" t="s">
        <v>8</v>
      </c>
      <c r="N677" s="5" t="s">
        <v>80</v>
      </c>
      <c r="O677" s="5" t="str">
        <f>IF(B677="","",IFERROR(LOOKUP(2,1/('Call Log'!$C$2:$C$5000=B677),'Call Log'!$B$2:$B$5000),""))</f>
        <v/>
      </c>
      <c r="P677" s="5">
        <f>IF(B677="","",COUNTIFS('Call Log'!$C$2:$C$5000,B677,'Call Log'!$A$2:$A$5000,"&gt;="&amp;(TODAY()-WEEKDAY(TODAY(),2)+1)))</f>
        <v>0</v>
      </c>
      <c r="Q677" s="5">
        <f>IF(B677="","",COUNTIF('Call Log'!$C$2:$C$5000,B677))</f>
        <v>0</v>
      </c>
      <c r="R677" s="21" t="str">
        <f>IF(B677="","",IFERROR(IF(MAXIFS('Call Log'!$A$2:$A$5000,'Call Log'!$C$2:$C$5000,B677)=0,"",MAXIFS('Call Log'!$A$2:$A$5000,'Call Log'!$C$2:$C$5000,B677)),""))</f>
        <v/>
      </c>
      <c r="S677" s="5"/>
      <c r="T677" s="21"/>
      <c r="U677" s="21"/>
      <c r="V677" s="5"/>
      <c r="W677" s="20"/>
      <c r="X677" s="5"/>
      <c r="Y677" s="5"/>
      <c r="Z677" s="5"/>
      <c r="AA677" s="5"/>
    </row>
    <row r="678" ht="15.0" customHeight="1">
      <c r="A678" s="5" t="s">
        <v>3755</v>
      </c>
      <c r="B678" s="5" t="s">
        <v>3756</v>
      </c>
      <c r="C678" s="5"/>
      <c r="D678" s="5"/>
      <c r="E678" s="5"/>
      <c r="F678" s="20"/>
      <c r="G678" s="20"/>
      <c r="H678" s="5" t="s">
        <v>40</v>
      </c>
      <c r="I678" s="5" t="s">
        <v>213</v>
      </c>
      <c r="J678" s="5" t="s">
        <v>114</v>
      </c>
      <c r="K678" s="5" t="s">
        <v>3757</v>
      </c>
      <c r="L678" s="5"/>
      <c r="M678" s="5" t="s">
        <v>8</v>
      </c>
      <c r="N678" s="5" t="s">
        <v>80</v>
      </c>
      <c r="O678" s="5" t="str">
        <f>IF(B678="","",IFERROR(LOOKUP(2,1/('Call Log'!$C$2:$C$5000=B678),'Call Log'!$B$2:$B$5000),""))</f>
        <v/>
      </c>
      <c r="P678" s="5">
        <f>IF(B678="","",COUNTIFS('Call Log'!$C$2:$C$5000,B678,'Call Log'!$A$2:$A$5000,"&gt;="&amp;(TODAY()-WEEKDAY(TODAY(),2)+1)))</f>
        <v>0</v>
      </c>
      <c r="Q678" s="5">
        <f>IF(B678="","",COUNTIF('Call Log'!$C$2:$C$5000,B678))</f>
        <v>0</v>
      </c>
      <c r="R678" s="21" t="str">
        <f>IF(B678="","",IFERROR(IF(MAXIFS('Call Log'!$A$2:$A$5000,'Call Log'!$C$2:$C$5000,B678)=0,"",MAXIFS('Call Log'!$A$2:$A$5000,'Call Log'!$C$2:$C$5000,B678)),""))</f>
        <v/>
      </c>
      <c r="S678" s="5"/>
      <c r="T678" s="21"/>
      <c r="U678" s="21"/>
      <c r="V678" s="5"/>
      <c r="W678" s="20"/>
      <c r="X678" s="5"/>
      <c r="Y678" s="5"/>
      <c r="Z678" s="5"/>
      <c r="AA678" s="5" t="s">
        <v>3758</v>
      </c>
    </row>
    <row r="679" ht="15.0" customHeight="1">
      <c r="A679" s="5" t="s">
        <v>3759</v>
      </c>
      <c r="B679" s="5" t="s">
        <v>3760</v>
      </c>
      <c r="C679" s="5"/>
      <c r="D679" s="5"/>
      <c r="E679" s="5">
        <v>11.0</v>
      </c>
      <c r="F679" s="20"/>
      <c r="G679" s="20"/>
      <c r="H679" s="5" t="s">
        <v>40</v>
      </c>
      <c r="I679" s="5" t="s">
        <v>154</v>
      </c>
      <c r="J679" s="5" t="s">
        <v>114</v>
      </c>
      <c r="K679" s="5" t="s">
        <v>3761</v>
      </c>
      <c r="L679" s="5"/>
      <c r="M679" s="5" t="s">
        <v>8</v>
      </c>
      <c r="N679" s="5" t="s">
        <v>80</v>
      </c>
      <c r="O679" s="5" t="str">
        <f>IF(B679="","",IFERROR(LOOKUP(2,1/('Call Log'!$C$2:$C$5000=B679),'Call Log'!$B$2:$B$5000),""))</f>
        <v/>
      </c>
      <c r="P679" s="5">
        <f>IF(B679="","",COUNTIFS('Call Log'!$C$2:$C$5000,B679,'Call Log'!$A$2:$A$5000,"&gt;="&amp;(TODAY()-WEEKDAY(TODAY(),2)+1)))</f>
        <v>0</v>
      </c>
      <c r="Q679" s="5">
        <f>IF(B679="","",COUNTIF('Call Log'!$C$2:$C$5000,B679))</f>
        <v>0</v>
      </c>
      <c r="R679" s="21" t="str">
        <f>IF(B679="","",IFERROR(IF(MAXIFS('Call Log'!$A$2:$A$5000,'Call Log'!$C$2:$C$5000,B679)=0,"",MAXIFS('Call Log'!$A$2:$A$5000,'Call Log'!$C$2:$C$5000,B679)),""))</f>
        <v/>
      </c>
      <c r="S679" s="5"/>
      <c r="T679" s="21"/>
      <c r="U679" s="21"/>
      <c r="V679" s="5"/>
      <c r="W679" s="20"/>
      <c r="X679" s="5"/>
      <c r="Y679" s="5"/>
      <c r="Z679" s="5"/>
      <c r="AA679" s="5" t="s">
        <v>3762</v>
      </c>
    </row>
    <row r="680" ht="15.0" customHeight="1">
      <c r="A680" s="5" t="s">
        <v>3763</v>
      </c>
      <c r="B680" s="5" t="s">
        <v>3764</v>
      </c>
      <c r="C680" s="5"/>
      <c r="D680" s="5"/>
      <c r="E680" s="5">
        <v>7.0</v>
      </c>
      <c r="F680" s="20"/>
      <c r="G680" s="20"/>
      <c r="H680" s="5" t="s">
        <v>40</v>
      </c>
      <c r="I680" s="5" t="s">
        <v>175</v>
      </c>
      <c r="J680" s="5" t="s">
        <v>114</v>
      </c>
      <c r="K680" s="5" t="s">
        <v>3765</v>
      </c>
      <c r="L680" s="5"/>
      <c r="M680" s="5" t="s">
        <v>8</v>
      </c>
      <c r="N680" s="5" t="s">
        <v>80</v>
      </c>
      <c r="O680" s="5" t="str">
        <f>IF(B680="","",IFERROR(LOOKUP(2,1/('Call Log'!$C$2:$C$5000=B680),'Call Log'!$B$2:$B$5000),""))</f>
        <v/>
      </c>
      <c r="P680" s="5">
        <f>IF(B680="","",COUNTIFS('Call Log'!$C$2:$C$5000,B680,'Call Log'!$A$2:$A$5000,"&gt;="&amp;(TODAY()-WEEKDAY(TODAY(),2)+1)))</f>
        <v>0</v>
      </c>
      <c r="Q680" s="5">
        <f>IF(B680="","",COUNTIF('Call Log'!$C$2:$C$5000,B680))</f>
        <v>0</v>
      </c>
      <c r="R680" s="21" t="str">
        <f>IF(B680="","",IFERROR(IF(MAXIFS('Call Log'!$A$2:$A$5000,'Call Log'!$C$2:$C$5000,B680)=0,"",MAXIFS('Call Log'!$A$2:$A$5000,'Call Log'!$C$2:$C$5000,B680)),""))</f>
        <v/>
      </c>
      <c r="S680" s="5"/>
      <c r="T680" s="21"/>
      <c r="U680" s="21"/>
      <c r="V680" s="5"/>
      <c r="W680" s="20"/>
      <c r="X680" s="5"/>
      <c r="Y680" s="5"/>
      <c r="Z680" s="5" t="s">
        <v>132</v>
      </c>
      <c r="AA680" s="5" t="s">
        <v>3766</v>
      </c>
    </row>
    <row r="681" ht="15.0" customHeight="1">
      <c r="A681" s="5" t="s">
        <v>3767</v>
      </c>
      <c r="B681" s="5" t="s">
        <v>3768</v>
      </c>
      <c r="C681" s="5"/>
      <c r="D681" s="5"/>
      <c r="E681" s="5"/>
      <c r="F681" s="20"/>
      <c r="G681" s="20"/>
      <c r="H681" s="5" t="s">
        <v>41</v>
      </c>
      <c r="I681" s="5" t="s">
        <v>206</v>
      </c>
      <c r="J681" s="5" t="s">
        <v>114</v>
      </c>
      <c r="K681" s="5" t="s">
        <v>3769</v>
      </c>
      <c r="L681" s="5"/>
      <c r="M681" s="5" t="s">
        <v>8</v>
      </c>
      <c r="N681" s="5" t="s">
        <v>80</v>
      </c>
      <c r="O681" s="5" t="str">
        <f>IF(B681="","",IFERROR(LOOKUP(2,1/('Call Log'!$C$2:$C$5000=B681),'Call Log'!$B$2:$B$5000),""))</f>
        <v/>
      </c>
      <c r="P681" s="5">
        <f>IF(B681="","",COUNTIFS('Call Log'!$C$2:$C$5000,B681,'Call Log'!$A$2:$A$5000,"&gt;="&amp;(TODAY()-WEEKDAY(TODAY(),2)+1)))</f>
        <v>0</v>
      </c>
      <c r="Q681" s="5">
        <f>IF(B681="","",COUNTIF('Call Log'!$C$2:$C$5000,B681))</f>
        <v>0</v>
      </c>
      <c r="R681" s="21" t="str">
        <f>IF(B681="","",IFERROR(IF(MAXIFS('Call Log'!$A$2:$A$5000,'Call Log'!$C$2:$C$5000,B681)=0,"",MAXIFS('Call Log'!$A$2:$A$5000,'Call Log'!$C$2:$C$5000,B681)),""))</f>
        <v/>
      </c>
      <c r="S681" s="5"/>
      <c r="T681" s="21"/>
      <c r="U681" s="21"/>
      <c r="V681" s="5"/>
      <c r="W681" s="20"/>
      <c r="X681" s="5"/>
      <c r="Y681" s="5"/>
      <c r="Z681" s="5"/>
      <c r="AA681" s="5"/>
    </row>
    <row r="682" ht="15.0" customHeight="1">
      <c r="A682" s="5" t="s">
        <v>3770</v>
      </c>
      <c r="B682" s="5" t="s">
        <v>3771</v>
      </c>
      <c r="C682" s="5"/>
      <c r="D682" s="5"/>
      <c r="E682" s="5">
        <v>1.0</v>
      </c>
      <c r="F682" s="20"/>
      <c r="G682" s="20"/>
      <c r="H682" s="5" t="s">
        <v>41</v>
      </c>
      <c r="I682" s="5" t="s">
        <v>146</v>
      </c>
      <c r="J682" s="5" t="s">
        <v>114</v>
      </c>
      <c r="K682" s="5" t="s">
        <v>3772</v>
      </c>
      <c r="L682" s="5"/>
      <c r="M682" s="5" t="s">
        <v>8</v>
      </c>
      <c r="N682" s="5" t="s">
        <v>80</v>
      </c>
      <c r="O682" s="5" t="str">
        <f>IF(B682="","",IFERROR(LOOKUP(2,1/('Call Log'!$C$2:$C$5000=B682),'Call Log'!$B$2:$B$5000),""))</f>
        <v/>
      </c>
      <c r="P682" s="5">
        <f>IF(B682="","",COUNTIFS('Call Log'!$C$2:$C$5000,B682,'Call Log'!$A$2:$A$5000,"&gt;="&amp;(TODAY()-WEEKDAY(TODAY(),2)+1)))</f>
        <v>0</v>
      </c>
      <c r="Q682" s="5">
        <f>IF(B682="","",COUNTIF('Call Log'!$C$2:$C$5000,B682))</f>
        <v>0</v>
      </c>
      <c r="R682" s="21" t="str">
        <f>IF(B682="","",IFERROR(IF(MAXIFS('Call Log'!$A$2:$A$5000,'Call Log'!$C$2:$C$5000,B682)=0,"",MAXIFS('Call Log'!$A$2:$A$5000,'Call Log'!$C$2:$C$5000,B682)),""))</f>
        <v/>
      </c>
      <c r="S682" s="5"/>
      <c r="T682" s="21"/>
      <c r="U682" s="21"/>
      <c r="V682" s="5"/>
      <c r="W682" s="20"/>
      <c r="X682" s="5"/>
      <c r="Y682" s="5"/>
      <c r="Z682" s="5"/>
      <c r="AA682" s="5" t="s">
        <v>3773</v>
      </c>
    </row>
    <row r="683" ht="15.0" customHeight="1">
      <c r="A683" s="5" t="s">
        <v>3774</v>
      </c>
      <c r="B683" s="5" t="s">
        <v>3775</v>
      </c>
      <c r="C683" s="5"/>
      <c r="D683" s="5"/>
      <c r="E683" s="5">
        <v>9.0</v>
      </c>
      <c r="F683" s="20"/>
      <c r="G683" s="20"/>
      <c r="H683" s="5" t="s">
        <v>41</v>
      </c>
      <c r="I683" s="5" t="s">
        <v>122</v>
      </c>
      <c r="J683" s="5" t="s">
        <v>114</v>
      </c>
      <c r="K683" s="5" t="s">
        <v>3776</v>
      </c>
      <c r="L683" s="5"/>
      <c r="M683" s="5" t="s">
        <v>8</v>
      </c>
      <c r="N683" s="5" t="s">
        <v>80</v>
      </c>
      <c r="O683" s="5" t="str">
        <f>IF(B683="","",IFERROR(LOOKUP(2,1/('Call Log'!$C$2:$C$5000=B683),'Call Log'!$B$2:$B$5000),""))</f>
        <v/>
      </c>
      <c r="P683" s="5">
        <f>IF(B683="","",COUNTIFS('Call Log'!$C$2:$C$5000,B683,'Call Log'!$A$2:$A$5000,"&gt;="&amp;(TODAY()-WEEKDAY(TODAY(),2)+1)))</f>
        <v>0</v>
      </c>
      <c r="Q683" s="5">
        <f>IF(B683="","",COUNTIF('Call Log'!$C$2:$C$5000,B683))</f>
        <v>0</v>
      </c>
      <c r="R683" s="21" t="str">
        <f>IF(B683="","",IFERROR(IF(MAXIFS('Call Log'!$A$2:$A$5000,'Call Log'!$C$2:$C$5000,B683)=0,"",MAXIFS('Call Log'!$A$2:$A$5000,'Call Log'!$C$2:$C$5000,B683)),""))</f>
        <v/>
      </c>
      <c r="S683" s="5"/>
      <c r="T683" s="21"/>
      <c r="U683" s="21"/>
      <c r="V683" s="5"/>
      <c r="W683" s="20"/>
      <c r="X683" s="5"/>
      <c r="Y683" s="5"/>
      <c r="Z683" s="5"/>
      <c r="AA683" s="5" t="s">
        <v>3777</v>
      </c>
    </row>
    <row r="684" ht="15.0" customHeight="1">
      <c r="A684" s="5" t="s">
        <v>3778</v>
      </c>
      <c r="B684" s="5" t="s">
        <v>3779</v>
      </c>
      <c r="C684" s="5"/>
      <c r="D684" s="5"/>
      <c r="E684" s="5"/>
      <c r="F684" s="20"/>
      <c r="G684" s="20"/>
      <c r="H684" s="5" t="s">
        <v>40</v>
      </c>
      <c r="I684" s="5" t="s">
        <v>146</v>
      </c>
      <c r="J684" s="5" t="s">
        <v>114</v>
      </c>
      <c r="K684" s="5" t="s">
        <v>3780</v>
      </c>
      <c r="L684" s="5"/>
      <c r="M684" s="5" t="s">
        <v>8</v>
      </c>
      <c r="N684" s="5" t="s">
        <v>80</v>
      </c>
      <c r="O684" s="5" t="str">
        <f>IF(B684="","",IFERROR(LOOKUP(2,1/('Call Log'!$C$2:$C$5000=B684),'Call Log'!$B$2:$B$5000),""))</f>
        <v/>
      </c>
      <c r="P684" s="5">
        <f>IF(B684="","",COUNTIFS('Call Log'!$C$2:$C$5000,B684,'Call Log'!$A$2:$A$5000,"&gt;="&amp;(TODAY()-WEEKDAY(TODAY(),2)+1)))</f>
        <v>0</v>
      </c>
      <c r="Q684" s="5">
        <f>IF(B684="","",COUNTIF('Call Log'!$C$2:$C$5000,B684))</f>
        <v>0</v>
      </c>
      <c r="R684" s="21" t="str">
        <f>IF(B684="","",IFERROR(IF(MAXIFS('Call Log'!$A$2:$A$5000,'Call Log'!$C$2:$C$5000,B684)=0,"",MAXIFS('Call Log'!$A$2:$A$5000,'Call Log'!$C$2:$C$5000,B684)),""))</f>
        <v/>
      </c>
      <c r="S684" s="5"/>
      <c r="T684" s="21"/>
      <c r="U684" s="21"/>
      <c r="V684" s="5"/>
      <c r="W684" s="20"/>
      <c r="X684" s="5"/>
      <c r="Y684" s="5"/>
      <c r="Z684" s="5" t="s">
        <v>132</v>
      </c>
      <c r="AA684" s="5" t="s">
        <v>3781</v>
      </c>
    </row>
    <row r="685" ht="15.0" customHeight="1">
      <c r="A685" s="5" t="s">
        <v>3782</v>
      </c>
      <c r="B685" s="5" t="s">
        <v>3783</v>
      </c>
      <c r="C685" s="5"/>
      <c r="D685" s="5"/>
      <c r="E685" s="5"/>
      <c r="F685" s="20"/>
      <c r="G685" s="20"/>
      <c r="H685" s="5" t="s">
        <v>41</v>
      </c>
      <c r="I685" s="5" t="s">
        <v>3784</v>
      </c>
      <c r="J685" s="5" t="s">
        <v>114</v>
      </c>
      <c r="K685" s="5" t="s">
        <v>3785</v>
      </c>
      <c r="L685" s="5"/>
      <c r="M685" s="5" t="s">
        <v>8</v>
      </c>
      <c r="N685" s="5" t="s">
        <v>80</v>
      </c>
      <c r="O685" s="5" t="str">
        <f>IF(B685="","",IFERROR(LOOKUP(2,1/('Call Log'!$C$2:$C$5000=B685),'Call Log'!$B$2:$B$5000),""))</f>
        <v/>
      </c>
      <c r="P685" s="5">
        <f>IF(B685="","",COUNTIFS('Call Log'!$C$2:$C$5000,B685,'Call Log'!$A$2:$A$5000,"&gt;="&amp;(TODAY()-WEEKDAY(TODAY(),2)+1)))</f>
        <v>0</v>
      </c>
      <c r="Q685" s="5">
        <f>IF(B685="","",COUNTIF('Call Log'!$C$2:$C$5000,B685))</f>
        <v>0</v>
      </c>
      <c r="R685" s="21" t="str">
        <f>IF(B685="","",IFERROR(IF(MAXIFS('Call Log'!$A$2:$A$5000,'Call Log'!$C$2:$C$5000,B685)=0,"",MAXIFS('Call Log'!$A$2:$A$5000,'Call Log'!$C$2:$C$5000,B685)),""))</f>
        <v/>
      </c>
      <c r="S685" s="5"/>
      <c r="T685" s="21"/>
      <c r="U685" s="21"/>
      <c r="V685" s="5"/>
      <c r="W685" s="20"/>
      <c r="X685" s="5"/>
      <c r="Y685" s="5"/>
      <c r="Z685" s="5"/>
      <c r="AA685" s="5"/>
    </row>
    <row r="686" ht="15.0" customHeight="1">
      <c r="A686" s="5" t="s">
        <v>3786</v>
      </c>
      <c r="B686" s="5" t="s">
        <v>3787</v>
      </c>
      <c r="C686" s="5"/>
      <c r="D686" s="5"/>
      <c r="E686" s="5"/>
      <c r="F686" s="20"/>
      <c r="G686" s="20"/>
      <c r="H686" s="5" t="s">
        <v>41</v>
      </c>
      <c r="I686" s="5" t="s">
        <v>231</v>
      </c>
      <c r="J686" s="5" t="s">
        <v>114</v>
      </c>
      <c r="K686" s="5" t="s">
        <v>3788</v>
      </c>
      <c r="L686" s="5"/>
      <c r="M686" s="5" t="s">
        <v>8</v>
      </c>
      <c r="N686" s="5" t="s">
        <v>80</v>
      </c>
      <c r="O686" s="5" t="str">
        <f>IF(B686="","",IFERROR(LOOKUP(2,1/('Call Log'!$C$2:$C$5000=B686),'Call Log'!$B$2:$B$5000),""))</f>
        <v/>
      </c>
      <c r="P686" s="5">
        <f>IF(B686="","",COUNTIFS('Call Log'!$C$2:$C$5000,B686,'Call Log'!$A$2:$A$5000,"&gt;="&amp;(TODAY()-WEEKDAY(TODAY(),2)+1)))</f>
        <v>0</v>
      </c>
      <c r="Q686" s="5">
        <f>IF(B686="","",COUNTIF('Call Log'!$C$2:$C$5000,B686))</f>
        <v>0</v>
      </c>
      <c r="R686" s="21" t="str">
        <f>IF(B686="","",IFERROR(IF(MAXIFS('Call Log'!$A$2:$A$5000,'Call Log'!$C$2:$C$5000,B686)=0,"",MAXIFS('Call Log'!$A$2:$A$5000,'Call Log'!$C$2:$C$5000,B686)),""))</f>
        <v/>
      </c>
      <c r="S686" s="5"/>
      <c r="T686" s="21"/>
      <c r="U686" s="21"/>
      <c r="V686" s="5"/>
      <c r="W686" s="20"/>
      <c r="X686" s="5"/>
      <c r="Y686" s="5"/>
      <c r="Z686" s="5"/>
      <c r="AA686" s="5"/>
    </row>
    <row r="687" ht="15.0" customHeight="1">
      <c r="A687" s="5" t="s">
        <v>3789</v>
      </c>
      <c r="B687" s="5" t="s">
        <v>3790</v>
      </c>
      <c r="C687" s="5"/>
      <c r="D687" s="5"/>
      <c r="E687" s="5">
        <v>1.0</v>
      </c>
      <c r="F687" s="20"/>
      <c r="G687" s="20"/>
      <c r="H687" s="5" t="s">
        <v>40</v>
      </c>
      <c r="I687" s="5" t="s">
        <v>594</v>
      </c>
      <c r="J687" s="5" t="s">
        <v>114</v>
      </c>
      <c r="K687" s="5" t="s">
        <v>3791</v>
      </c>
      <c r="L687" s="5"/>
      <c r="M687" s="5" t="s">
        <v>8</v>
      </c>
      <c r="N687" s="5" t="s">
        <v>80</v>
      </c>
      <c r="O687" s="5" t="str">
        <f>IF(B687="","",IFERROR(LOOKUP(2,1/('Call Log'!$C$2:$C$5000=B687),'Call Log'!$B$2:$B$5000),""))</f>
        <v/>
      </c>
      <c r="P687" s="5">
        <f>IF(B687="","",COUNTIFS('Call Log'!$C$2:$C$5000,B687,'Call Log'!$A$2:$A$5000,"&gt;="&amp;(TODAY()-WEEKDAY(TODAY(),2)+1)))</f>
        <v>0</v>
      </c>
      <c r="Q687" s="5">
        <f>IF(B687="","",COUNTIF('Call Log'!$C$2:$C$5000,B687))</f>
        <v>0</v>
      </c>
      <c r="R687" s="21" t="str">
        <f>IF(B687="","",IFERROR(IF(MAXIFS('Call Log'!$A$2:$A$5000,'Call Log'!$C$2:$C$5000,B687)=0,"",MAXIFS('Call Log'!$A$2:$A$5000,'Call Log'!$C$2:$C$5000,B687)),""))</f>
        <v/>
      </c>
      <c r="S687" s="5"/>
      <c r="T687" s="21"/>
      <c r="U687" s="21"/>
      <c r="V687" s="5"/>
      <c r="W687" s="20"/>
      <c r="X687" s="5"/>
      <c r="Y687" s="5"/>
      <c r="Z687" s="5"/>
      <c r="AA687" s="5"/>
    </row>
    <row r="688" ht="15.0" customHeight="1">
      <c r="A688" s="5" t="s">
        <v>3792</v>
      </c>
      <c r="B688" s="5" t="s">
        <v>3793</v>
      </c>
      <c r="C688" s="5"/>
      <c r="D688" s="5"/>
      <c r="E688" s="5"/>
      <c r="F688" s="20"/>
      <c r="G688" s="20"/>
      <c r="H688" s="5" t="s">
        <v>41</v>
      </c>
      <c r="I688" s="5" t="s">
        <v>146</v>
      </c>
      <c r="J688" s="5" t="s">
        <v>114</v>
      </c>
      <c r="K688" s="5" t="s">
        <v>3794</v>
      </c>
      <c r="L688" s="5"/>
      <c r="M688" s="5" t="s">
        <v>8</v>
      </c>
      <c r="N688" s="5" t="s">
        <v>80</v>
      </c>
      <c r="O688" s="5" t="str">
        <f>IF(B688="","",IFERROR(LOOKUP(2,1/('Call Log'!$C$2:$C$5000=B688),'Call Log'!$B$2:$B$5000),""))</f>
        <v/>
      </c>
      <c r="P688" s="5">
        <f>IF(B688="","",COUNTIFS('Call Log'!$C$2:$C$5000,B688,'Call Log'!$A$2:$A$5000,"&gt;="&amp;(TODAY()-WEEKDAY(TODAY(),2)+1)))</f>
        <v>0</v>
      </c>
      <c r="Q688" s="5">
        <f>IF(B688="","",COUNTIF('Call Log'!$C$2:$C$5000,B688))</f>
        <v>0</v>
      </c>
      <c r="R688" s="21" t="str">
        <f>IF(B688="","",IFERROR(IF(MAXIFS('Call Log'!$A$2:$A$5000,'Call Log'!$C$2:$C$5000,B688)=0,"",MAXIFS('Call Log'!$A$2:$A$5000,'Call Log'!$C$2:$C$5000,B688)),""))</f>
        <v/>
      </c>
      <c r="S688" s="5"/>
      <c r="T688" s="21"/>
      <c r="U688" s="21"/>
      <c r="V688" s="5"/>
      <c r="W688" s="20"/>
      <c r="X688" s="5"/>
      <c r="Y688" s="5"/>
      <c r="Z688" s="5"/>
      <c r="AA688" s="5"/>
    </row>
    <row r="689" ht="15.0" customHeight="1">
      <c r="A689" s="5" t="s">
        <v>3795</v>
      </c>
      <c r="B689" s="5" t="s">
        <v>3796</v>
      </c>
      <c r="C689" s="5"/>
      <c r="D689" s="5"/>
      <c r="E689" s="5"/>
      <c r="F689" s="20"/>
      <c r="G689" s="20"/>
      <c r="H689" s="5" t="s">
        <v>41</v>
      </c>
      <c r="I689" s="5" t="s">
        <v>129</v>
      </c>
      <c r="J689" s="5" t="s">
        <v>114</v>
      </c>
      <c r="K689" s="5" t="s">
        <v>3797</v>
      </c>
      <c r="L689" s="5"/>
      <c r="M689" s="5" t="s">
        <v>8</v>
      </c>
      <c r="N689" s="5" t="s">
        <v>80</v>
      </c>
      <c r="O689" s="5" t="str">
        <f>IF(B689="","",IFERROR(LOOKUP(2,1/('Call Log'!$C$2:$C$5000=B689),'Call Log'!$B$2:$B$5000),""))</f>
        <v/>
      </c>
      <c r="P689" s="5">
        <f>IF(B689="","",COUNTIFS('Call Log'!$C$2:$C$5000,B689,'Call Log'!$A$2:$A$5000,"&gt;="&amp;(TODAY()-WEEKDAY(TODAY(),2)+1)))</f>
        <v>0</v>
      </c>
      <c r="Q689" s="5">
        <f>IF(B689="","",COUNTIF('Call Log'!$C$2:$C$5000,B689))</f>
        <v>0</v>
      </c>
      <c r="R689" s="21" t="str">
        <f>IF(B689="","",IFERROR(IF(MAXIFS('Call Log'!$A$2:$A$5000,'Call Log'!$C$2:$C$5000,B689)=0,"",MAXIFS('Call Log'!$A$2:$A$5000,'Call Log'!$C$2:$C$5000,B689)),""))</f>
        <v/>
      </c>
      <c r="S689" s="5"/>
      <c r="T689" s="21"/>
      <c r="U689" s="21"/>
      <c r="V689" s="5"/>
      <c r="W689" s="20"/>
      <c r="X689" s="5"/>
      <c r="Y689" s="5"/>
      <c r="Z689" s="5"/>
      <c r="AA689" s="5"/>
    </row>
    <row r="690" ht="15.0" customHeight="1">
      <c r="A690" s="5" t="s">
        <v>3798</v>
      </c>
      <c r="B690" s="5" t="s">
        <v>3799</v>
      </c>
      <c r="C690" s="5"/>
      <c r="D690" s="5"/>
      <c r="E690" s="5"/>
      <c r="F690" s="20"/>
      <c r="G690" s="20"/>
      <c r="H690" s="5" t="s">
        <v>41</v>
      </c>
      <c r="I690" s="5" t="s">
        <v>154</v>
      </c>
      <c r="J690" s="5" t="s">
        <v>114</v>
      </c>
      <c r="K690" s="5" t="s">
        <v>3800</v>
      </c>
      <c r="L690" s="5"/>
      <c r="M690" s="5" t="s">
        <v>8</v>
      </c>
      <c r="N690" s="5" t="s">
        <v>80</v>
      </c>
      <c r="O690" s="5" t="str">
        <f>IF(B690="","",IFERROR(LOOKUP(2,1/('Call Log'!$C$2:$C$5000=B690),'Call Log'!$B$2:$B$5000),""))</f>
        <v/>
      </c>
      <c r="P690" s="5">
        <f>IF(B690="","",COUNTIFS('Call Log'!$C$2:$C$5000,B690,'Call Log'!$A$2:$A$5000,"&gt;="&amp;(TODAY()-WEEKDAY(TODAY(),2)+1)))</f>
        <v>0</v>
      </c>
      <c r="Q690" s="5">
        <f>IF(B690="","",COUNTIF('Call Log'!$C$2:$C$5000,B690))</f>
        <v>0</v>
      </c>
      <c r="R690" s="21" t="str">
        <f>IF(B690="","",IFERROR(IF(MAXIFS('Call Log'!$A$2:$A$5000,'Call Log'!$C$2:$C$5000,B690)=0,"",MAXIFS('Call Log'!$A$2:$A$5000,'Call Log'!$C$2:$C$5000,B690)),""))</f>
        <v/>
      </c>
      <c r="S690" s="5"/>
      <c r="T690" s="21"/>
      <c r="U690" s="21"/>
      <c r="V690" s="5"/>
      <c r="W690" s="20"/>
      <c r="X690" s="5"/>
      <c r="Y690" s="5"/>
      <c r="Z690" s="5"/>
      <c r="AA690" s="5"/>
    </row>
    <row r="691" ht="15.0" customHeight="1">
      <c r="A691" s="5" t="s">
        <v>3801</v>
      </c>
      <c r="B691" s="5" t="s">
        <v>3802</v>
      </c>
      <c r="C691" s="5"/>
      <c r="D691" s="5"/>
      <c r="E691" s="5">
        <v>4.0</v>
      </c>
      <c r="F691" s="20"/>
      <c r="G691" s="20"/>
      <c r="H691" s="5" t="s">
        <v>41</v>
      </c>
      <c r="I691" s="5" t="s">
        <v>146</v>
      </c>
      <c r="J691" s="5" t="s">
        <v>114</v>
      </c>
      <c r="K691" s="5" t="s">
        <v>3803</v>
      </c>
      <c r="L691" s="5"/>
      <c r="M691" s="5" t="s">
        <v>8</v>
      </c>
      <c r="N691" s="5" t="s">
        <v>80</v>
      </c>
      <c r="O691" s="5" t="str">
        <f>IF(B691="","",IFERROR(LOOKUP(2,1/('Call Log'!$C$2:$C$5000=B691),'Call Log'!$B$2:$B$5000),""))</f>
        <v/>
      </c>
      <c r="P691" s="5">
        <f>IF(B691="","",COUNTIFS('Call Log'!$C$2:$C$5000,B691,'Call Log'!$A$2:$A$5000,"&gt;="&amp;(TODAY()-WEEKDAY(TODAY(),2)+1)))</f>
        <v>0</v>
      </c>
      <c r="Q691" s="5">
        <f>IF(B691="","",COUNTIF('Call Log'!$C$2:$C$5000,B691))</f>
        <v>0</v>
      </c>
      <c r="R691" s="21" t="str">
        <f>IF(B691="","",IFERROR(IF(MAXIFS('Call Log'!$A$2:$A$5000,'Call Log'!$C$2:$C$5000,B691)=0,"",MAXIFS('Call Log'!$A$2:$A$5000,'Call Log'!$C$2:$C$5000,B691)),""))</f>
        <v/>
      </c>
      <c r="S691" s="5"/>
      <c r="T691" s="21"/>
      <c r="U691" s="21"/>
      <c r="V691" s="5"/>
      <c r="W691" s="20"/>
      <c r="X691" s="5"/>
      <c r="Y691" s="5"/>
      <c r="Z691" s="5"/>
      <c r="AA691" s="5"/>
    </row>
    <row r="692" ht="15.0" customHeight="1">
      <c r="A692" s="5" t="s">
        <v>3804</v>
      </c>
      <c r="B692" s="5" t="s">
        <v>3805</v>
      </c>
      <c r="C692" s="5"/>
      <c r="D692" s="5"/>
      <c r="E692" s="5"/>
      <c r="F692" s="20"/>
      <c r="G692" s="20"/>
      <c r="H692" s="5" t="s">
        <v>41</v>
      </c>
      <c r="I692" s="5" t="s">
        <v>129</v>
      </c>
      <c r="J692" s="5" t="s">
        <v>114</v>
      </c>
      <c r="K692" s="5" t="s">
        <v>3806</v>
      </c>
      <c r="L692" s="5"/>
      <c r="M692" s="5" t="s">
        <v>8</v>
      </c>
      <c r="N692" s="5" t="s">
        <v>80</v>
      </c>
      <c r="O692" s="5" t="str">
        <f>IF(B692="","",IFERROR(LOOKUP(2,1/('Call Log'!$C$2:$C$5000=B692),'Call Log'!$B$2:$B$5000),""))</f>
        <v/>
      </c>
      <c r="P692" s="5">
        <f>IF(B692="","",COUNTIFS('Call Log'!$C$2:$C$5000,B692,'Call Log'!$A$2:$A$5000,"&gt;="&amp;(TODAY()-WEEKDAY(TODAY(),2)+1)))</f>
        <v>0</v>
      </c>
      <c r="Q692" s="5">
        <f>IF(B692="","",COUNTIF('Call Log'!$C$2:$C$5000,B692))</f>
        <v>0</v>
      </c>
      <c r="R692" s="21" t="str">
        <f>IF(B692="","",IFERROR(IF(MAXIFS('Call Log'!$A$2:$A$5000,'Call Log'!$C$2:$C$5000,B692)=0,"",MAXIFS('Call Log'!$A$2:$A$5000,'Call Log'!$C$2:$C$5000,B692)),""))</f>
        <v/>
      </c>
      <c r="S692" s="5"/>
      <c r="T692" s="21"/>
      <c r="U692" s="21"/>
      <c r="V692" s="5"/>
      <c r="W692" s="20"/>
      <c r="X692" s="5"/>
      <c r="Y692" s="5"/>
      <c r="Z692" s="5"/>
      <c r="AA692" s="5" t="s">
        <v>3711</v>
      </c>
    </row>
    <row r="693" ht="15.0" customHeight="1">
      <c r="A693" s="5" t="s">
        <v>3807</v>
      </c>
      <c r="B693" s="5" t="s">
        <v>3808</v>
      </c>
      <c r="C693" s="5"/>
      <c r="D693" s="5"/>
      <c r="E693" s="5">
        <v>4.0</v>
      </c>
      <c r="F693" s="20"/>
      <c r="G693" s="20"/>
      <c r="H693" s="5" t="s">
        <v>43</v>
      </c>
      <c r="I693" s="5" t="s">
        <v>1093</v>
      </c>
      <c r="J693" s="5" t="s">
        <v>114</v>
      </c>
      <c r="K693" s="5" t="s">
        <v>3809</v>
      </c>
      <c r="L693" s="5"/>
      <c r="M693" s="5" t="s">
        <v>8</v>
      </c>
      <c r="N693" s="5" t="s">
        <v>80</v>
      </c>
      <c r="O693" s="5" t="str">
        <f>IF(B693="","",IFERROR(LOOKUP(2,1/('Call Log'!$C$2:$C$5000=B693),'Call Log'!$B$2:$B$5000),""))</f>
        <v/>
      </c>
      <c r="P693" s="5">
        <f>IF(B693="","",COUNTIFS('Call Log'!$C$2:$C$5000,B693,'Call Log'!$A$2:$A$5000,"&gt;="&amp;(TODAY()-WEEKDAY(TODAY(),2)+1)))</f>
        <v>0</v>
      </c>
      <c r="Q693" s="5">
        <f>IF(B693="","",COUNTIF('Call Log'!$C$2:$C$5000,B693))</f>
        <v>0</v>
      </c>
      <c r="R693" s="21" t="str">
        <f>IF(B693="","",IFERROR(IF(MAXIFS('Call Log'!$A$2:$A$5000,'Call Log'!$C$2:$C$5000,B693)=0,"",MAXIFS('Call Log'!$A$2:$A$5000,'Call Log'!$C$2:$C$5000,B693)),""))</f>
        <v/>
      </c>
      <c r="S693" s="5"/>
      <c r="T693" s="21"/>
      <c r="U693" s="21"/>
      <c r="V693" s="5"/>
      <c r="W693" s="20"/>
      <c r="X693" s="5"/>
      <c r="Y693" s="5"/>
      <c r="Z693" s="5" t="s">
        <v>132</v>
      </c>
      <c r="AA693" s="5" t="s">
        <v>3810</v>
      </c>
    </row>
    <row r="694" ht="15.0" customHeight="1">
      <c r="A694" s="5" t="s">
        <v>3811</v>
      </c>
      <c r="B694" s="5" t="s">
        <v>3812</v>
      </c>
      <c r="C694" s="5"/>
      <c r="D694" s="5"/>
      <c r="E694" s="5"/>
      <c r="F694" s="20"/>
      <c r="G694" s="20"/>
      <c r="H694" s="5" t="s">
        <v>41</v>
      </c>
      <c r="I694" s="5" t="s">
        <v>146</v>
      </c>
      <c r="J694" s="5" t="s">
        <v>114</v>
      </c>
      <c r="K694" s="5" t="s">
        <v>3714</v>
      </c>
      <c r="L694" s="5"/>
      <c r="M694" s="5" t="s">
        <v>8</v>
      </c>
      <c r="N694" s="5" t="s">
        <v>80</v>
      </c>
      <c r="O694" s="5" t="str">
        <f>IF(B694="","",IFERROR(LOOKUP(2,1/('Call Log'!$C$2:$C$5000=B694),'Call Log'!$B$2:$B$5000),""))</f>
        <v/>
      </c>
      <c r="P694" s="5">
        <f>IF(B694="","",COUNTIFS('Call Log'!$C$2:$C$5000,B694,'Call Log'!$A$2:$A$5000,"&gt;="&amp;(TODAY()-WEEKDAY(TODAY(),2)+1)))</f>
        <v>0</v>
      </c>
      <c r="Q694" s="5">
        <f>IF(B694="","",COUNTIF('Call Log'!$C$2:$C$5000,B694))</f>
        <v>0</v>
      </c>
      <c r="R694" s="21" t="str">
        <f>IF(B694="","",IFERROR(IF(MAXIFS('Call Log'!$A$2:$A$5000,'Call Log'!$C$2:$C$5000,B694)=0,"",MAXIFS('Call Log'!$A$2:$A$5000,'Call Log'!$C$2:$C$5000,B694)),""))</f>
        <v/>
      </c>
      <c r="S694" s="5"/>
      <c r="T694" s="21"/>
      <c r="U694" s="21"/>
      <c r="V694" s="5"/>
      <c r="W694" s="20"/>
      <c r="X694" s="5"/>
      <c r="Y694" s="5"/>
      <c r="Z694" s="5"/>
      <c r="AA694" s="5"/>
    </row>
    <row r="695" ht="15.0" customHeight="1">
      <c r="A695" s="5" t="s">
        <v>3813</v>
      </c>
      <c r="B695" s="5" t="s">
        <v>3814</v>
      </c>
      <c r="C695" s="5"/>
      <c r="D695" s="5"/>
      <c r="E695" s="5">
        <v>10.0</v>
      </c>
      <c r="F695" s="20"/>
      <c r="G695" s="20"/>
      <c r="H695" s="5" t="s">
        <v>40</v>
      </c>
      <c r="I695" s="5" t="s">
        <v>246</v>
      </c>
      <c r="J695" s="5" t="s">
        <v>114</v>
      </c>
      <c r="K695" s="5" t="s">
        <v>3815</v>
      </c>
      <c r="L695" s="5"/>
      <c r="M695" s="5" t="s">
        <v>8</v>
      </c>
      <c r="N695" s="5" t="s">
        <v>80</v>
      </c>
      <c r="O695" s="5" t="str">
        <f>IF(B695="","",IFERROR(LOOKUP(2,1/('Call Log'!$C$2:$C$5000=B695),'Call Log'!$B$2:$B$5000),""))</f>
        <v/>
      </c>
      <c r="P695" s="5">
        <f>IF(B695="","",COUNTIFS('Call Log'!$C$2:$C$5000,B695,'Call Log'!$A$2:$A$5000,"&gt;="&amp;(TODAY()-WEEKDAY(TODAY(),2)+1)))</f>
        <v>0</v>
      </c>
      <c r="Q695" s="5">
        <f>IF(B695="","",COUNTIF('Call Log'!$C$2:$C$5000,B695))</f>
        <v>0</v>
      </c>
      <c r="R695" s="21" t="str">
        <f>IF(B695="","",IFERROR(IF(MAXIFS('Call Log'!$A$2:$A$5000,'Call Log'!$C$2:$C$5000,B695)=0,"",MAXIFS('Call Log'!$A$2:$A$5000,'Call Log'!$C$2:$C$5000,B695)),""))</f>
        <v/>
      </c>
      <c r="S695" s="5"/>
      <c r="T695" s="21"/>
      <c r="U695" s="21"/>
      <c r="V695" s="5"/>
      <c r="W695" s="20"/>
      <c r="X695" s="5"/>
      <c r="Y695" s="5"/>
      <c r="Z695" s="5"/>
      <c r="AA695" s="5" t="s">
        <v>3816</v>
      </c>
    </row>
    <row r="696" ht="15.0" customHeight="1">
      <c r="A696" s="5" t="s">
        <v>3817</v>
      </c>
      <c r="B696" s="5" t="s">
        <v>3818</v>
      </c>
      <c r="C696" s="5"/>
      <c r="D696" s="5"/>
      <c r="E696" s="5"/>
      <c r="F696" s="20"/>
      <c r="G696" s="20"/>
      <c r="H696" s="5" t="s">
        <v>41</v>
      </c>
      <c r="I696" s="5" t="s">
        <v>161</v>
      </c>
      <c r="J696" s="5" t="s">
        <v>114</v>
      </c>
      <c r="K696" s="5" t="s">
        <v>3819</v>
      </c>
      <c r="L696" s="5"/>
      <c r="M696" s="5" t="s">
        <v>8</v>
      </c>
      <c r="N696" s="5" t="s">
        <v>80</v>
      </c>
      <c r="O696" s="5" t="str">
        <f>IF(B696="","",IFERROR(LOOKUP(2,1/('Call Log'!$C$2:$C$5000=B696),'Call Log'!$B$2:$B$5000),""))</f>
        <v/>
      </c>
      <c r="P696" s="5">
        <f>IF(B696="","",COUNTIFS('Call Log'!$C$2:$C$5000,B696,'Call Log'!$A$2:$A$5000,"&gt;="&amp;(TODAY()-WEEKDAY(TODAY(),2)+1)))</f>
        <v>0</v>
      </c>
      <c r="Q696" s="5">
        <f>IF(B696="","",COUNTIF('Call Log'!$C$2:$C$5000,B696))</f>
        <v>0</v>
      </c>
      <c r="R696" s="21" t="str">
        <f>IF(B696="","",IFERROR(IF(MAXIFS('Call Log'!$A$2:$A$5000,'Call Log'!$C$2:$C$5000,B696)=0,"",MAXIFS('Call Log'!$A$2:$A$5000,'Call Log'!$C$2:$C$5000,B696)),""))</f>
        <v/>
      </c>
      <c r="S696" s="5"/>
      <c r="T696" s="21"/>
      <c r="U696" s="21"/>
      <c r="V696" s="5"/>
      <c r="W696" s="20"/>
      <c r="X696" s="5"/>
      <c r="Y696" s="5"/>
      <c r="Z696" s="5"/>
      <c r="AA696" s="5"/>
    </row>
    <row r="697" ht="15.0" customHeight="1">
      <c r="A697" s="5" t="s">
        <v>3820</v>
      </c>
      <c r="B697" s="5" t="s">
        <v>3821</v>
      </c>
      <c r="C697" s="5"/>
      <c r="D697" s="5"/>
      <c r="E697" s="5"/>
      <c r="F697" s="20"/>
      <c r="G697" s="20"/>
      <c r="H697" s="5" t="s">
        <v>40</v>
      </c>
      <c r="I697" s="5" t="s">
        <v>357</v>
      </c>
      <c r="J697" s="5" t="s">
        <v>114</v>
      </c>
      <c r="K697" s="5" t="s">
        <v>3822</v>
      </c>
      <c r="L697" s="5"/>
      <c r="M697" s="5" t="s">
        <v>8</v>
      </c>
      <c r="N697" s="5" t="s">
        <v>80</v>
      </c>
      <c r="O697" s="5" t="str">
        <f>IF(B697="","",IFERROR(LOOKUP(2,1/('Call Log'!$C$2:$C$5000=B697),'Call Log'!$B$2:$B$5000),""))</f>
        <v/>
      </c>
      <c r="P697" s="5">
        <f>IF(B697="","",COUNTIFS('Call Log'!$C$2:$C$5000,B697,'Call Log'!$A$2:$A$5000,"&gt;="&amp;(TODAY()-WEEKDAY(TODAY(),2)+1)))</f>
        <v>0</v>
      </c>
      <c r="Q697" s="5">
        <f>IF(B697="","",COUNTIF('Call Log'!$C$2:$C$5000,B697))</f>
        <v>0</v>
      </c>
      <c r="R697" s="21" t="str">
        <f>IF(B697="","",IFERROR(IF(MAXIFS('Call Log'!$A$2:$A$5000,'Call Log'!$C$2:$C$5000,B697)=0,"",MAXIFS('Call Log'!$A$2:$A$5000,'Call Log'!$C$2:$C$5000,B697)),""))</f>
        <v/>
      </c>
      <c r="S697" s="5"/>
      <c r="T697" s="21"/>
      <c r="U697" s="21"/>
      <c r="V697" s="5"/>
      <c r="W697" s="20"/>
      <c r="X697" s="5"/>
      <c r="Y697" s="5"/>
      <c r="Z697" s="5"/>
      <c r="AA697" s="5"/>
    </row>
    <row r="698" ht="15.0" customHeight="1">
      <c r="A698" s="5" t="s">
        <v>3823</v>
      </c>
      <c r="B698" s="5" t="s">
        <v>3824</v>
      </c>
      <c r="C698" s="5"/>
      <c r="D698" s="5"/>
      <c r="E698" s="5"/>
      <c r="F698" s="20"/>
      <c r="G698" s="20"/>
      <c r="H698" s="5" t="s">
        <v>40</v>
      </c>
      <c r="I698" s="5" t="s">
        <v>3825</v>
      </c>
      <c r="J698" s="5" t="s">
        <v>114</v>
      </c>
      <c r="K698" s="5" t="s">
        <v>3826</v>
      </c>
      <c r="L698" s="5"/>
      <c r="M698" s="5" t="s">
        <v>8</v>
      </c>
      <c r="N698" s="5" t="s">
        <v>80</v>
      </c>
      <c r="O698" s="5" t="str">
        <f>IF(B698="","",IFERROR(LOOKUP(2,1/('Call Log'!$C$2:$C$5000=B698),'Call Log'!$B$2:$B$5000),""))</f>
        <v/>
      </c>
      <c r="P698" s="5">
        <f>IF(B698="","",COUNTIFS('Call Log'!$C$2:$C$5000,B698,'Call Log'!$A$2:$A$5000,"&gt;="&amp;(TODAY()-WEEKDAY(TODAY(),2)+1)))</f>
        <v>0</v>
      </c>
      <c r="Q698" s="5">
        <f>IF(B698="","",COUNTIF('Call Log'!$C$2:$C$5000,B698))</f>
        <v>0</v>
      </c>
      <c r="R698" s="21" t="str">
        <f>IF(B698="","",IFERROR(IF(MAXIFS('Call Log'!$A$2:$A$5000,'Call Log'!$C$2:$C$5000,B698)=0,"",MAXIFS('Call Log'!$A$2:$A$5000,'Call Log'!$C$2:$C$5000,B698)),""))</f>
        <v/>
      </c>
      <c r="S698" s="5"/>
      <c r="T698" s="21"/>
      <c r="U698" s="21"/>
      <c r="V698" s="5"/>
      <c r="W698" s="20"/>
      <c r="X698" s="5"/>
      <c r="Y698" s="5"/>
      <c r="Z698" s="5"/>
      <c r="AA698" s="5"/>
    </row>
    <row r="699" ht="15.0" customHeight="1">
      <c r="A699" s="5" t="s">
        <v>3827</v>
      </c>
      <c r="B699" s="5" t="s">
        <v>3828</v>
      </c>
      <c r="C699" s="5"/>
      <c r="D699" s="5"/>
      <c r="E699" s="5"/>
      <c r="F699" s="20"/>
      <c r="G699" s="20"/>
      <c r="H699" s="5" t="s">
        <v>40</v>
      </c>
      <c r="I699" s="5" t="s">
        <v>904</v>
      </c>
      <c r="J699" s="5" t="s">
        <v>114</v>
      </c>
      <c r="K699" s="5" t="s">
        <v>3829</v>
      </c>
      <c r="L699" s="5"/>
      <c r="M699" s="5" t="s">
        <v>8</v>
      </c>
      <c r="N699" s="5" t="s">
        <v>80</v>
      </c>
      <c r="O699" s="5" t="str">
        <f>IF(B699="","",IFERROR(LOOKUP(2,1/('Call Log'!$C$2:$C$5000=B699),'Call Log'!$B$2:$B$5000),""))</f>
        <v/>
      </c>
      <c r="P699" s="5">
        <f>IF(B699="","",COUNTIFS('Call Log'!$C$2:$C$5000,B699,'Call Log'!$A$2:$A$5000,"&gt;="&amp;(TODAY()-WEEKDAY(TODAY(),2)+1)))</f>
        <v>0</v>
      </c>
      <c r="Q699" s="5">
        <f>IF(B699="","",COUNTIF('Call Log'!$C$2:$C$5000,B699))</f>
        <v>0</v>
      </c>
      <c r="R699" s="21" t="str">
        <f>IF(B699="","",IFERROR(IF(MAXIFS('Call Log'!$A$2:$A$5000,'Call Log'!$C$2:$C$5000,B699)=0,"",MAXIFS('Call Log'!$A$2:$A$5000,'Call Log'!$C$2:$C$5000,B699)),""))</f>
        <v/>
      </c>
      <c r="S699" s="5"/>
      <c r="T699" s="21"/>
      <c r="U699" s="21"/>
      <c r="V699" s="5"/>
      <c r="W699" s="20"/>
      <c r="X699" s="5"/>
      <c r="Y699" s="5"/>
      <c r="Z699" s="5"/>
      <c r="AA699" s="5"/>
    </row>
    <row r="700" ht="15.0" customHeight="1">
      <c r="A700" s="5" t="s">
        <v>3830</v>
      </c>
      <c r="B700" s="5" t="s">
        <v>3831</v>
      </c>
      <c r="C700" s="5"/>
      <c r="D700" s="5"/>
      <c r="E700" s="5"/>
      <c r="F700" s="20"/>
      <c r="G700" s="20"/>
      <c r="H700" s="5" t="s">
        <v>41</v>
      </c>
      <c r="I700" s="5" t="s">
        <v>129</v>
      </c>
      <c r="J700" s="5" t="s">
        <v>114</v>
      </c>
      <c r="K700" s="5" t="s">
        <v>3832</v>
      </c>
      <c r="L700" s="5"/>
      <c r="M700" s="5" t="s">
        <v>8</v>
      </c>
      <c r="N700" s="5" t="s">
        <v>80</v>
      </c>
      <c r="O700" s="5" t="str">
        <f>IF(B700="","",IFERROR(LOOKUP(2,1/('Call Log'!$C$2:$C$5000=B700),'Call Log'!$B$2:$B$5000),""))</f>
        <v/>
      </c>
      <c r="P700" s="5">
        <f>IF(B700="","",COUNTIFS('Call Log'!$C$2:$C$5000,B700,'Call Log'!$A$2:$A$5000,"&gt;="&amp;(TODAY()-WEEKDAY(TODAY(),2)+1)))</f>
        <v>0</v>
      </c>
      <c r="Q700" s="5">
        <f>IF(B700="","",COUNTIF('Call Log'!$C$2:$C$5000,B700))</f>
        <v>0</v>
      </c>
      <c r="R700" s="21" t="str">
        <f>IF(B700="","",IFERROR(IF(MAXIFS('Call Log'!$A$2:$A$5000,'Call Log'!$C$2:$C$5000,B700)=0,"",MAXIFS('Call Log'!$A$2:$A$5000,'Call Log'!$C$2:$C$5000,B700)),""))</f>
        <v/>
      </c>
      <c r="S700" s="5"/>
      <c r="T700" s="21"/>
      <c r="U700" s="21"/>
      <c r="V700" s="5"/>
      <c r="W700" s="20"/>
      <c r="X700" s="5"/>
      <c r="Y700" s="5"/>
      <c r="Z700" s="5"/>
      <c r="AA700" s="5"/>
    </row>
    <row r="701" ht="15.0" customHeight="1">
      <c r="A701" s="5" t="s">
        <v>3833</v>
      </c>
      <c r="B701" s="5" t="s">
        <v>3834</v>
      </c>
      <c r="C701" s="5"/>
      <c r="D701" s="5"/>
      <c r="E701" s="5"/>
      <c r="F701" s="20"/>
      <c r="G701" s="20"/>
      <c r="H701" s="5" t="s">
        <v>41</v>
      </c>
      <c r="I701" s="5" t="s">
        <v>2536</v>
      </c>
      <c r="J701" s="5" t="s">
        <v>114</v>
      </c>
      <c r="K701" s="5" t="s">
        <v>3835</v>
      </c>
      <c r="L701" s="5"/>
      <c r="M701" s="5" t="s">
        <v>8</v>
      </c>
      <c r="N701" s="5" t="s">
        <v>80</v>
      </c>
      <c r="O701" s="5" t="str">
        <f>IF(B701="","",IFERROR(LOOKUP(2,1/('Call Log'!$C$2:$C$5000=B701),'Call Log'!$B$2:$B$5000),""))</f>
        <v/>
      </c>
      <c r="P701" s="5">
        <f>IF(B701="","",COUNTIFS('Call Log'!$C$2:$C$5000,B701,'Call Log'!$A$2:$A$5000,"&gt;="&amp;(TODAY()-WEEKDAY(TODAY(),2)+1)))</f>
        <v>0</v>
      </c>
      <c r="Q701" s="5">
        <f>IF(B701="","",COUNTIF('Call Log'!$C$2:$C$5000,B701))</f>
        <v>0</v>
      </c>
      <c r="R701" s="21" t="str">
        <f>IF(B701="","",IFERROR(IF(MAXIFS('Call Log'!$A$2:$A$5000,'Call Log'!$C$2:$C$5000,B701)=0,"",MAXIFS('Call Log'!$A$2:$A$5000,'Call Log'!$C$2:$C$5000,B701)),""))</f>
        <v/>
      </c>
      <c r="S701" s="5"/>
      <c r="T701" s="21"/>
      <c r="U701" s="21"/>
      <c r="V701" s="5"/>
      <c r="W701" s="20"/>
      <c r="X701" s="5"/>
      <c r="Y701" s="5"/>
      <c r="Z701" s="5"/>
      <c r="AA701" s="5" t="s">
        <v>3644</v>
      </c>
    </row>
    <row r="702" ht="15.0" customHeight="1">
      <c r="A702" s="5" t="s">
        <v>3836</v>
      </c>
      <c r="B702" s="5" t="s">
        <v>3837</v>
      </c>
      <c r="C702" s="5"/>
      <c r="D702" s="5"/>
      <c r="E702" s="5"/>
      <c r="F702" s="20"/>
      <c r="G702" s="20"/>
      <c r="H702" s="5" t="s">
        <v>40</v>
      </c>
      <c r="I702" s="5" t="s">
        <v>161</v>
      </c>
      <c r="J702" s="5" t="s">
        <v>114</v>
      </c>
      <c r="K702" s="5" t="s">
        <v>3838</v>
      </c>
      <c r="L702" s="5"/>
      <c r="M702" s="5" t="s">
        <v>8</v>
      </c>
      <c r="N702" s="5" t="s">
        <v>80</v>
      </c>
      <c r="O702" s="5" t="str">
        <f>IF(B702="","",IFERROR(LOOKUP(2,1/('Call Log'!$C$2:$C$5000=B702),'Call Log'!$B$2:$B$5000),""))</f>
        <v/>
      </c>
      <c r="P702" s="5">
        <f>IF(B702="","",COUNTIFS('Call Log'!$C$2:$C$5000,B702,'Call Log'!$A$2:$A$5000,"&gt;="&amp;(TODAY()-WEEKDAY(TODAY(),2)+1)))</f>
        <v>0</v>
      </c>
      <c r="Q702" s="5">
        <f>IF(B702="","",COUNTIF('Call Log'!$C$2:$C$5000,B702))</f>
        <v>0</v>
      </c>
      <c r="R702" s="21" t="str">
        <f>IF(B702="","",IFERROR(IF(MAXIFS('Call Log'!$A$2:$A$5000,'Call Log'!$C$2:$C$5000,B702)=0,"",MAXIFS('Call Log'!$A$2:$A$5000,'Call Log'!$C$2:$C$5000,B702)),""))</f>
        <v/>
      </c>
      <c r="S702" s="5"/>
      <c r="T702" s="21"/>
      <c r="U702" s="21"/>
      <c r="V702" s="5"/>
      <c r="W702" s="20"/>
      <c r="X702" s="5"/>
      <c r="Y702" s="5"/>
      <c r="Z702" s="5"/>
      <c r="AA702" s="5"/>
    </row>
    <row r="703" ht="15.0" customHeight="1">
      <c r="A703" s="5" t="s">
        <v>3839</v>
      </c>
      <c r="B703" s="5" t="s">
        <v>3840</v>
      </c>
      <c r="C703" s="5"/>
      <c r="D703" s="5"/>
      <c r="E703" s="5"/>
      <c r="F703" s="20"/>
      <c r="G703" s="20"/>
      <c r="H703" s="5" t="s">
        <v>41</v>
      </c>
      <c r="I703" s="5" t="s">
        <v>206</v>
      </c>
      <c r="J703" s="5" t="s">
        <v>114</v>
      </c>
      <c r="K703" s="5" t="s">
        <v>3841</v>
      </c>
      <c r="L703" s="5"/>
      <c r="M703" s="5" t="s">
        <v>8</v>
      </c>
      <c r="N703" s="5" t="s">
        <v>80</v>
      </c>
      <c r="O703" s="5" t="str">
        <f>IF(B703="","",IFERROR(LOOKUP(2,1/('Call Log'!$C$2:$C$5000=B703),'Call Log'!$B$2:$B$5000),""))</f>
        <v/>
      </c>
      <c r="P703" s="5">
        <f>IF(B703="","",COUNTIFS('Call Log'!$C$2:$C$5000,B703,'Call Log'!$A$2:$A$5000,"&gt;="&amp;(TODAY()-WEEKDAY(TODAY(),2)+1)))</f>
        <v>0</v>
      </c>
      <c r="Q703" s="5">
        <f>IF(B703="","",COUNTIF('Call Log'!$C$2:$C$5000,B703))</f>
        <v>0</v>
      </c>
      <c r="R703" s="21" t="str">
        <f>IF(B703="","",IFERROR(IF(MAXIFS('Call Log'!$A$2:$A$5000,'Call Log'!$C$2:$C$5000,B703)=0,"",MAXIFS('Call Log'!$A$2:$A$5000,'Call Log'!$C$2:$C$5000,B703)),""))</f>
        <v/>
      </c>
      <c r="S703" s="5"/>
      <c r="T703" s="21"/>
      <c r="U703" s="21"/>
      <c r="V703" s="5"/>
      <c r="W703" s="20"/>
      <c r="X703" s="5"/>
      <c r="Y703" s="5"/>
      <c r="Z703" s="5"/>
      <c r="AA703" s="5"/>
    </row>
    <row r="704" ht="15.0" customHeight="1">
      <c r="A704" s="5" t="s">
        <v>3842</v>
      </c>
      <c r="B704" s="5" t="s">
        <v>3843</v>
      </c>
      <c r="C704" s="5"/>
      <c r="D704" s="5"/>
      <c r="E704" s="5">
        <v>7.0</v>
      </c>
      <c r="F704" s="20"/>
      <c r="G704" s="20"/>
      <c r="H704" s="5" t="s">
        <v>40</v>
      </c>
      <c r="I704" s="5" t="s">
        <v>146</v>
      </c>
      <c r="J704" s="5" t="s">
        <v>114</v>
      </c>
      <c r="K704" s="5" t="s">
        <v>3844</v>
      </c>
      <c r="L704" s="5"/>
      <c r="M704" s="5" t="s">
        <v>8</v>
      </c>
      <c r="N704" s="5" t="s">
        <v>80</v>
      </c>
      <c r="O704" s="5" t="str">
        <f>IF(B704="","",IFERROR(LOOKUP(2,1/('Call Log'!$C$2:$C$5000=B704),'Call Log'!$B$2:$B$5000),""))</f>
        <v/>
      </c>
      <c r="P704" s="5">
        <f>IF(B704="","",COUNTIFS('Call Log'!$C$2:$C$5000,B704,'Call Log'!$A$2:$A$5000,"&gt;="&amp;(TODAY()-WEEKDAY(TODAY(),2)+1)))</f>
        <v>0</v>
      </c>
      <c r="Q704" s="5">
        <f>IF(B704="","",COUNTIF('Call Log'!$C$2:$C$5000,B704))</f>
        <v>0</v>
      </c>
      <c r="R704" s="21" t="str">
        <f>IF(B704="","",IFERROR(IF(MAXIFS('Call Log'!$A$2:$A$5000,'Call Log'!$C$2:$C$5000,B704)=0,"",MAXIFS('Call Log'!$A$2:$A$5000,'Call Log'!$C$2:$C$5000,B704)),""))</f>
        <v/>
      </c>
      <c r="S704" s="5"/>
      <c r="T704" s="21"/>
      <c r="U704" s="21"/>
      <c r="V704" s="5"/>
      <c r="W704" s="20"/>
      <c r="X704" s="5"/>
      <c r="Y704" s="5"/>
      <c r="Z704" s="5"/>
      <c r="AA704" s="5"/>
    </row>
    <row r="705" ht="15.0" customHeight="1">
      <c r="A705" s="5" t="s">
        <v>3845</v>
      </c>
      <c r="B705" s="5" t="s">
        <v>3846</v>
      </c>
      <c r="C705" s="5"/>
      <c r="D705" s="5"/>
      <c r="E705" s="5"/>
      <c r="F705" s="20"/>
      <c r="G705" s="20"/>
      <c r="H705" s="5" t="s">
        <v>41</v>
      </c>
      <c r="I705" s="5" t="s">
        <v>2252</v>
      </c>
      <c r="J705" s="5" t="s">
        <v>114</v>
      </c>
      <c r="K705" s="5" t="s">
        <v>3847</v>
      </c>
      <c r="L705" s="5"/>
      <c r="M705" s="5" t="s">
        <v>8</v>
      </c>
      <c r="N705" s="5" t="s">
        <v>80</v>
      </c>
      <c r="O705" s="5" t="str">
        <f>IF(B705="","",IFERROR(LOOKUP(2,1/('Call Log'!$C$2:$C$5000=B705),'Call Log'!$B$2:$B$5000),""))</f>
        <v/>
      </c>
      <c r="P705" s="5">
        <f>IF(B705="","",COUNTIFS('Call Log'!$C$2:$C$5000,B705,'Call Log'!$A$2:$A$5000,"&gt;="&amp;(TODAY()-WEEKDAY(TODAY(),2)+1)))</f>
        <v>0</v>
      </c>
      <c r="Q705" s="5">
        <f>IF(B705="","",COUNTIF('Call Log'!$C$2:$C$5000,B705))</f>
        <v>0</v>
      </c>
      <c r="R705" s="21" t="str">
        <f>IF(B705="","",IFERROR(IF(MAXIFS('Call Log'!$A$2:$A$5000,'Call Log'!$C$2:$C$5000,B705)=0,"",MAXIFS('Call Log'!$A$2:$A$5000,'Call Log'!$C$2:$C$5000,B705)),""))</f>
        <v/>
      </c>
      <c r="S705" s="5"/>
      <c r="T705" s="21"/>
      <c r="U705" s="21"/>
      <c r="V705" s="5"/>
      <c r="W705" s="20"/>
      <c r="X705" s="5"/>
      <c r="Y705" s="5"/>
      <c r="Z705" s="5"/>
      <c r="AA705" s="5"/>
    </row>
    <row r="706" ht="15.0" customHeight="1">
      <c r="A706" s="5" t="s">
        <v>3848</v>
      </c>
      <c r="B706" s="5" t="s">
        <v>3849</v>
      </c>
      <c r="C706" s="5"/>
      <c r="D706" s="5"/>
      <c r="E706" s="5"/>
      <c r="F706" s="20"/>
      <c r="G706" s="20"/>
      <c r="H706" s="5" t="s">
        <v>41</v>
      </c>
      <c r="I706" s="5" t="s">
        <v>246</v>
      </c>
      <c r="J706" s="5" t="s">
        <v>114</v>
      </c>
      <c r="K706" s="5" t="s">
        <v>3850</v>
      </c>
      <c r="L706" s="5"/>
      <c r="M706" s="5" t="s">
        <v>8</v>
      </c>
      <c r="N706" s="5" t="s">
        <v>80</v>
      </c>
      <c r="O706" s="5" t="str">
        <f>IF(B706="","",IFERROR(LOOKUP(2,1/('Call Log'!$C$2:$C$5000=B706),'Call Log'!$B$2:$B$5000),""))</f>
        <v/>
      </c>
      <c r="P706" s="5">
        <f>IF(B706="","",COUNTIFS('Call Log'!$C$2:$C$5000,B706,'Call Log'!$A$2:$A$5000,"&gt;="&amp;(TODAY()-WEEKDAY(TODAY(),2)+1)))</f>
        <v>0</v>
      </c>
      <c r="Q706" s="5">
        <f>IF(B706="","",COUNTIF('Call Log'!$C$2:$C$5000,B706))</f>
        <v>0</v>
      </c>
      <c r="R706" s="21" t="str">
        <f>IF(B706="","",IFERROR(IF(MAXIFS('Call Log'!$A$2:$A$5000,'Call Log'!$C$2:$C$5000,B706)=0,"",MAXIFS('Call Log'!$A$2:$A$5000,'Call Log'!$C$2:$C$5000,B706)),""))</f>
        <v/>
      </c>
      <c r="S706" s="5"/>
      <c r="T706" s="21"/>
      <c r="U706" s="21"/>
      <c r="V706" s="5"/>
      <c r="W706" s="20"/>
      <c r="X706" s="5"/>
      <c r="Y706" s="5"/>
      <c r="Z706" s="5"/>
      <c r="AA706" s="5"/>
    </row>
    <row r="707" ht="15.0" customHeight="1">
      <c r="A707" s="5" t="s">
        <v>3851</v>
      </c>
      <c r="B707" s="5" t="s">
        <v>3852</v>
      </c>
      <c r="C707" s="5"/>
      <c r="D707" s="5"/>
      <c r="E707" s="5"/>
      <c r="F707" s="20"/>
      <c r="G707" s="20"/>
      <c r="H707" s="5" t="s">
        <v>43</v>
      </c>
      <c r="I707" s="5" t="s">
        <v>154</v>
      </c>
      <c r="J707" s="5" t="s">
        <v>114</v>
      </c>
      <c r="K707" s="5" t="s">
        <v>3853</v>
      </c>
      <c r="L707" s="5"/>
      <c r="M707" s="5" t="s">
        <v>8</v>
      </c>
      <c r="N707" s="5" t="s">
        <v>80</v>
      </c>
      <c r="O707" s="5" t="str">
        <f>IF(B707="","",IFERROR(LOOKUP(2,1/('Call Log'!$C$2:$C$5000=B707),'Call Log'!$B$2:$B$5000),""))</f>
        <v/>
      </c>
      <c r="P707" s="5">
        <f>IF(B707="","",COUNTIFS('Call Log'!$C$2:$C$5000,B707,'Call Log'!$A$2:$A$5000,"&gt;="&amp;(TODAY()-WEEKDAY(TODAY(),2)+1)))</f>
        <v>0</v>
      </c>
      <c r="Q707" s="5">
        <f>IF(B707="","",COUNTIF('Call Log'!$C$2:$C$5000,B707))</f>
        <v>0</v>
      </c>
      <c r="R707" s="21" t="str">
        <f>IF(B707="","",IFERROR(IF(MAXIFS('Call Log'!$A$2:$A$5000,'Call Log'!$C$2:$C$5000,B707)=0,"",MAXIFS('Call Log'!$A$2:$A$5000,'Call Log'!$C$2:$C$5000,B707)),""))</f>
        <v/>
      </c>
      <c r="S707" s="5"/>
      <c r="T707" s="21"/>
      <c r="U707" s="21"/>
      <c r="V707" s="5"/>
      <c r="W707" s="20"/>
      <c r="X707" s="5"/>
      <c r="Y707" s="5"/>
      <c r="Z707" s="5"/>
      <c r="AA707" s="5"/>
    </row>
    <row r="708" ht="15.0" customHeight="1">
      <c r="A708" s="5" t="s">
        <v>3854</v>
      </c>
      <c r="B708" s="5" t="s">
        <v>3855</v>
      </c>
      <c r="C708" s="5"/>
      <c r="D708" s="5"/>
      <c r="E708" s="5"/>
      <c r="F708" s="20"/>
      <c r="G708" s="20"/>
      <c r="H708" s="5" t="s">
        <v>41</v>
      </c>
      <c r="I708" s="5" t="s">
        <v>865</v>
      </c>
      <c r="J708" s="5" t="s">
        <v>114</v>
      </c>
      <c r="K708" s="5" t="s">
        <v>3856</v>
      </c>
      <c r="L708" s="5"/>
      <c r="M708" s="5" t="s">
        <v>8</v>
      </c>
      <c r="N708" s="5" t="s">
        <v>80</v>
      </c>
      <c r="O708" s="5" t="str">
        <f>IF(B708="","",IFERROR(LOOKUP(2,1/('Call Log'!$C$2:$C$5000=B708),'Call Log'!$B$2:$B$5000),""))</f>
        <v/>
      </c>
      <c r="P708" s="5">
        <f>IF(B708="","",COUNTIFS('Call Log'!$C$2:$C$5000,B708,'Call Log'!$A$2:$A$5000,"&gt;="&amp;(TODAY()-WEEKDAY(TODAY(),2)+1)))</f>
        <v>0</v>
      </c>
      <c r="Q708" s="5">
        <f>IF(B708="","",COUNTIF('Call Log'!$C$2:$C$5000,B708))</f>
        <v>0</v>
      </c>
      <c r="R708" s="21" t="str">
        <f>IF(B708="","",IFERROR(IF(MAXIFS('Call Log'!$A$2:$A$5000,'Call Log'!$C$2:$C$5000,B708)=0,"",MAXIFS('Call Log'!$A$2:$A$5000,'Call Log'!$C$2:$C$5000,B708)),""))</f>
        <v/>
      </c>
      <c r="S708" s="5"/>
      <c r="T708" s="21"/>
      <c r="U708" s="21"/>
      <c r="V708" s="5"/>
      <c r="W708" s="20"/>
      <c r="X708" s="5"/>
      <c r="Y708" s="5"/>
      <c r="Z708" s="5"/>
      <c r="AA708" s="5"/>
    </row>
    <row r="709" ht="15.0" customHeight="1">
      <c r="A709" s="5" t="s">
        <v>3857</v>
      </c>
      <c r="B709" s="5" t="s">
        <v>3858</v>
      </c>
      <c r="C709" s="5"/>
      <c r="D709" s="5"/>
      <c r="E709" s="5"/>
      <c r="F709" s="20"/>
      <c r="G709" s="20"/>
      <c r="H709" s="5" t="s">
        <v>41</v>
      </c>
      <c r="I709" s="5" t="s">
        <v>206</v>
      </c>
      <c r="J709" s="5" t="s">
        <v>114</v>
      </c>
      <c r="K709" s="5" t="s">
        <v>3859</v>
      </c>
      <c r="L709" s="5"/>
      <c r="M709" s="5" t="s">
        <v>8</v>
      </c>
      <c r="N709" s="5" t="s">
        <v>80</v>
      </c>
      <c r="O709" s="5" t="str">
        <f>IF(B709="","",IFERROR(LOOKUP(2,1/('Call Log'!$C$2:$C$5000=B709),'Call Log'!$B$2:$B$5000),""))</f>
        <v/>
      </c>
      <c r="P709" s="5">
        <f>IF(B709="","",COUNTIFS('Call Log'!$C$2:$C$5000,B709,'Call Log'!$A$2:$A$5000,"&gt;="&amp;(TODAY()-WEEKDAY(TODAY(),2)+1)))</f>
        <v>0</v>
      </c>
      <c r="Q709" s="5">
        <f>IF(B709="","",COUNTIF('Call Log'!$C$2:$C$5000,B709))</f>
        <v>0</v>
      </c>
      <c r="R709" s="21" t="str">
        <f>IF(B709="","",IFERROR(IF(MAXIFS('Call Log'!$A$2:$A$5000,'Call Log'!$C$2:$C$5000,B709)=0,"",MAXIFS('Call Log'!$A$2:$A$5000,'Call Log'!$C$2:$C$5000,B709)),""))</f>
        <v/>
      </c>
      <c r="S709" s="5"/>
      <c r="T709" s="21"/>
      <c r="U709" s="21"/>
      <c r="V709" s="5"/>
      <c r="W709" s="20"/>
      <c r="X709" s="5"/>
      <c r="Y709" s="5"/>
      <c r="Z709" s="5"/>
      <c r="AA709" s="5"/>
    </row>
    <row r="710" ht="15.0" customHeight="1">
      <c r="A710" s="5" t="s">
        <v>3860</v>
      </c>
      <c r="B710" s="5" t="s">
        <v>3861</v>
      </c>
      <c r="C710" s="5"/>
      <c r="D710" s="5"/>
      <c r="E710" s="5"/>
      <c r="F710" s="20"/>
      <c r="G710" s="20"/>
      <c r="H710" s="5" t="s">
        <v>40</v>
      </c>
      <c r="I710" s="5" t="s">
        <v>1093</v>
      </c>
      <c r="J710" s="5" t="s">
        <v>114</v>
      </c>
      <c r="K710" s="5" t="s">
        <v>3862</v>
      </c>
      <c r="L710" s="5"/>
      <c r="M710" s="5" t="s">
        <v>8</v>
      </c>
      <c r="N710" s="5" t="s">
        <v>80</v>
      </c>
      <c r="O710" s="5" t="str">
        <f>IF(B710="","",IFERROR(LOOKUP(2,1/('Call Log'!$C$2:$C$5000=B710),'Call Log'!$B$2:$B$5000),""))</f>
        <v/>
      </c>
      <c r="P710" s="5">
        <f>IF(B710="","",COUNTIFS('Call Log'!$C$2:$C$5000,B710,'Call Log'!$A$2:$A$5000,"&gt;="&amp;(TODAY()-WEEKDAY(TODAY(),2)+1)))</f>
        <v>0</v>
      </c>
      <c r="Q710" s="5">
        <f>IF(B710="","",COUNTIF('Call Log'!$C$2:$C$5000,B710))</f>
        <v>0</v>
      </c>
      <c r="R710" s="21" t="str">
        <f>IF(B710="","",IFERROR(IF(MAXIFS('Call Log'!$A$2:$A$5000,'Call Log'!$C$2:$C$5000,B710)=0,"",MAXIFS('Call Log'!$A$2:$A$5000,'Call Log'!$C$2:$C$5000,B710)),""))</f>
        <v/>
      </c>
      <c r="S710" s="5"/>
      <c r="T710" s="21"/>
      <c r="U710" s="21"/>
      <c r="V710" s="5"/>
      <c r="W710" s="20"/>
      <c r="X710" s="5"/>
      <c r="Y710" s="5"/>
      <c r="Z710" s="5"/>
      <c r="AA710" s="5"/>
    </row>
    <row r="711" ht="15.0" customHeight="1">
      <c r="A711" s="5" t="s">
        <v>3863</v>
      </c>
      <c r="B711" s="5" t="s">
        <v>3864</v>
      </c>
      <c r="C711" s="5"/>
      <c r="D711" s="5"/>
      <c r="E711" s="5"/>
      <c r="F711" s="20"/>
      <c r="G711" s="20"/>
      <c r="H711" s="5" t="s">
        <v>43</v>
      </c>
      <c r="I711" s="5" t="s">
        <v>857</v>
      </c>
      <c r="J711" s="5" t="s">
        <v>114</v>
      </c>
      <c r="K711" s="5" t="s">
        <v>3865</v>
      </c>
      <c r="L711" s="5"/>
      <c r="M711" s="5" t="s">
        <v>8</v>
      </c>
      <c r="N711" s="5" t="s">
        <v>80</v>
      </c>
      <c r="O711" s="5" t="str">
        <f>IF(B711="","",IFERROR(LOOKUP(2,1/('Call Log'!$C$2:$C$5000=B711),'Call Log'!$B$2:$B$5000),""))</f>
        <v/>
      </c>
      <c r="P711" s="5">
        <f>IF(B711="","",COUNTIFS('Call Log'!$C$2:$C$5000,B711,'Call Log'!$A$2:$A$5000,"&gt;="&amp;(TODAY()-WEEKDAY(TODAY(),2)+1)))</f>
        <v>0</v>
      </c>
      <c r="Q711" s="5">
        <f>IF(B711="","",COUNTIF('Call Log'!$C$2:$C$5000,B711))</f>
        <v>0</v>
      </c>
      <c r="R711" s="21" t="str">
        <f>IF(B711="","",IFERROR(IF(MAXIFS('Call Log'!$A$2:$A$5000,'Call Log'!$C$2:$C$5000,B711)=0,"",MAXIFS('Call Log'!$A$2:$A$5000,'Call Log'!$C$2:$C$5000,B711)),""))</f>
        <v/>
      </c>
      <c r="S711" s="5"/>
      <c r="T711" s="21"/>
      <c r="U711" s="21"/>
      <c r="V711" s="5"/>
      <c r="W711" s="20"/>
      <c r="X711" s="5"/>
      <c r="Y711" s="5"/>
      <c r="Z711" s="5"/>
      <c r="AA711" s="5"/>
    </row>
    <row r="712" ht="15.0" customHeight="1">
      <c r="A712" s="5" t="s">
        <v>3866</v>
      </c>
      <c r="B712" s="5" t="s">
        <v>3867</v>
      </c>
      <c r="C712" s="5"/>
      <c r="D712" s="5"/>
      <c r="E712" s="5"/>
      <c r="F712" s="20"/>
      <c r="G712" s="20"/>
      <c r="H712" s="5" t="s">
        <v>41</v>
      </c>
      <c r="I712" s="5" t="s">
        <v>122</v>
      </c>
      <c r="J712" s="5" t="s">
        <v>114</v>
      </c>
      <c r="K712" s="5" t="s">
        <v>3868</v>
      </c>
      <c r="L712" s="5"/>
      <c r="M712" s="5" t="s">
        <v>8</v>
      </c>
      <c r="N712" s="5" t="s">
        <v>80</v>
      </c>
      <c r="O712" s="5" t="str">
        <f>IF(B712="","",IFERROR(LOOKUP(2,1/('Call Log'!$C$2:$C$5000=B712),'Call Log'!$B$2:$B$5000),""))</f>
        <v/>
      </c>
      <c r="P712" s="5">
        <f>IF(B712="","",COUNTIFS('Call Log'!$C$2:$C$5000,B712,'Call Log'!$A$2:$A$5000,"&gt;="&amp;(TODAY()-WEEKDAY(TODAY(),2)+1)))</f>
        <v>0</v>
      </c>
      <c r="Q712" s="5">
        <f>IF(B712="","",COUNTIF('Call Log'!$C$2:$C$5000,B712))</f>
        <v>0</v>
      </c>
      <c r="R712" s="21" t="str">
        <f>IF(B712="","",IFERROR(IF(MAXIFS('Call Log'!$A$2:$A$5000,'Call Log'!$C$2:$C$5000,B712)=0,"",MAXIFS('Call Log'!$A$2:$A$5000,'Call Log'!$C$2:$C$5000,B712)),""))</f>
        <v/>
      </c>
      <c r="S712" s="5"/>
      <c r="T712" s="21"/>
      <c r="U712" s="21"/>
      <c r="V712" s="5"/>
      <c r="W712" s="20"/>
      <c r="X712" s="5"/>
      <c r="Y712" s="5"/>
      <c r="Z712" s="5"/>
      <c r="AA712" s="5"/>
    </row>
    <row r="713" ht="15.0" customHeight="1">
      <c r="A713" s="5" t="s">
        <v>3869</v>
      </c>
      <c r="B713" s="5" t="s">
        <v>3870</v>
      </c>
      <c r="C713" s="5"/>
      <c r="D713" s="5"/>
      <c r="E713" s="5"/>
      <c r="F713" s="20"/>
      <c r="G713" s="20"/>
      <c r="H713" s="5" t="s">
        <v>40</v>
      </c>
      <c r="I713" s="5" t="s">
        <v>622</v>
      </c>
      <c r="J713" s="5" t="s">
        <v>114</v>
      </c>
      <c r="K713" s="5" t="s">
        <v>3871</v>
      </c>
      <c r="L713" s="5"/>
      <c r="M713" s="5" t="s">
        <v>8</v>
      </c>
      <c r="N713" s="5" t="s">
        <v>80</v>
      </c>
      <c r="O713" s="5" t="str">
        <f>IF(B713="","",IFERROR(LOOKUP(2,1/('Call Log'!$C$2:$C$5000=B713),'Call Log'!$B$2:$B$5000),""))</f>
        <v/>
      </c>
      <c r="P713" s="5">
        <f>IF(B713="","",COUNTIFS('Call Log'!$C$2:$C$5000,B713,'Call Log'!$A$2:$A$5000,"&gt;="&amp;(TODAY()-WEEKDAY(TODAY(),2)+1)))</f>
        <v>0</v>
      </c>
      <c r="Q713" s="5">
        <f>IF(B713="","",COUNTIF('Call Log'!$C$2:$C$5000,B713))</f>
        <v>0</v>
      </c>
      <c r="R713" s="21" t="str">
        <f>IF(B713="","",IFERROR(IF(MAXIFS('Call Log'!$A$2:$A$5000,'Call Log'!$C$2:$C$5000,B713)=0,"",MAXIFS('Call Log'!$A$2:$A$5000,'Call Log'!$C$2:$C$5000,B713)),""))</f>
        <v/>
      </c>
      <c r="S713" s="5"/>
      <c r="T713" s="21"/>
      <c r="U713" s="21"/>
      <c r="V713" s="5"/>
      <c r="W713" s="20"/>
      <c r="X713" s="5"/>
      <c r="Y713" s="5"/>
      <c r="Z713" s="5"/>
      <c r="AA713" s="5"/>
    </row>
    <row r="714" ht="15.0" customHeight="1">
      <c r="A714" s="5" t="s">
        <v>3872</v>
      </c>
      <c r="B714" s="5" t="s">
        <v>3873</v>
      </c>
      <c r="C714" s="5"/>
      <c r="D714" s="5"/>
      <c r="E714" s="5"/>
      <c r="F714" s="20"/>
      <c r="G714" s="20"/>
      <c r="H714" s="5" t="s">
        <v>40</v>
      </c>
      <c r="I714" s="5" t="s">
        <v>246</v>
      </c>
      <c r="J714" s="5" t="s">
        <v>114</v>
      </c>
      <c r="K714" s="5" t="s">
        <v>3874</v>
      </c>
      <c r="L714" s="5"/>
      <c r="M714" s="5" t="s">
        <v>8</v>
      </c>
      <c r="N714" s="5" t="s">
        <v>80</v>
      </c>
      <c r="O714" s="5" t="str">
        <f>IF(B714="","",IFERROR(LOOKUP(2,1/('Call Log'!$C$2:$C$5000=B714),'Call Log'!$B$2:$B$5000),""))</f>
        <v/>
      </c>
      <c r="P714" s="5">
        <f>IF(B714="","",COUNTIFS('Call Log'!$C$2:$C$5000,B714,'Call Log'!$A$2:$A$5000,"&gt;="&amp;(TODAY()-WEEKDAY(TODAY(),2)+1)))</f>
        <v>0</v>
      </c>
      <c r="Q714" s="5">
        <f>IF(B714="","",COUNTIF('Call Log'!$C$2:$C$5000,B714))</f>
        <v>0</v>
      </c>
      <c r="R714" s="21" t="str">
        <f>IF(B714="","",IFERROR(IF(MAXIFS('Call Log'!$A$2:$A$5000,'Call Log'!$C$2:$C$5000,B714)=0,"",MAXIFS('Call Log'!$A$2:$A$5000,'Call Log'!$C$2:$C$5000,B714)),""))</f>
        <v/>
      </c>
      <c r="S714" s="5"/>
      <c r="T714" s="21"/>
      <c r="U714" s="21"/>
      <c r="V714" s="5"/>
      <c r="W714" s="20"/>
      <c r="X714" s="5"/>
      <c r="Y714" s="5"/>
      <c r="Z714" s="5"/>
      <c r="AA714" s="5"/>
    </row>
    <row r="715" ht="15.0" customHeight="1">
      <c r="A715" s="5" t="s">
        <v>3875</v>
      </c>
      <c r="B715" s="5" t="s">
        <v>3876</v>
      </c>
      <c r="C715" s="5"/>
      <c r="D715" s="5"/>
      <c r="E715" s="5"/>
      <c r="F715" s="20"/>
      <c r="G715" s="20"/>
      <c r="H715" s="5" t="s">
        <v>40</v>
      </c>
      <c r="I715" s="5" t="s">
        <v>113</v>
      </c>
      <c r="J715" s="5" t="s">
        <v>114</v>
      </c>
      <c r="K715" s="5" t="s">
        <v>3877</v>
      </c>
      <c r="L715" s="5"/>
      <c r="M715" s="5" t="s">
        <v>8</v>
      </c>
      <c r="N715" s="5" t="s">
        <v>80</v>
      </c>
      <c r="O715" s="5" t="str">
        <f>IF(B715="","",IFERROR(LOOKUP(2,1/('Call Log'!$C$2:$C$5000=B715),'Call Log'!$B$2:$B$5000),""))</f>
        <v/>
      </c>
      <c r="P715" s="5">
        <f>IF(B715="","",COUNTIFS('Call Log'!$C$2:$C$5000,B715,'Call Log'!$A$2:$A$5000,"&gt;="&amp;(TODAY()-WEEKDAY(TODAY(),2)+1)))</f>
        <v>0</v>
      </c>
      <c r="Q715" s="5">
        <f>IF(B715="","",COUNTIF('Call Log'!$C$2:$C$5000,B715))</f>
        <v>0</v>
      </c>
      <c r="R715" s="21" t="str">
        <f>IF(B715="","",IFERROR(IF(MAXIFS('Call Log'!$A$2:$A$5000,'Call Log'!$C$2:$C$5000,B715)=0,"",MAXIFS('Call Log'!$A$2:$A$5000,'Call Log'!$C$2:$C$5000,B715)),""))</f>
        <v/>
      </c>
      <c r="S715" s="5"/>
      <c r="T715" s="21"/>
      <c r="U715" s="21"/>
      <c r="V715" s="5"/>
      <c r="W715" s="20"/>
      <c r="X715" s="5"/>
      <c r="Y715" s="5"/>
      <c r="Z715" s="5"/>
      <c r="AA715" s="5"/>
    </row>
    <row r="716" ht="15.0" customHeight="1">
      <c r="A716" s="5" t="s">
        <v>3878</v>
      </c>
      <c r="B716" s="5" t="s">
        <v>3879</v>
      </c>
      <c r="C716" s="5"/>
      <c r="D716" s="5"/>
      <c r="E716" s="5"/>
      <c r="F716" s="20"/>
      <c r="G716" s="20"/>
      <c r="H716" s="5" t="s">
        <v>40</v>
      </c>
      <c r="I716" s="5" t="s">
        <v>206</v>
      </c>
      <c r="J716" s="5" t="s">
        <v>114</v>
      </c>
      <c r="K716" s="5" t="s">
        <v>3880</v>
      </c>
      <c r="L716" s="5"/>
      <c r="M716" s="5" t="s">
        <v>8</v>
      </c>
      <c r="N716" s="5" t="s">
        <v>80</v>
      </c>
      <c r="O716" s="5" t="str">
        <f>IF(B716="","",IFERROR(LOOKUP(2,1/('Call Log'!$C$2:$C$5000=B716),'Call Log'!$B$2:$B$5000),""))</f>
        <v/>
      </c>
      <c r="P716" s="5">
        <f>IF(B716="","",COUNTIFS('Call Log'!$C$2:$C$5000,B716,'Call Log'!$A$2:$A$5000,"&gt;="&amp;(TODAY()-WEEKDAY(TODAY(),2)+1)))</f>
        <v>0</v>
      </c>
      <c r="Q716" s="5">
        <f>IF(B716="","",COUNTIF('Call Log'!$C$2:$C$5000,B716))</f>
        <v>0</v>
      </c>
      <c r="R716" s="21" t="str">
        <f>IF(B716="","",IFERROR(IF(MAXIFS('Call Log'!$A$2:$A$5000,'Call Log'!$C$2:$C$5000,B716)=0,"",MAXIFS('Call Log'!$A$2:$A$5000,'Call Log'!$C$2:$C$5000,B716)),""))</f>
        <v/>
      </c>
      <c r="S716" s="5"/>
      <c r="T716" s="21"/>
      <c r="U716" s="21"/>
      <c r="V716" s="5"/>
      <c r="W716" s="20"/>
      <c r="X716" s="5"/>
      <c r="Y716" s="5"/>
      <c r="Z716" s="5"/>
      <c r="AA716" s="5"/>
    </row>
    <row r="717" ht="15.0" customHeight="1">
      <c r="A717" s="5" t="s">
        <v>3881</v>
      </c>
      <c r="B717" s="5" t="s">
        <v>3882</v>
      </c>
      <c r="C717" s="5"/>
      <c r="D717" s="5"/>
      <c r="E717" s="5"/>
      <c r="F717" s="20"/>
      <c r="G717" s="20"/>
      <c r="H717" s="5" t="s">
        <v>40</v>
      </c>
      <c r="I717" s="5" t="s">
        <v>370</v>
      </c>
      <c r="J717" s="5" t="s">
        <v>114</v>
      </c>
      <c r="K717" s="5" t="s">
        <v>3883</v>
      </c>
      <c r="L717" s="5"/>
      <c r="M717" s="5" t="s">
        <v>8</v>
      </c>
      <c r="N717" s="5" t="s">
        <v>80</v>
      </c>
      <c r="O717" s="5" t="str">
        <f>IF(B717="","",IFERROR(LOOKUP(2,1/('Call Log'!$C$2:$C$5000=B717),'Call Log'!$B$2:$B$5000),""))</f>
        <v/>
      </c>
      <c r="P717" s="5">
        <f>IF(B717="","",COUNTIFS('Call Log'!$C$2:$C$5000,B717,'Call Log'!$A$2:$A$5000,"&gt;="&amp;(TODAY()-WEEKDAY(TODAY(),2)+1)))</f>
        <v>0</v>
      </c>
      <c r="Q717" s="5">
        <f>IF(B717="","",COUNTIF('Call Log'!$C$2:$C$5000,B717))</f>
        <v>0</v>
      </c>
      <c r="R717" s="21" t="str">
        <f>IF(B717="","",IFERROR(IF(MAXIFS('Call Log'!$A$2:$A$5000,'Call Log'!$C$2:$C$5000,B717)=0,"",MAXIFS('Call Log'!$A$2:$A$5000,'Call Log'!$C$2:$C$5000,B717)),""))</f>
        <v/>
      </c>
      <c r="S717" s="5"/>
      <c r="T717" s="21"/>
      <c r="U717" s="21"/>
      <c r="V717" s="5"/>
      <c r="W717" s="20"/>
      <c r="X717" s="5"/>
      <c r="Y717" s="5"/>
      <c r="Z717" s="5"/>
      <c r="AA717" s="5"/>
    </row>
    <row r="718" ht="15.0" customHeight="1">
      <c r="A718" s="5" t="s">
        <v>3884</v>
      </c>
      <c r="B718" s="5" t="s">
        <v>3885</v>
      </c>
      <c r="C718" s="5"/>
      <c r="D718" s="5"/>
      <c r="E718" s="5"/>
      <c r="F718" s="20"/>
      <c r="G718" s="20"/>
      <c r="H718" s="5" t="s">
        <v>40</v>
      </c>
      <c r="I718" s="5" t="s">
        <v>461</v>
      </c>
      <c r="J718" s="5" t="s">
        <v>114</v>
      </c>
      <c r="K718" s="5" t="s">
        <v>3886</v>
      </c>
      <c r="L718" s="5"/>
      <c r="M718" s="5" t="s">
        <v>8</v>
      </c>
      <c r="N718" s="5" t="s">
        <v>80</v>
      </c>
      <c r="O718" s="5" t="str">
        <f>IF(B718="","",IFERROR(LOOKUP(2,1/('Call Log'!$C$2:$C$5000=B718),'Call Log'!$B$2:$B$5000),""))</f>
        <v/>
      </c>
      <c r="P718" s="5">
        <f>IF(B718="","",COUNTIFS('Call Log'!$C$2:$C$5000,B718,'Call Log'!$A$2:$A$5000,"&gt;="&amp;(TODAY()-WEEKDAY(TODAY(),2)+1)))</f>
        <v>0</v>
      </c>
      <c r="Q718" s="5">
        <f>IF(B718="","",COUNTIF('Call Log'!$C$2:$C$5000,B718))</f>
        <v>0</v>
      </c>
      <c r="R718" s="21" t="str">
        <f>IF(B718="","",IFERROR(IF(MAXIFS('Call Log'!$A$2:$A$5000,'Call Log'!$C$2:$C$5000,B718)=0,"",MAXIFS('Call Log'!$A$2:$A$5000,'Call Log'!$C$2:$C$5000,B718)),""))</f>
        <v/>
      </c>
      <c r="S718" s="5"/>
      <c r="T718" s="21"/>
      <c r="U718" s="21"/>
      <c r="V718" s="5"/>
      <c r="W718" s="20"/>
      <c r="X718" s="5"/>
      <c r="Y718" s="5"/>
      <c r="Z718" s="5"/>
      <c r="AA718" s="5"/>
    </row>
    <row r="719" ht="15.0" customHeight="1">
      <c r="A719" s="5" t="s">
        <v>3887</v>
      </c>
      <c r="B719" s="5" t="s">
        <v>3888</v>
      </c>
      <c r="C719" s="5"/>
      <c r="D719" s="5"/>
      <c r="E719" s="5"/>
      <c r="F719" s="20"/>
      <c r="G719" s="20"/>
      <c r="H719" s="5" t="s">
        <v>40</v>
      </c>
      <c r="I719" s="5" t="s">
        <v>3825</v>
      </c>
      <c r="J719" s="5" t="s">
        <v>114</v>
      </c>
      <c r="K719" s="5" t="s">
        <v>3889</v>
      </c>
      <c r="L719" s="5"/>
      <c r="M719" s="5" t="s">
        <v>8</v>
      </c>
      <c r="N719" s="5" t="s">
        <v>80</v>
      </c>
      <c r="O719" s="5" t="str">
        <f>IF(B719="","",IFERROR(LOOKUP(2,1/('Call Log'!$C$2:$C$5000=B719),'Call Log'!$B$2:$B$5000),""))</f>
        <v/>
      </c>
      <c r="P719" s="5">
        <f>IF(B719="","",COUNTIFS('Call Log'!$C$2:$C$5000,B719,'Call Log'!$A$2:$A$5000,"&gt;="&amp;(TODAY()-WEEKDAY(TODAY(),2)+1)))</f>
        <v>0</v>
      </c>
      <c r="Q719" s="5">
        <f>IF(B719="","",COUNTIF('Call Log'!$C$2:$C$5000,B719))</f>
        <v>0</v>
      </c>
      <c r="R719" s="21" t="str">
        <f>IF(B719="","",IFERROR(IF(MAXIFS('Call Log'!$A$2:$A$5000,'Call Log'!$C$2:$C$5000,B719)=0,"",MAXIFS('Call Log'!$A$2:$A$5000,'Call Log'!$C$2:$C$5000,B719)),""))</f>
        <v/>
      </c>
      <c r="S719" s="5"/>
      <c r="T719" s="21"/>
      <c r="U719" s="21"/>
      <c r="V719" s="5"/>
      <c r="W719" s="20"/>
      <c r="X719" s="5"/>
      <c r="Y719" s="5"/>
      <c r="Z719" s="5"/>
      <c r="AA719" s="5"/>
    </row>
    <row r="720" ht="15.0" customHeight="1">
      <c r="A720" s="5" t="s">
        <v>3890</v>
      </c>
      <c r="B720" s="5" t="s">
        <v>3891</v>
      </c>
      <c r="C720" s="5"/>
      <c r="D720" s="5"/>
      <c r="E720" s="5"/>
      <c r="F720" s="20"/>
      <c r="G720" s="20"/>
      <c r="H720" s="5" t="s">
        <v>41</v>
      </c>
      <c r="I720" s="5" t="s">
        <v>113</v>
      </c>
      <c r="J720" s="5" t="s">
        <v>114</v>
      </c>
      <c r="K720" s="5" t="s">
        <v>3892</v>
      </c>
      <c r="L720" s="5"/>
      <c r="M720" s="5" t="s">
        <v>8</v>
      </c>
      <c r="N720" s="5" t="s">
        <v>80</v>
      </c>
      <c r="O720" s="5" t="str">
        <f>IF(B720="","",IFERROR(LOOKUP(2,1/('Call Log'!$C$2:$C$5000=B720),'Call Log'!$B$2:$B$5000),""))</f>
        <v/>
      </c>
      <c r="P720" s="5">
        <f>IF(B720="","",COUNTIFS('Call Log'!$C$2:$C$5000,B720,'Call Log'!$A$2:$A$5000,"&gt;="&amp;(TODAY()-WEEKDAY(TODAY(),2)+1)))</f>
        <v>0</v>
      </c>
      <c r="Q720" s="5">
        <f>IF(B720="","",COUNTIF('Call Log'!$C$2:$C$5000,B720))</f>
        <v>0</v>
      </c>
      <c r="R720" s="21" t="str">
        <f>IF(B720="","",IFERROR(IF(MAXIFS('Call Log'!$A$2:$A$5000,'Call Log'!$C$2:$C$5000,B720)=0,"",MAXIFS('Call Log'!$A$2:$A$5000,'Call Log'!$C$2:$C$5000,B720)),""))</f>
        <v/>
      </c>
      <c r="S720" s="5"/>
      <c r="T720" s="21"/>
      <c r="U720" s="21"/>
      <c r="V720" s="5"/>
      <c r="W720" s="20"/>
      <c r="X720" s="5"/>
      <c r="Y720" s="5"/>
      <c r="Z720" s="5"/>
      <c r="AA720" s="5" t="s">
        <v>3893</v>
      </c>
    </row>
    <row r="721" ht="15.0" customHeight="1">
      <c r="A721" s="5" t="s">
        <v>3894</v>
      </c>
      <c r="B721" s="5" t="s">
        <v>3895</v>
      </c>
      <c r="C721" s="5"/>
      <c r="D721" s="5"/>
      <c r="E721" s="5"/>
      <c r="F721" s="20"/>
      <c r="G721" s="20"/>
      <c r="H721" s="5" t="s">
        <v>40</v>
      </c>
      <c r="I721" s="5" t="s">
        <v>175</v>
      </c>
      <c r="J721" s="5" t="s">
        <v>114</v>
      </c>
      <c r="K721" s="5" t="s">
        <v>3896</v>
      </c>
      <c r="L721" s="5"/>
      <c r="M721" s="5" t="s">
        <v>8</v>
      </c>
      <c r="N721" s="5" t="s">
        <v>80</v>
      </c>
      <c r="O721" s="5" t="str">
        <f>IF(B721="","",IFERROR(LOOKUP(2,1/('Call Log'!$C$2:$C$5000=B721),'Call Log'!$B$2:$B$5000),""))</f>
        <v/>
      </c>
      <c r="P721" s="5">
        <f>IF(B721="","",COUNTIFS('Call Log'!$C$2:$C$5000,B721,'Call Log'!$A$2:$A$5000,"&gt;="&amp;(TODAY()-WEEKDAY(TODAY(),2)+1)))</f>
        <v>0</v>
      </c>
      <c r="Q721" s="5">
        <f>IF(B721="","",COUNTIF('Call Log'!$C$2:$C$5000,B721))</f>
        <v>0</v>
      </c>
      <c r="R721" s="21" t="str">
        <f>IF(B721="","",IFERROR(IF(MAXIFS('Call Log'!$A$2:$A$5000,'Call Log'!$C$2:$C$5000,B721)=0,"",MAXIFS('Call Log'!$A$2:$A$5000,'Call Log'!$C$2:$C$5000,B721)),""))</f>
        <v/>
      </c>
      <c r="S721" s="5"/>
      <c r="T721" s="21"/>
      <c r="U721" s="21"/>
      <c r="V721" s="5"/>
      <c r="W721" s="20"/>
      <c r="X721" s="5"/>
      <c r="Y721" s="5"/>
      <c r="Z721" s="5"/>
      <c r="AA721" s="5"/>
    </row>
    <row r="722" ht="15.0" customHeight="1">
      <c r="A722" s="5" t="s">
        <v>3897</v>
      </c>
      <c r="B722" s="5" t="s">
        <v>3898</v>
      </c>
      <c r="C722" s="5"/>
      <c r="D722" s="5"/>
      <c r="E722" s="5"/>
      <c r="F722" s="20"/>
      <c r="G722" s="20"/>
      <c r="H722" s="5" t="s">
        <v>40</v>
      </c>
      <c r="I722" s="5" t="s">
        <v>206</v>
      </c>
      <c r="J722" s="5" t="s">
        <v>114</v>
      </c>
      <c r="K722" s="5" t="s">
        <v>3899</v>
      </c>
      <c r="L722" s="5"/>
      <c r="M722" s="5" t="s">
        <v>8</v>
      </c>
      <c r="N722" s="5" t="s">
        <v>80</v>
      </c>
      <c r="O722" s="5" t="str">
        <f>IF(B722="","",IFERROR(LOOKUP(2,1/('Call Log'!$C$2:$C$5000=B722),'Call Log'!$B$2:$B$5000),""))</f>
        <v/>
      </c>
      <c r="P722" s="5">
        <f>IF(B722="","",COUNTIFS('Call Log'!$C$2:$C$5000,B722,'Call Log'!$A$2:$A$5000,"&gt;="&amp;(TODAY()-WEEKDAY(TODAY(),2)+1)))</f>
        <v>0</v>
      </c>
      <c r="Q722" s="5">
        <f>IF(B722="","",COUNTIF('Call Log'!$C$2:$C$5000,B722))</f>
        <v>0</v>
      </c>
      <c r="R722" s="21" t="str">
        <f>IF(B722="","",IFERROR(IF(MAXIFS('Call Log'!$A$2:$A$5000,'Call Log'!$C$2:$C$5000,B722)=0,"",MAXIFS('Call Log'!$A$2:$A$5000,'Call Log'!$C$2:$C$5000,B722)),""))</f>
        <v/>
      </c>
      <c r="S722" s="5"/>
      <c r="T722" s="21"/>
      <c r="U722" s="21"/>
      <c r="V722" s="5"/>
      <c r="W722" s="20"/>
      <c r="X722" s="5"/>
      <c r="Y722" s="5"/>
      <c r="Z722" s="5"/>
      <c r="AA722" s="5"/>
    </row>
    <row r="723" ht="15.0" customHeight="1">
      <c r="A723" s="5" t="s">
        <v>3900</v>
      </c>
      <c r="B723" s="5" t="s">
        <v>3901</v>
      </c>
      <c r="C723" s="5"/>
      <c r="D723" s="5"/>
      <c r="E723" s="5"/>
      <c r="F723" s="20"/>
      <c r="G723" s="20"/>
      <c r="H723" s="5" t="s">
        <v>40</v>
      </c>
      <c r="I723" s="5" t="s">
        <v>594</v>
      </c>
      <c r="J723" s="5" t="s">
        <v>114</v>
      </c>
      <c r="K723" s="5" t="s">
        <v>3902</v>
      </c>
      <c r="L723" s="5"/>
      <c r="M723" s="5" t="s">
        <v>8</v>
      </c>
      <c r="N723" s="5" t="s">
        <v>80</v>
      </c>
      <c r="O723" s="5" t="str">
        <f>IF(B723="","",IFERROR(LOOKUP(2,1/('Call Log'!$C$2:$C$5000=B723),'Call Log'!$B$2:$B$5000),""))</f>
        <v/>
      </c>
      <c r="P723" s="5">
        <f>IF(B723="","",COUNTIFS('Call Log'!$C$2:$C$5000,B723,'Call Log'!$A$2:$A$5000,"&gt;="&amp;(TODAY()-WEEKDAY(TODAY(),2)+1)))</f>
        <v>0</v>
      </c>
      <c r="Q723" s="5">
        <f>IF(B723="","",COUNTIF('Call Log'!$C$2:$C$5000,B723))</f>
        <v>0</v>
      </c>
      <c r="R723" s="21" t="str">
        <f>IF(B723="","",IFERROR(IF(MAXIFS('Call Log'!$A$2:$A$5000,'Call Log'!$C$2:$C$5000,B723)=0,"",MAXIFS('Call Log'!$A$2:$A$5000,'Call Log'!$C$2:$C$5000,B723)),""))</f>
        <v/>
      </c>
      <c r="S723" s="5"/>
      <c r="T723" s="21"/>
      <c r="U723" s="21"/>
      <c r="V723" s="5"/>
      <c r="W723" s="20"/>
      <c r="X723" s="5"/>
      <c r="Y723" s="5"/>
      <c r="Z723" s="5"/>
      <c r="AA723" s="5"/>
    </row>
    <row r="724" ht="15.0" customHeight="1">
      <c r="A724" s="5" t="s">
        <v>3903</v>
      </c>
      <c r="B724" s="5" t="s">
        <v>3904</v>
      </c>
      <c r="C724" s="5"/>
      <c r="D724" s="5"/>
      <c r="E724" s="5"/>
      <c r="F724" s="20"/>
      <c r="G724" s="20"/>
      <c r="H724" s="5" t="s">
        <v>43</v>
      </c>
      <c r="I724" s="5" t="s">
        <v>865</v>
      </c>
      <c r="J724" s="5" t="s">
        <v>114</v>
      </c>
      <c r="K724" s="5" t="s">
        <v>3905</v>
      </c>
      <c r="L724" s="5"/>
      <c r="M724" s="5" t="s">
        <v>8</v>
      </c>
      <c r="N724" s="5" t="s">
        <v>80</v>
      </c>
      <c r="O724" s="5" t="str">
        <f>IF(B724="","",IFERROR(LOOKUP(2,1/('Call Log'!$C$2:$C$5000=B724),'Call Log'!$B$2:$B$5000),""))</f>
        <v/>
      </c>
      <c r="P724" s="5">
        <f>IF(B724="","",COUNTIFS('Call Log'!$C$2:$C$5000,B724,'Call Log'!$A$2:$A$5000,"&gt;="&amp;(TODAY()-WEEKDAY(TODAY(),2)+1)))</f>
        <v>0</v>
      </c>
      <c r="Q724" s="5">
        <f>IF(B724="","",COUNTIF('Call Log'!$C$2:$C$5000,B724))</f>
        <v>0</v>
      </c>
      <c r="R724" s="21" t="str">
        <f>IF(B724="","",IFERROR(IF(MAXIFS('Call Log'!$A$2:$A$5000,'Call Log'!$C$2:$C$5000,B724)=0,"",MAXIFS('Call Log'!$A$2:$A$5000,'Call Log'!$C$2:$C$5000,B724)),""))</f>
        <v/>
      </c>
      <c r="S724" s="5"/>
      <c r="T724" s="21"/>
      <c r="U724" s="21"/>
      <c r="V724" s="5"/>
      <c r="W724" s="20"/>
      <c r="X724" s="5"/>
      <c r="Y724" s="5"/>
      <c r="Z724" s="5"/>
      <c r="AA724" s="5"/>
    </row>
    <row r="725" ht="15.0" customHeight="1">
      <c r="A725" s="5" t="s">
        <v>3906</v>
      </c>
      <c r="B725" s="5" t="s">
        <v>3907</v>
      </c>
      <c r="C725" s="5"/>
      <c r="D725" s="5"/>
      <c r="E725" s="5"/>
      <c r="F725" s="20"/>
      <c r="G725" s="20"/>
      <c r="H725" s="5" t="s">
        <v>40</v>
      </c>
      <c r="I725" s="5" t="s">
        <v>154</v>
      </c>
      <c r="J725" s="5" t="s">
        <v>114</v>
      </c>
      <c r="K725" s="5" t="s">
        <v>3908</v>
      </c>
      <c r="L725" s="5"/>
      <c r="M725" s="5" t="s">
        <v>8</v>
      </c>
      <c r="N725" s="5" t="s">
        <v>80</v>
      </c>
      <c r="O725" s="5" t="str">
        <f>IF(B725="","",IFERROR(LOOKUP(2,1/('Call Log'!$C$2:$C$5000=B725),'Call Log'!$B$2:$B$5000),""))</f>
        <v/>
      </c>
      <c r="P725" s="5">
        <f>IF(B725="","",COUNTIFS('Call Log'!$C$2:$C$5000,B725,'Call Log'!$A$2:$A$5000,"&gt;="&amp;(TODAY()-WEEKDAY(TODAY(),2)+1)))</f>
        <v>0</v>
      </c>
      <c r="Q725" s="5">
        <f>IF(B725="","",COUNTIF('Call Log'!$C$2:$C$5000,B725))</f>
        <v>0</v>
      </c>
      <c r="R725" s="21" t="str">
        <f>IF(B725="","",IFERROR(IF(MAXIFS('Call Log'!$A$2:$A$5000,'Call Log'!$C$2:$C$5000,B725)=0,"",MAXIFS('Call Log'!$A$2:$A$5000,'Call Log'!$C$2:$C$5000,B725)),""))</f>
        <v/>
      </c>
      <c r="S725" s="5"/>
      <c r="T725" s="21"/>
      <c r="U725" s="21"/>
      <c r="V725" s="5"/>
      <c r="W725" s="20"/>
      <c r="X725" s="5"/>
      <c r="Y725" s="5"/>
      <c r="Z725" s="5"/>
      <c r="AA725" s="5" t="s">
        <v>3644</v>
      </c>
    </row>
    <row r="726" ht="15.0" customHeight="1">
      <c r="A726" s="5" t="s">
        <v>3909</v>
      </c>
      <c r="B726" s="5" t="s">
        <v>3910</v>
      </c>
      <c r="C726" s="5"/>
      <c r="D726" s="5"/>
      <c r="E726" s="5"/>
      <c r="F726" s="20"/>
      <c r="G726" s="20"/>
      <c r="H726" s="5" t="s">
        <v>41</v>
      </c>
      <c r="I726" s="5" t="s">
        <v>184</v>
      </c>
      <c r="J726" s="5" t="s">
        <v>114</v>
      </c>
      <c r="K726" s="5" t="s">
        <v>3911</v>
      </c>
      <c r="L726" s="5"/>
      <c r="M726" s="5" t="s">
        <v>8</v>
      </c>
      <c r="N726" s="5" t="s">
        <v>80</v>
      </c>
      <c r="O726" s="5" t="str">
        <f>IF(B726="","",IFERROR(LOOKUP(2,1/('Call Log'!$C$2:$C$5000=B726),'Call Log'!$B$2:$B$5000),""))</f>
        <v/>
      </c>
      <c r="P726" s="5">
        <f>IF(B726="","",COUNTIFS('Call Log'!$C$2:$C$5000,B726,'Call Log'!$A$2:$A$5000,"&gt;="&amp;(TODAY()-WEEKDAY(TODAY(),2)+1)))</f>
        <v>0</v>
      </c>
      <c r="Q726" s="5">
        <f>IF(B726="","",COUNTIF('Call Log'!$C$2:$C$5000,B726))</f>
        <v>0</v>
      </c>
      <c r="R726" s="21" t="str">
        <f>IF(B726="","",IFERROR(IF(MAXIFS('Call Log'!$A$2:$A$5000,'Call Log'!$C$2:$C$5000,B726)=0,"",MAXIFS('Call Log'!$A$2:$A$5000,'Call Log'!$C$2:$C$5000,B726)),""))</f>
        <v/>
      </c>
      <c r="S726" s="5"/>
      <c r="T726" s="21"/>
      <c r="U726" s="21"/>
      <c r="V726" s="5"/>
      <c r="W726" s="20"/>
      <c r="X726" s="5"/>
      <c r="Y726" s="5"/>
      <c r="Z726" s="5"/>
      <c r="AA726" s="5"/>
    </row>
    <row r="727" ht="15.0" customHeight="1">
      <c r="A727" s="5" t="s">
        <v>3912</v>
      </c>
      <c r="B727" s="5" t="s">
        <v>3913</v>
      </c>
      <c r="C727" s="5"/>
      <c r="D727" s="5"/>
      <c r="E727" s="5"/>
      <c r="F727" s="20"/>
      <c r="G727" s="20"/>
      <c r="H727" s="5" t="s">
        <v>40</v>
      </c>
      <c r="I727" s="5" t="s">
        <v>206</v>
      </c>
      <c r="J727" s="5" t="s">
        <v>114</v>
      </c>
      <c r="K727" s="5" t="s">
        <v>3914</v>
      </c>
      <c r="L727" s="5"/>
      <c r="M727" s="5" t="s">
        <v>8</v>
      </c>
      <c r="N727" s="5" t="s">
        <v>80</v>
      </c>
      <c r="O727" s="5" t="str">
        <f>IF(B727="","",IFERROR(LOOKUP(2,1/('Call Log'!$C$2:$C$5000=B727),'Call Log'!$B$2:$B$5000),""))</f>
        <v/>
      </c>
      <c r="P727" s="5">
        <f>IF(B727="","",COUNTIFS('Call Log'!$C$2:$C$5000,B727,'Call Log'!$A$2:$A$5000,"&gt;="&amp;(TODAY()-WEEKDAY(TODAY(),2)+1)))</f>
        <v>0</v>
      </c>
      <c r="Q727" s="5">
        <f>IF(B727="","",COUNTIF('Call Log'!$C$2:$C$5000,B727))</f>
        <v>0</v>
      </c>
      <c r="R727" s="21" t="str">
        <f>IF(B727="","",IFERROR(IF(MAXIFS('Call Log'!$A$2:$A$5000,'Call Log'!$C$2:$C$5000,B727)=0,"",MAXIFS('Call Log'!$A$2:$A$5000,'Call Log'!$C$2:$C$5000,B727)),""))</f>
        <v/>
      </c>
      <c r="S727" s="5"/>
      <c r="T727" s="21"/>
      <c r="U727" s="21"/>
      <c r="V727" s="5"/>
      <c r="W727" s="20"/>
      <c r="X727" s="5"/>
      <c r="Y727" s="5"/>
      <c r="Z727" s="5"/>
      <c r="AA727" s="5"/>
    </row>
    <row r="728" ht="15.0" customHeight="1">
      <c r="A728" s="5" t="s">
        <v>3915</v>
      </c>
      <c r="B728" s="5" t="s">
        <v>3916</v>
      </c>
      <c r="C728" s="5"/>
      <c r="D728" s="5" t="s">
        <v>3917</v>
      </c>
      <c r="E728" s="5"/>
      <c r="F728" s="20"/>
      <c r="G728" s="20"/>
      <c r="H728" s="5" t="s">
        <v>40</v>
      </c>
      <c r="I728" s="5" t="s">
        <v>122</v>
      </c>
      <c r="J728" s="5" t="s">
        <v>114</v>
      </c>
      <c r="K728" s="5" t="s">
        <v>3918</v>
      </c>
      <c r="L728" s="5"/>
      <c r="M728" s="5" t="s">
        <v>8</v>
      </c>
      <c r="N728" s="5" t="s">
        <v>80</v>
      </c>
      <c r="O728" s="5" t="str">
        <f>IF(B728="","",IFERROR(LOOKUP(2,1/('Call Log'!$C$2:$C$5000=B728),'Call Log'!$B$2:$B$5000),""))</f>
        <v/>
      </c>
      <c r="P728" s="5">
        <f>IF(B728="","",COUNTIFS('Call Log'!$C$2:$C$5000,B728,'Call Log'!$A$2:$A$5000,"&gt;="&amp;(TODAY()-WEEKDAY(TODAY(),2)+1)))</f>
        <v>0</v>
      </c>
      <c r="Q728" s="5">
        <f>IF(B728="","",COUNTIF('Call Log'!$C$2:$C$5000,B728))</f>
        <v>0</v>
      </c>
      <c r="R728" s="21" t="str">
        <f>IF(B728="","",IFERROR(IF(MAXIFS('Call Log'!$A$2:$A$5000,'Call Log'!$C$2:$C$5000,B728)=0,"",MAXIFS('Call Log'!$A$2:$A$5000,'Call Log'!$C$2:$C$5000,B728)),""))</f>
        <v/>
      </c>
      <c r="S728" s="5"/>
      <c r="T728" s="21"/>
      <c r="U728" s="21"/>
      <c r="V728" s="5"/>
      <c r="W728" s="20"/>
      <c r="X728" s="5"/>
      <c r="Y728" s="5"/>
      <c r="Z728" s="5" t="s">
        <v>178</v>
      </c>
      <c r="AA728" s="5" t="s">
        <v>3919</v>
      </c>
    </row>
    <row r="729" ht="15.0" customHeight="1">
      <c r="A729" s="5" t="s">
        <v>3920</v>
      </c>
      <c r="B729" s="5" t="s">
        <v>3921</v>
      </c>
      <c r="C729" s="5"/>
      <c r="D729" s="5"/>
      <c r="E729" s="5"/>
      <c r="F729" s="20"/>
      <c r="G729" s="20"/>
      <c r="H729" s="5" t="s">
        <v>40</v>
      </c>
      <c r="I729" s="5" t="s">
        <v>370</v>
      </c>
      <c r="J729" s="5" t="s">
        <v>114</v>
      </c>
      <c r="K729" s="5" t="s">
        <v>3922</v>
      </c>
      <c r="L729" s="5"/>
      <c r="M729" s="5" t="s">
        <v>8</v>
      </c>
      <c r="N729" s="5" t="s">
        <v>80</v>
      </c>
      <c r="O729" s="5" t="str">
        <f>IF(B729="","",IFERROR(LOOKUP(2,1/('Call Log'!$C$2:$C$5000=B729),'Call Log'!$B$2:$B$5000),""))</f>
        <v/>
      </c>
      <c r="P729" s="5">
        <f>IF(B729="","",COUNTIFS('Call Log'!$C$2:$C$5000,B729,'Call Log'!$A$2:$A$5000,"&gt;="&amp;(TODAY()-WEEKDAY(TODAY(),2)+1)))</f>
        <v>0</v>
      </c>
      <c r="Q729" s="5">
        <f>IF(B729="","",COUNTIF('Call Log'!$C$2:$C$5000,B729))</f>
        <v>0</v>
      </c>
      <c r="R729" s="21" t="str">
        <f>IF(B729="","",IFERROR(IF(MAXIFS('Call Log'!$A$2:$A$5000,'Call Log'!$C$2:$C$5000,B729)=0,"",MAXIFS('Call Log'!$A$2:$A$5000,'Call Log'!$C$2:$C$5000,B729)),""))</f>
        <v/>
      </c>
      <c r="S729" s="5"/>
      <c r="T729" s="21"/>
      <c r="U729" s="21"/>
      <c r="V729" s="5"/>
      <c r="W729" s="20"/>
      <c r="X729" s="5"/>
      <c r="Y729" s="5"/>
      <c r="Z729" s="5"/>
      <c r="AA729" s="5"/>
    </row>
    <row r="730" ht="15.0" customHeight="1">
      <c r="A730" s="5" t="s">
        <v>3923</v>
      </c>
      <c r="B730" s="5" t="s">
        <v>3924</v>
      </c>
      <c r="C730" s="5"/>
      <c r="D730" s="5"/>
      <c r="E730" s="5"/>
      <c r="F730" s="20"/>
      <c r="G730" s="20"/>
      <c r="H730" s="5" t="s">
        <v>41</v>
      </c>
      <c r="I730" s="5" t="s">
        <v>175</v>
      </c>
      <c r="J730" s="5" t="s">
        <v>114</v>
      </c>
      <c r="K730" s="5" t="s">
        <v>3925</v>
      </c>
      <c r="L730" s="5"/>
      <c r="M730" s="5" t="s">
        <v>8</v>
      </c>
      <c r="N730" s="5" t="s">
        <v>80</v>
      </c>
      <c r="O730" s="5" t="str">
        <f>IF(B730="","",IFERROR(LOOKUP(2,1/('Call Log'!$C$2:$C$5000=B730),'Call Log'!$B$2:$B$5000),""))</f>
        <v/>
      </c>
      <c r="P730" s="5">
        <f>IF(B730="","",COUNTIFS('Call Log'!$C$2:$C$5000,B730,'Call Log'!$A$2:$A$5000,"&gt;="&amp;(TODAY()-WEEKDAY(TODAY(),2)+1)))</f>
        <v>0</v>
      </c>
      <c r="Q730" s="5">
        <f>IF(B730="","",COUNTIF('Call Log'!$C$2:$C$5000,B730))</f>
        <v>0</v>
      </c>
      <c r="R730" s="21" t="str">
        <f>IF(B730="","",IFERROR(IF(MAXIFS('Call Log'!$A$2:$A$5000,'Call Log'!$C$2:$C$5000,B730)=0,"",MAXIFS('Call Log'!$A$2:$A$5000,'Call Log'!$C$2:$C$5000,B730)),""))</f>
        <v/>
      </c>
      <c r="S730" s="5"/>
      <c r="T730" s="21"/>
      <c r="U730" s="21"/>
      <c r="V730" s="5"/>
      <c r="W730" s="20"/>
      <c r="X730" s="5"/>
      <c r="Y730" s="5"/>
      <c r="Z730" s="5"/>
      <c r="AA730" s="5"/>
    </row>
    <row r="731" ht="15.0" customHeight="1">
      <c r="A731" s="5" t="s">
        <v>3926</v>
      </c>
      <c r="B731" s="5" t="s">
        <v>3927</v>
      </c>
      <c r="C731" s="5"/>
      <c r="D731" s="5"/>
      <c r="E731" s="5"/>
      <c r="F731" s="20"/>
      <c r="G731" s="20"/>
      <c r="H731" s="5" t="s">
        <v>40</v>
      </c>
      <c r="I731" s="5" t="s">
        <v>154</v>
      </c>
      <c r="J731" s="5" t="s">
        <v>114</v>
      </c>
      <c r="K731" s="5" t="s">
        <v>3928</v>
      </c>
      <c r="L731" s="5"/>
      <c r="M731" s="5" t="s">
        <v>8</v>
      </c>
      <c r="N731" s="5" t="s">
        <v>80</v>
      </c>
      <c r="O731" s="5" t="str">
        <f>IF(B731="","",IFERROR(LOOKUP(2,1/('Call Log'!$C$2:$C$5000=B731),'Call Log'!$B$2:$B$5000),""))</f>
        <v/>
      </c>
      <c r="P731" s="5">
        <f>IF(B731="","",COUNTIFS('Call Log'!$C$2:$C$5000,B731,'Call Log'!$A$2:$A$5000,"&gt;="&amp;(TODAY()-WEEKDAY(TODAY(),2)+1)))</f>
        <v>0</v>
      </c>
      <c r="Q731" s="5">
        <f>IF(B731="","",COUNTIF('Call Log'!$C$2:$C$5000,B731))</f>
        <v>0</v>
      </c>
      <c r="R731" s="21" t="str">
        <f>IF(B731="","",IFERROR(IF(MAXIFS('Call Log'!$A$2:$A$5000,'Call Log'!$C$2:$C$5000,B731)=0,"",MAXIFS('Call Log'!$A$2:$A$5000,'Call Log'!$C$2:$C$5000,B731)),""))</f>
        <v/>
      </c>
      <c r="S731" s="5"/>
      <c r="T731" s="21"/>
      <c r="U731" s="21"/>
      <c r="V731" s="5"/>
      <c r="W731" s="20"/>
      <c r="X731" s="5"/>
      <c r="Y731" s="5"/>
      <c r="Z731" s="5"/>
      <c r="AA731" s="5"/>
    </row>
    <row r="732" ht="15.0" customHeight="1">
      <c r="A732" s="5" t="s">
        <v>3929</v>
      </c>
      <c r="B732" s="5" t="s">
        <v>3930</v>
      </c>
      <c r="C732" s="5"/>
      <c r="D732" s="5"/>
      <c r="E732" s="5"/>
      <c r="F732" s="20"/>
      <c r="G732" s="20"/>
      <c r="H732" s="5" t="s">
        <v>41</v>
      </c>
      <c r="I732" s="5" t="s">
        <v>357</v>
      </c>
      <c r="J732" s="5" t="s">
        <v>114</v>
      </c>
      <c r="K732" s="5" t="s">
        <v>3931</v>
      </c>
      <c r="L732" s="5"/>
      <c r="M732" s="5" t="s">
        <v>8</v>
      </c>
      <c r="N732" s="5" t="s">
        <v>80</v>
      </c>
      <c r="O732" s="5" t="str">
        <f>IF(B732="","",IFERROR(LOOKUP(2,1/('Call Log'!$C$2:$C$5000=B732),'Call Log'!$B$2:$B$5000),""))</f>
        <v/>
      </c>
      <c r="P732" s="5">
        <f>IF(B732="","",COUNTIFS('Call Log'!$C$2:$C$5000,B732,'Call Log'!$A$2:$A$5000,"&gt;="&amp;(TODAY()-WEEKDAY(TODAY(),2)+1)))</f>
        <v>0</v>
      </c>
      <c r="Q732" s="5">
        <f>IF(B732="","",COUNTIF('Call Log'!$C$2:$C$5000,B732))</f>
        <v>0</v>
      </c>
      <c r="R732" s="21" t="str">
        <f>IF(B732="","",IFERROR(IF(MAXIFS('Call Log'!$A$2:$A$5000,'Call Log'!$C$2:$C$5000,B732)=0,"",MAXIFS('Call Log'!$A$2:$A$5000,'Call Log'!$C$2:$C$5000,B732)),""))</f>
        <v/>
      </c>
      <c r="S732" s="5"/>
      <c r="T732" s="21"/>
      <c r="U732" s="21"/>
      <c r="V732" s="5"/>
      <c r="W732" s="20"/>
      <c r="X732" s="5"/>
      <c r="Y732" s="5"/>
      <c r="Z732" s="5"/>
      <c r="AA732" s="5"/>
    </row>
    <row r="733" ht="15.0" customHeight="1">
      <c r="A733" s="5" t="s">
        <v>3932</v>
      </c>
      <c r="B733" s="5" t="s">
        <v>3933</v>
      </c>
      <c r="C733" s="5"/>
      <c r="D733" s="5"/>
      <c r="E733" s="5"/>
      <c r="F733" s="20"/>
      <c r="G733" s="20"/>
      <c r="H733" s="5" t="s">
        <v>40</v>
      </c>
      <c r="I733" s="5" t="s">
        <v>184</v>
      </c>
      <c r="J733" s="5" t="s">
        <v>114</v>
      </c>
      <c r="K733" s="5" t="s">
        <v>3934</v>
      </c>
      <c r="L733" s="5"/>
      <c r="M733" s="5" t="s">
        <v>8</v>
      </c>
      <c r="N733" s="5" t="s">
        <v>80</v>
      </c>
      <c r="O733" s="5" t="str">
        <f>IF(B733="","",IFERROR(LOOKUP(2,1/('Call Log'!$C$2:$C$5000=B733),'Call Log'!$B$2:$B$5000),""))</f>
        <v/>
      </c>
      <c r="P733" s="5">
        <f>IF(B733="","",COUNTIFS('Call Log'!$C$2:$C$5000,B733,'Call Log'!$A$2:$A$5000,"&gt;="&amp;(TODAY()-WEEKDAY(TODAY(),2)+1)))</f>
        <v>0</v>
      </c>
      <c r="Q733" s="5">
        <f>IF(B733="","",COUNTIF('Call Log'!$C$2:$C$5000,B733))</f>
        <v>0</v>
      </c>
      <c r="R733" s="21" t="str">
        <f>IF(B733="","",IFERROR(IF(MAXIFS('Call Log'!$A$2:$A$5000,'Call Log'!$C$2:$C$5000,B733)=0,"",MAXIFS('Call Log'!$A$2:$A$5000,'Call Log'!$C$2:$C$5000,B733)),""))</f>
        <v/>
      </c>
      <c r="S733" s="5"/>
      <c r="T733" s="21"/>
      <c r="U733" s="21"/>
      <c r="V733" s="5"/>
      <c r="W733" s="20"/>
      <c r="X733" s="5"/>
      <c r="Y733" s="5"/>
      <c r="Z733" s="5"/>
      <c r="AA733" s="5"/>
    </row>
    <row r="734" ht="15.0" customHeight="1">
      <c r="A734" s="5" t="s">
        <v>3935</v>
      </c>
      <c r="B734" s="5" t="s">
        <v>3936</v>
      </c>
      <c r="C734" s="5"/>
      <c r="D734" s="5"/>
      <c r="E734" s="5"/>
      <c r="F734" s="20"/>
      <c r="G734" s="20"/>
      <c r="H734" s="5" t="s">
        <v>41</v>
      </c>
      <c r="I734" s="5" t="s">
        <v>1320</v>
      </c>
      <c r="J734" s="5" t="s">
        <v>114</v>
      </c>
      <c r="K734" s="5" t="s">
        <v>3937</v>
      </c>
      <c r="L734" s="5"/>
      <c r="M734" s="5" t="s">
        <v>8</v>
      </c>
      <c r="N734" s="5" t="s">
        <v>80</v>
      </c>
      <c r="O734" s="5" t="str">
        <f>IF(B734="","",IFERROR(LOOKUP(2,1/('Call Log'!$C$2:$C$5000=B734),'Call Log'!$B$2:$B$5000),""))</f>
        <v/>
      </c>
      <c r="P734" s="5">
        <f>IF(B734="","",COUNTIFS('Call Log'!$C$2:$C$5000,B734,'Call Log'!$A$2:$A$5000,"&gt;="&amp;(TODAY()-WEEKDAY(TODAY(),2)+1)))</f>
        <v>0</v>
      </c>
      <c r="Q734" s="5">
        <f>IF(B734="","",COUNTIF('Call Log'!$C$2:$C$5000,B734))</f>
        <v>0</v>
      </c>
      <c r="R734" s="21" t="str">
        <f>IF(B734="","",IFERROR(IF(MAXIFS('Call Log'!$A$2:$A$5000,'Call Log'!$C$2:$C$5000,B734)=0,"",MAXIFS('Call Log'!$A$2:$A$5000,'Call Log'!$C$2:$C$5000,B734)),""))</f>
        <v/>
      </c>
      <c r="S734" s="5"/>
      <c r="T734" s="21"/>
      <c r="U734" s="21"/>
      <c r="V734" s="5"/>
      <c r="W734" s="20"/>
      <c r="X734" s="5"/>
      <c r="Y734" s="5"/>
      <c r="Z734" s="5"/>
      <c r="AA734" s="5"/>
    </row>
    <row r="735" ht="15.0" customHeight="1">
      <c r="A735" s="5" t="s">
        <v>3938</v>
      </c>
      <c r="B735" s="5" t="s">
        <v>3939</v>
      </c>
      <c r="C735" s="5"/>
      <c r="D735" s="5"/>
      <c r="E735" s="5"/>
      <c r="F735" s="20"/>
      <c r="G735" s="20"/>
      <c r="H735" s="5" t="s">
        <v>43</v>
      </c>
      <c r="I735" s="5" t="s">
        <v>857</v>
      </c>
      <c r="J735" s="5" t="s">
        <v>114</v>
      </c>
      <c r="K735" s="5" t="s">
        <v>3940</v>
      </c>
      <c r="L735" s="5"/>
      <c r="M735" s="5" t="s">
        <v>8</v>
      </c>
      <c r="N735" s="5" t="s">
        <v>80</v>
      </c>
      <c r="O735" s="5" t="str">
        <f>IF(B735="","",IFERROR(LOOKUP(2,1/('Call Log'!$C$2:$C$5000=B735),'Call Log'!$B$2:$B$5000),""))</f>
        <v/>
      </c>
      <c r="P735" s="5">
        <f>IF(B735="","",COUNTIFS('Call Log'!$C$2:$C$5000,B735,'Call Log'!$A$2:$A$5000,"&gt;="&amp;(TODAY()-WEEKDAY(TODAY(),2)+1)))</f>
        <v>0</v>
      </c>
      <c r="Q735" s="5">
        <f>IF(B735="","",COUNTIF('Call Log'!$C$2:$C$5000,B735))</f>
        <v>0</v>
      </c>
      <c r="R735" s="21" t="str">
        <f>IF(B735="","",IFERROR(IF(MAXIFS('Call Log'!$A$2:$A$5000,'Call Log'!$C$2:$C$5000,B735)=0,"",MAXIFS('Call Log'!$A$2:$A$5000,'Call Log'!$C$2:$C$5000,B735)),""))</f>
        <v/>
      </c>
      <c r="S735" s="5"/>
      <c r="T735" s="21"/>
      <c r="U735" s="21"/>
      <c r="V735" s="5"/>
      <c r="W735" s="20"/>
      <c r="X735" s="5"/>
      <c r="Y735" s="5"/>
      <c r="Z735" s="5"/>
      <c r="AA735" s="5"/>
    </row>
    <row r="736" ht="15.0" customHeight="1">
      <c r="A736" s="5" t="s">
        <v>3941</v>
      </c>
      <c r="B736" s="5" t="s">
        <v>3942</v>
      </c>
      <c r="C736" s="5"/>
      <c r="D736" s="5"/>
      <c r="E736" s="5"/>
      <c r="F736" s="20"/>
      <c r="G736" s="20"/>
      <c r="H736" s="5" t="s">
        <v>40</v>
      </c>
      <c r="I736" s="5" t="s">
        <v>594</v>
      </c>
      <c r="J736" s="5" t="s">
        <v>114</v>
      </c>
      <c r="K736" s="5" t="s">
        <v>3943</v>
      </c>
      <c r="L736" s="5"/>
      <c r="M736" s="5" t="s">
        <v>8</v>
      </c>
      <c r="N736" s="5" t="s">
        <v>80</v>
      </c>
      <c r="O736" s="5" t="str">
        <f>IF(B736="","",IFERROR(LOOKUP(2,1/('Call Log'!$C$2:$C$5000=B736),'Call Log'!$B$2:$B$5000),""))</f>
        <v/>
      </c>
      <c r="P736" s="5">
        <f>IF(B736="","",COUNTIFS('Call Log'!$C$2:$C$5000,B736,'Call Log'!$A$2:$A$5000,"&gt;="&amp;(TODAY()-WEEKDAY(TODAY(),2)+1)))</f>
        <v>0</v>
      </c>
      <c r="Q736" s="5">
        <f>IF(B736="","",COUNTIF('Call Log'!$C$2:$C$5000,B736))</f>
        <v>0</v>
      </c>
      <c r="R736" s="21" t="str">
        <f>IF(B736="","",IFERROR(IF(MAXIFS('Call Log'!$A$2:$A$5000,'Call Log'!$C$2:$C$5000,B736)=0,"",MAXIFS('Call Log'!$A$2:$A$5000,'Call Log'!$C$2:$C$5000,B736)),""))</f>
        <v/>
      </c>
      <c r="S736" s="5"/>
      <c r="T736" s="21"/>
      <c r="U736" s="21"/>
      <c r="V736" s="5"/>
      <c r="W736" s="20"/>
      <c r="X736" s="5"/>
      <c r="Y736" s="5"/>
      <c r="Z736" s="5"/>
      <c r="AA736" s="5"/>
    </row>
    <row r="737" ht="15.0" customHeight="1">
      <c r="A737" s="5" t="s">
        <v>3944</v>
      </c>
      <c r="B737" s="5" t="s">
        <v>3945</v>
      </c>
      <c r="C737" s="5"/>
      <c r="D737" s="5"/>
      <c r="E737" s="5"/>
      <c r="F737" s="20"/>
      <c r="G737" s="20"/>
      <c r="H737" s="5" t="s">
        <v>41</v>
      </c>
      <c r="I737" s="5" t="s">
        <v>206</v>
      </c>
      <c r="J737" s="5" t="s">
        <v>114</v>
      </c>
      <c r="K737" s="5" t="s">
        <v>3946</v>
      </c>
      <c r="L737" s="5"/>
      <c r="M737" s="5" t="s">
        <v>8</v>
      </c>
      <c r="N737" s="5" t="s">
        <v>80</v>
      </c>
      <c r="O737" s="5" t="str">
        <f>IF(B737="","",IFERROR(LOOKUP(2,1/('Call Log'!$C$2:$C$5000=B737),'Call Log'!$B$2:$B$5000),""))</f>
        <v/>
      </c>
      <c r="P737" s="5">
        <f>IF(B737="","",COUNTIFS('Call Log'!$C$2:$C$5000,B737,'Call Log'!$A$2:$A$5000,"&gt;="&amp;(TODAY()-WEEKDAY(TODAY(),2)+1)))</f>
        <v>0</v>
      </c>
      <c r="Q737" s="5">
        <f>IF(B737="","",COUNTIF('Call Log'!$C$2:$C$5000,B737))</f>
        <v>0</v>
      </c>
      <c r="R737" s="21" t="str">
        <f>IF(B737="","",IFERROR(IF(MAXIFS('Call Log'!$A$2:$A$5000,'Call Log'!$C$2:$C$5000,B737)=0,"",MAXIFS('Call Log'!$A$2:$A$5000,'Call Log'!$C$2:$C$5000,B737)),""))</f>
        <v/>
      </c>
      <c r="S737" s="5"/>
      <c r="T737" s="21"/>
      <c r="U737" s="21"/>
      <c r="V737" s="5"/>
      <c r="W737" s="20"/>
      <c r="X737" s="5"/>
      <c r="Y737" s="5"/>
      <c r="Z737" s="5"/>
      <c r="AA737" s="5" t="s">
        <v>3947</v>
      </c>
    </row>
    <row r="738" ht="15.0" customHeight="1">
      <c r="A738" s="5" t="s">
        <v>3948</v>
      </c>
      <c r="B738" s="5" t="s">
        <v>3949</v>
      </c>
      <c r="C738" s="5"/>
      <c r="D738" s="5"/>
      <c r="E738" s="5"/>
      <c r="F738" s="20"/>
      <c r="G738" s="20"/>
      <c r="H738" s="5" t="s">
        <v>41</v>
      </c>
      <c r="I738" s="5" t="s">
        <v>231</v>
      </c>
      <c r="J738" s="5" t="s">
        <v>114</v>
      </c>
      <c r="K738" s="5" t="s">
        <v>3950</v>
      </c>
      <c r="L738" s="5"/>
      <c r="M738" s="5" t="s">
        <v>8</v>
      </c>
      <c r="N738" s="5" t="s">
        <v>80</v>
      </c>
      <c r="O738" s="5" t="str">
        <f>IF(B738="","",IFERROR(LOOKUP(2,1/('Call Log'!$C$2:$C$5000=B738),'Call Log'!$B$2:$B$5000),""))</f>
        <v/>
      </c>
      <c r="P738" s="5">
        <f>IF(B738="","",COUNTIFS('Call Log'!$C$2:$C$5000,B738,'Call Log'!$A$2:$A$5000,"&gt;="&amp;(TODAY()-WEEKDAY(TODAY(),2)+1)))</f>
        <v>0</v>
      </c>
      <c r="Q738" s="5">
        <f>IF(B738="","",COUNTIF('Call Log'!$C$2:$C$5000,B738))</f>
        <v>0</v>
      </c>
      <c r="R738" s="21" t="str">
        <f>IF(B738="","",IFERROR(IF(MAXIFS('Call Log'!$A$2:$A$5000,'Call Log'!$C$2:$C$5000,B738)=0,"",MAXIFS('Call Log'!$A$2:$A$5000,'Call Log'!$C$2:$C$5000,B738)),""))</f>
        <v/>
      </c>
      <c r="S738" s="5"/>
      <c r="T738" s="21"/>
      <c r="U738" s="21"/>
      <c r="V738" s="5"/>
      <c r="W738" s="20"/>
      <c r="X738" s="5"/>
      <c r="Y738" s="5"/>
      <c r="Z738" s="5"/>
      <c r="AA738" s="5" t="s">
        <v>3951</v>
      </c>
    </row>
    <row r="739" ht="15.0" customHeight="1">
      <c r="A739" s="5" t="s">
        <v>3952</v>
      </c>
      <c r="B739" s="5" t="s">
        <v>3953</v>
      </c>
      <c r="C739" s="5"/>
      <c r="D739" s="5" t="s">
        <v>3954</v>
      </c>
      <c r="E739" s="5"/>
      <c r="F739" s="20"/>
      <c r="G739" s="20"/>
      <c r="H739" s="5" t="s">
        <v>41</v>
      </c>
      <c r="I739" s="5" t="s">
        <v>1313</v>
      </c>
      <c r="J739" s="5" t="s">
        <v>114</v>
      </c>
      <c r="K739" s="5" t="s">
        <v>3955</v>
      </c>
      <c r="L739" s="5"/>
      <c r="M739" s="5" t="s">
        <v>8</v>
      </c>
      <c r="N739" s="5" t="s">
        <v>80</v>
      </c>
      <c r="O739" s="5" t="str">
        <f>IF(B739="","",IFERROR(LOOKUP(2,1/('Call Log'!$C$2:$C$5000=B739),'Call Log'!$B$2:$B$5000),""))</f>
        <v/>
      </c>
      <c r="P739" s="5">
        <f>IF(B739="","",COUNTIFS('Call Log'!$C$2:$C$5000,B739,'Call Log'!$A$2:$A$5000,"&gt;="&amp;(TODAY()-WEEKDAY(TODAY(),2)+1)))</f>
        <v>0</v>
      </c>
      <c r="Q739" s="5">
        <f>IF(B739="","",COUNTIF('Call Log'!$C$2:$C$5000,B739))</f>
        <v>0</v>
      </c>
      <c r="R739" s="21" t="str">
        <f>IF(B739="","",IFERROR(IF(MAXIFS('Call Log'!$A$2:$A$5000,'Call Log'!$C$2:$C$5000,B739)=0,"",MAXIFS('Call Log'!$A$2:$A$5000,'Call Log'!$C$2:$C$5000,B739)),""))</f>
        <v/>
      </c>
      <c r="S739" s="5"/>
      <c r="T739" s="21"/>
      <c r="U739" s="21"/>
      <c r="V739" s="5"/>
      <c r="W739" s="20"/>
      <c r="X739" s="5"/>
      <c r="Y739" s="5"/>
      <c r="Z739" s="5"/>
      <c r="AA739" s="5"/>
    </row>
    <row r="740" ht="15.0" customHeight="1">
      <c r="A740" s="5" t="s">
        <v>3956</v>
      </c>
      <c r="B740" s="5" t="s">
        <v>3957</v>
      </c>
      <c r="C740" s="5"/>
      <c r="D740" s="5"/>
      <c r="E740" s="5"/>
      <c r="F740" s="20"/>
      <c r="G740" s="20"/>
      <c r="H740" s="5" t="s">
        <v>40</v>
      </c>
      <c r="I740" s="5" t="s">
        <v>129</v>
      </c>
      <c r="J740" s="5" t="s">
        <v>114</v>
      </c>
      <c r="K740" s="5" t="s">
        <v>3958</v>
      </c>
      <c r="L740" s="5"/>
      <c r="M740" s="5" t="s">
        <v>8</v>
      </c>
      <c r="N740" s="5" t="s">
        <v>80</v>
      </c>
      <c r="O740" s="5" t="str">
        <f>IF(B740="","",IFERROR(LOOKUP(2,1/('Call Log'!$C$2:$C$5000=B740),'Call Log'!$B$2:$B$5000),""))</f>
        <v/>
      </c>
      <c r="P740" s="5">
        <f>IF(B740="","",COUNTIFS('Call Log'!$C$2:$C$5000,B740,'Call Log'!$A$2:$A$5000,"&gt;="&amp;(TODAY()-WEEKDAY(TODAY(),2)+1)))</f>
        <v>0</v>
      </c>
      <c r="Q740" s="5">
        <f>IF(B740="","",COUNTIF('Call Log'!$C$2:$C$5000,B740))</f>
        <v>0</v>
      </c>
      <c r="R740" s="21" t="str">
        <f>IF(B740="","",IFERROR(IF(MAXIFS('Call Log'!$A$2:$A$5000,'Call Log'!$C$2:$C$5000,B740)=0,"",MAXIFS('Call Log'!$A$2:$A$5000,'Call Log'!$C$2:$C$5000,B740)),""))</f>
        <v/>
      </c>
      <c r="S740" s="5"/>
      <c r="T740" s="21"/>
      <c r="U740" s="21"/>
      <c r="V740" s="5"/>
      <c r="W740" s="20"/>
      <c r="X740" s="5"/>
      <c r="Y740" s="5"/>
      <c r="Z740" s="5"/>
      <c r="AA740" s="5"/>
    </row>
    <row r="741" ht="15.0" customHeight="1">
      <c r="A741" s="5" t="s">
        <v>3959</v>
      </c>
      <c r="B741" s="5" t="s">
        <v>3960</v>
      </c>
      <c r="C741" s="5"/>
      <c r="D741" s="5"/>
      <c r="E741" s="5"/>
      <c r="F741" s="20"/>
      <c r="G741" s="20"/>
      <c r="H741" s="5" t="s">
        <v>41</v>
      </c>
      <c r="I741" s="5" t="s">
        <v>857</v>
      </c>
      <c r="J741" s="5" t="s">
        <v>114</v>
      </c>
      <c r="K741" s="5" t="s">
        <v>3961</v>
      </c>
      <c r="L741" s="5"/>
      <c r="M741" s="5" t="s">
        <v>8</v>
      </c>
      <c r="N741" s="5" t="s">
        <v>80</v>
      </c>
      <c r="O741" s="5" t="str">
        <f>IF(B741="","",IFERROR(LOOKUP(2,1/('Call Log'!$C$2:$C$5000=B741),'Call Log'!$B$2:$B$5000),""))</f>
        <v/>
      </c>
      <c r="P741" s="5">
        <f>IF(B741="","",COUNTIFS('Call Log'!$C$2:$C$5000,B741,'Call Log'!$A$2:$A$5000,"&gt;="&amp;(TODAY()-WEEKDAY(TODAY(),2)+1)))</f>
        <v>0</v>
      </c>
      <c r="Q741" s="5">
        <f>IF(B741="","",COUNTIF('Call Log'!$C$2:$C$5000,B741))</f>
        <v>0</v>
      </c>
      <c r="R741" s="21" t="str">
        <f>IF(B741="","",IFERROR(IF(MAXIFS('Call Log'!$A$2:$A$5000,'Call Log'!$C$2:$C$5000,B741)=0,"",MAXIFS('Call Log'!$A$2:$A$5000,'Call Log'!$C$2:$C$5000,B741)),""))</f>
        <v/>
      </c>
      <c r="S741" s="5"/>
      <c r="T741" s="21"/>
      <c r="U741" s="21"/>
      <c r="V741" s="5"/>
      <c r="W741" s="20"/>
      <c r="X741" s="5"/>
      <c r="Y741" s="5"/>
      <c r="Z741" s="5"/>
      <c r="AA741" s="5"/>
    </row>
    <row r="742" ht="15.0" customHeight="1">
      <c r="A742" s="5" t="s">
        <v>3962</v>
      </c>
      <c r="B742" s="5" t="s">
        <v>3963</v>
      </c>
      <c r="C742" s="5"/>
      <c r="D742" s="5"/>
      <c r="E742" s="5"/>
      <c r="F742" s="20"/>
      <c r="G742" s="20"/>
      <c r="H742" s="5" t="s">
        <v>40</v>
      </c>
      <c r="I742" s="5" t="s">
        <v>865</v>
      </c>
      <c r="J742" s="5" t="s">
        <v>114</v>
      </c>
      <c r="K742" s="5" t="s">
        <v>3964</v>
      </c>
      <c r="L742" s="5"/>
      <c r="M742" s="5" t="s">
        <v>8</v>
      </c>
      <c r="N742" s="5" t="s">
        <v>80</v>
      </c>
      <c r="O742" s="5" t="str">
        <f>IF(B742="","",IFERROR(LOOKUP(2,1/('Call Log'!$C$2:$C$5000=B742),'Call Log'!$B$2:$B$5000),""))</f>
        <v/>
      </c>
      <c r="P742" s="5">
        <f>IF(B742="","",COUNTIFS('Call Log'!$C$2:$C$5000,B742,'Call Log'!$A$2:$A$5000,"&gt;="&amp;(TODAY()-WEEKDAY(TODAY(),2)+1)))</f>
        <v>0</v>
      </c>
      <c r="Q742" s="5">
        <f>IF(B742="","",COUNTIF('Call Log'!$C$2:$C$5000,B742))</f>
        <v>0</v>
      </c>
      <c r="R742" s="21" t="str">
        <f>IF(B742="","",IFERROR(IF(MAXIFS('Call Log'!$A$2:$A$5000,'Call Log'!$C$2:$C$5000,B742)=0,"",MAXIFS('Call Log'!$A$2:$A$5000,'Call Log'!$C$2:$C$5000,B742)),""))</f>
        <v/>
      </c>
      <c r="S742" s="5"/>
      <c r="T742" s="21"/>
      <c r="U742" s="21"/>
      <c r="V742" s="5"/>
      <c r="W742" s="20"/>
      <c r="X742" s="5"/>
      <c r="Y742" s="5"/>
      <c r="Z742" s="5"/>
      <c r="AA742" s="5"/>
    </row>
    <row r="743" ht="15.0" customHeight="1">
      <c r="A743" s="5" t="s">
        <v>3965</v>
      </c>
      <c r="B743" s="5" t="s">
        <v>3966</v>
      </c>
      <c r="C743" s="5"/>
      <c r="D743" s="5"/>
      <c r="E743" s="5"/>
      <c r="F743" s="20"/>
      <c r="G743" s="20"/>
      <c r="H743" s="5" t="s">
        <v>41</v>
      </c>
      <c r="I743" s="5" t="s">
        <v>370</v>
      </c>
      <c r="J743" s="5" t="s">
        <v>114</v>
      </c>
      <c r="K743" s="5" t="s">
        <v>3967</v>
      </c>
      <c r="L743" s="5"/>
      <c r="M743" s="5" t="s">
        <v>8</v>
      </c>
      <c r="N743" s="5" t="s">
        <v>80</v>
      </c>
      <c r="O743" s="5" t="str">
        <f>IF(B743="","",IFERROR(LOOKUP(2,1/('Call Log'!$C$2:$C$5000=B743),'Call Log'!$B$2:$B$5000),""))</f>
        <v/>
      </c>
      <c r="P743" s="5">
        <f>IF(B743="","",COUNTIFS('Call Log'!$C$2:$C$5000,B743,'Call Log'!$A$2:$A$5000,"&gt;="&amp;(TODAY()-WEEKDAY(TODAY(),2)+1)))</f>
        <v>0</v>
      </c>
      <c r="Q743" s="5">
        <f>IF(B743="","",COUNTIF('Call Log'!$C$2:$C$5000,B743))</f>
        <v>0</v>
      </c>
      <c r="R743" s="21" t="str">
        <f>IF(B743="","",IFERROR(IF(MAXIFS('Call Log'!$A$2:$A$5000,'Call Log'!$C$2:$C$5000,B743)=0,"",MAXIFS('Call Log'!$A$2:$A$5000,'Call Log'!$C$2:$C$5000,B743)),""))</f>
        <v/>
      </c>
      <c r="S743" s="5"/>
      <c r="T743" s="21"/>
      <c r="U743" s="21"/>
      <c r="V743" s="5"/>
      <c r="W743" s="20"/>
      <c r="X743" s="5"/>
      <c r="Y743" s="5"/>
      <c r="Z743" s="5"/>
      <c r="AA743" s="5"/>
    </row>
    <row r="744" ht="15.0" customHeight="1">
      <c r="A744" s="5" t="s">
        <v>3968</v>
      </c>
      <c r="B744" s="5" t="s">
        <v>3969</v>
      </c>
      <c r="C744" s="5"/>
      <c r="D744" s="5"/>
      <c r="E744" s="5"/>
      <c r="F744" s="20"/>
      <c r="G744" s="20"/>
      <c r="H744" s="5" t="s">
        <v>41</v>
      </c>
      <c r="I744" s="5" t="s">
        <v>865</v>
      </c>
      <c r="J744" s="5" t="s">
        <v>114</v>
      </c>
      <c r="K744" s="5" t="s">
        <v>3970</v>
      </c>
      <c r="L744" s="5"/>
      <c r="M744" s="5" t="s">
        <v>8</v>
      </c>
      <c r="N744" s="5" t="s">
        <v>80</v>
      </c>
      <c r="O744" s="5" t="str">
        <f>IF(B744="","",IFERROR(LOOKUP(2,1/('Call Log'!$C$2:$C$5000=B744),'Call Log'!$B$2:$B$5000),""))</f>
        <v/>
      </c>
      <c r="P744" s="5">
        <f>IF(B744="","",COUNTIFS('Call Log'!$C$2:$C$5000,B744,'Call Log'!$A$2:$A$5000,"&gt;="&amp;(TODAY()-WEEKDAY(TODAY(),2)+1)))</f>
        <v>0</v>
      </c>
      <c r="Q744" s="5">
        <f>IF(B744="","",COUNTIF('Call Log'!$C$2:$C$5000,B744))</f>
        <v>0</v>
      </c>
      <c r="R744" s="21" t="str">
        <f>IF(B744="","",IFERROR(IF(MAXIFS('Call Log'!$A$2:$A$5000,'Call Log'!$C$2:$C$5000,B744)=0,"",MAXIFS('Call Log'!$A$2:$A$5000,'Call Log'!$C$2:$C$5000,B744)),""))</f>
        <v/>
      </c>
      <c r="S744" s="5"/>
      <c r="T744" s="21"/>
      <c r="U744" s="21"/>
      <c r="V744" s="5"/>
      <c r="W744" s="20"/>
      <c r="X744" s="5"/>
      <c r="Y744" s="5"/>
      <c r="Z744" s="5"/>
      <c r="AA744" s="5"/>
    </row>
    <row r="745" ht="15.0" customHeight="1">
      <c r="A745" s="5" t="s">
        <v>3971</v>
      </c>
      <c r="B745" s="5" t="s">
        <v>3972</v>
      </c>
      <c r="C745" s="5"/>
      <c r="D745" s="5"/>
      <c r="E745" s="5"/>
      <c r="F745" s="20"/>
      <c r="G745" s="20"/>
      <c r="H745" s="5" t="s">
        <v>40</v>
      </c>
      <c r="I745" s="5" t="s">
        <v>206</v>
      </c>
      <c r="J745" s="5" t="s">
        <v>114</v>
      </c>
      <c r="K745" s="5" t="s">
        <v>3973</v>
      </c>
      <c r="L745" s="5"/>
      <c r="M745" s="5" t="s">
        <v>8</v>
      </c>
      <c r="N745" s="5" t="s">
        <v>80</v>
      </c>
      <c r="O745" s="5" t="str">
        <f>IF(B745="","",IFERROR(LOOKUP(2,1/('Call Log'!$C$2:$C$5000=B745),'Call Log'!$B$2:$B$5000),""))</f>
        <v/>
      </c>
      <c r="P745" s="5">
        <f>IF(B745="","",COUNTIFS('Call Log'!$C$2:$C$5000,B745,'Call Log'!$A$2:$A$5000,"&gt;="&amp;(TODAY()-WEEKDAY(TODAY(),2)+1)))</f>
        <v>0</v>
      </c>
      <c r="Q745" s="5">
        <f>IF(B745="","",COUNTIF('Call Log'!$C$2:$C$5000,B745))</f>
        <v>0</v>
      </c>
      <c r="R745" s="21" t="str">
        <f>IF(B745="","",IFERROR(IF(MAXIFS('Call Log'!$A$2:$A$5000,'Call Log'!$C$2:$C$5000,B745)=0,"",MAXIFS('Call Log'!$A$2:$A$5000,'Call Log'!$C$2:$C$5000,B745)),""))</f>
        <v/>
      </c>
      <c r="S745" s="5"/>
      <c r="T745" s="21"/>
      <c r="U745" s="21"/>
      <c r="V745" s="5"/>
      <c r="W745" s="20"/>
      <c r="X745" s="5"/>
      <c r="Y745" s="5"/>
      <c r="Z745" s="5"/>
      <c r="AA745" s="5"/>
    </row>
    <row r="746" ht="15.0" customHeight="1">
      <c r="A746" s="5" t="s">
        <v>3974</v>
      </c>
      <c r="B746" s="5" t="s">
        <v>3975</v>
      </c>
      <c r="C746" s="5"/>
      <c r="D746" s="5"/>
      <c r="E746" s="5">
        <v>4.0</v>
      </c>
      <c r="F746" s="20"/>
      <c r="G746" s="20"/>
      <c r="H746" s="5" t="s">
        <v>40</v>
      </c>
      <c r="I746" s="5" t="s">
        <v>357</v>
      </c>
      <c r="J746" s="5" t="s">
        <v>114</v>
      </c>
      <c r="K746" s="5" t="s">
        <v>3976</v>
      </c>
      <c r="L746" s="5"/>
      <c r="M746" s="5" t="s">
        <v>8</v>
      </c>
      <c r="N746" s="5" t="s">
        <v>80</v>
      </c>
      <c r="O746" s="5" t="str">
        <f>IF(B746="","",IFERROR(LOOKUP(2,1/('Call Log'!$C$2:$C$5000=B746),'Call Log'!$B$2:$B$5000),""))</f>
        <v/>
      </c>
      <c r="P746" s="5">
        <f>IF(B746="","",COUNTIFS('Call Log'!$C$2:$C$5000,B746,'Call Log'!$A$2:$A$5000,"&gt;="&amp;(TODAY()-WEEKDAY(TODAY(),2)+1)))</f>
        <v>0</v>
      </c>
      <c r="Q746" s="5">
        <f>IF(B746="","",COUNTIF('Call Log'!$C$2:$C$5000,B746))</f>
        <v>0</v>
      </c>
      <c r="R746" s="21" t="str">
        <f>IF(B746="","",IFERROR(IF(MAXIFS('Call Log'!$A$2:$A$5000,'Call Log'!$C$2:$C$5000,B746)=0,"",MAXIFS('Call Log'!$A$2:$A$5000,'Call Log'!$C$2:$C$5000,B746)),""))</f>
        <v/>
      </c>
      <c r="S746" s="5"/>
      <c r="T746" s="21"/>
      <c r="U746" s="21"/>
      <c r="V746" s="5"/>
      <c r="W746" s="20"/>
      <c r="X746" s="5"/>
      <c r="Y746" s="5"/>
      <c r="Z746" s="5"/>
      <c r="AA746" s="5"/>
    </row>
    <row r="747" ht="15.0" customHeight="1">
      <c r="A747" s="5" t="s">
        <v>3977</v>
      </c>
      <c r="B747" s="5" t="s">
        <v>3978</v>
      </c>
      <c r="C747" s="5"/>
      <c r="D747" s="5"/>
      <c r="E747" s="5">
        <v>1.0</v>
      </c>
      <c r="F747" s="20"/>
      <c r="G747" s="20"/>
      <c r="H747" s="5" t="s">
        <v>41</v>
      </c>
      <c r="I747" s="5" t="s">
        <v>146</v>
      </c>
      <c r="J747" s="5" t="s">
        <v>114</v>
      </c>
      <c r="K747" s="5" t="s">
        <v>3979</v>
      </c>
      <c r="L747" s="5"/>
      <c r="M747" s="5" t="s">
        <v>8</v>
      </c>
      <c r="N747" s="5" t="s">
        <v>80</v>
      </c>
      <c r="O747" s="5" t="str">
        <f>IF(B747="","",IFERROR(LOOKUP(2,1/('Call Log'!$C$2:$C$5000=B747),'Call Log'!$B$2:$B$5000),""))</f>
        <v/>
      </c>
      <c r="P747" s="5">
        <f>IF(B747="","",COUNTIFS('Call Log'!$C$2:$C$5000,B747,'Call Log'!$A$2:$A$5000,"&gt;="&amp;(TODAY()-WEEKDAY(TODAY(),2)+1)))</f>
        <v>0</v>
      </c>
      <c r="Q747" s="5">
        <f>IF(B747="","",COUNTIF('Call Log'!$C$2:$C$5000,B747))</f>
        <v>0</v>
      </c>
      <c r="R747" s="21" t="str">
        <f>IF(B747="","",IFERROR(IF(MAXIFS('Call Log'!$A$2:$A$5000,'Call Log'!$C$2:$C$5000,B747)=0,"",MAXIFS('Call Log'!$A$2:$A$5000,'Call Log'!$C$2:$C$5000,B747)),""))</f>
        <v/>
      </c>
      <c r="S747" s="5"/>
      <c r="T747" s="21"/>
      <c r="U747" s="21"/>
      <c r="V747" s="5"/>
      <c r="W747" s="20"/>
      <c r="X747" s="5"/>
      <c r="Y747" s="5"/>
      <c r="Z747" s="5"/>
      <c r="AA747" s="5" t="s">
        <v>3980</v>
      </c>
    </row>
    <row r="748" ht="15.0" customHeight="1">
      <c r="A748" s="5" t="s">
        <v>3981</v>
      </c>
      <c r="B748" s="5" t="s">
        <v>3982</v>
      </c>
      <c r="C748" s="5"/>
      <c r="D748" s="5"/>
      <c r="E748" s="5">
        <v>2.0</v>
      </c>
      <c r="F748" s="20"/>
      <c r="G748" s="20"/>
      <c r="H748" s="5" t="s">
        <v>40</v>
      </c>
      <c r="I748" s="5" t="s">
        <v>218</v>
      </c>
      <c r="J748" s="5" t="s">
        <v>114</v>
      </c>
      <c r="K748" s="5" t="s">
        <v>3983</v>
      </c>
      <c r="L748" s="5"/>
      <c r="M748" s="5" t="s">
        <v>8</v>
      </c>
      <c r="N748" s="5" t="s">
        <v>80</v>
      </c>
      <c r="O748" s="5" t="str">
        <f>IF(B748="","",IFERROR(LOOKUP(2,1/('Call Log'!$C$2:$C$5000=B748),'Call Log'!$B$2:$B$5000),""))</f>
        <v/>
      </c>
      <c r="P748" s="5">
        <f>IF(B748="","",COUNTIFS('Call Log'!$C$2:$C$5000,B748,'Call Log'!$A$2:$A$5000,"&gt;="&amp;(TODAY()-WEEKDAY(TODAY(),2)+1)))</f>
        <v>0</v>
      </c>
      <c r="Q748" s="5">
        <f>IF(B748="","",COUNTIF('Call Log'!$C$2:$C$5000,B748))</f>
        <v>0</v>
      </c>
      <c r="R748" s="21" t="str">
        <f>IF(B748="","",IFERROR(IF(MAXIFS('Call Log'!$A$2:$A$5000,'Call Log'!$C$2:$C$5000,B748)=0,"",MAXIFS('Call Log'!$A$2:$A$5000,'Call Log'!$C$2:$C$5000,B748)),""))</f>
        <v/>
      </c>
      <c r="S748" s="5"/>
      <c r="T748" s="21"/>
      <c r="U748" s="21"/>
      <c r="V748" s="5"/>
      <c r="W748" s="20"/>
      <c r="X748" s="5"/>
      <c r="Y748" s="5"/>
      <c r="Z748" s="5"/>
      <c r="AA748" s="5"/>
    </row>
    <row r="749" ht="15.0" customHeight="1">
      <c r="A749" s="5" t="s">
        <v>3984</v>
      </c>
      <c r="B749" s="5" t="s">
        <v>3985</v>
      </c>
      <c r="C749" s="5"/>
      <c r="D749" s="5"/>
      <c r="E749" s="5"/>
      <c r="F749" s="20"/>
      <c r="G749" s="20"/>
      <c r="H749" s="5" t="s">
        <v>41</v>
      </c>
      <c r="I749" s="5" t="s">
        <v>1048</v>
      </c>
      <c r="J749" s="5" t="s">
        <v>114</v>
      </c>
      <c r="K749" s="5" t="s">
        <v>3986</v>
      </c>
      <c r="L749" s="5"/>
      <c r="M749" s="5" t="s">
        <v>8</v>
      </c>
      <c r="N749" s="5" t="s">
        <v>80</v>
      </c>
      <c r="O749" s="5" t="str">
        <f>IF(B749="","",IFERROR(LOOKUP(2,1/('Call Log'!$C$2:$C$5000=B749),'Call Log'!$B$2:$B$5000),""))</f>
        <v/>
      </c>
      <c r="P749" s="5">
        <f>IF(B749="","",COUNTIFS('Call Log'!$C$2:$C$5000,B749,'Call Log'!$A$2:$A$5000,"&gt;="&amp;(TODAY()-WEEKDAY(TODAY(),2)+1)))</f>
        <v>0</v>
      </c>
      <c r="Q749" s="5">
        <f>IF(B749="","",COUNTIF('Call Log'!$C$2:$C$5000,B749))</f>
        <v>0</v>
      </c>
      <c r="R749" s="21" t="str">
        <f>IF(B749="","",IFERROR(IF(MAXIFS('Call Log'!$A$2:$A$5000,'Call Log'!$C$2:$C$5000,B749)=0,"",MAXIFS('Call Log'!$A$2:$A$5000,'Call Log'!$C$2:$C$5000,B749)),""))</f>
        <v/>
      </c>
      <c r="S749" s="5"/>
      <c r="T749" s="21"/>
      <c r="U749" s="21"/>
      <c r="V749" s="5"/>
      <c r="W749" s="20"/>
      <c r="X749" s="5"/>
      <c r="Y749" s="5"/>
      <c r="Z749" s="5"/>
      <c r="AA749" s="5"/>
    </row>
    <row r="750" ht="15.0" customHeight="1">
      <c r="A750" s="5" t="s">
        <v>3987</v>
      </c>
      <c r="B750" s="5" t="s">
        <v>3988</v>
      </c>
      <c r="C750" s="5"/>
      <c r="D750" s="5"/>
      <c r="E750" s="5"/>
      <c r="F750" s="20"/>
      <c r="G750" s="20"/>
      <c r="H750" s="5" t="s">
        <v>40</v>
      </c>
      <c r="I750" s="5" t="s">
        <v>370</v>
      </c>
      <c r="J750" s="5" t="s">
        <v>114</v>
      </c>
      <c r="K750" s="5" t="s">
        <v>3989</v>
      </c>
      <c r="L750" s="5"/>
      <c r="M750" s="5" t="s">
        <v>8</v>
      </c>
      <c r="N750" s="5" t="s">
        <v>80</v>
      </c>
      <c r="O750" s="5" t="str">
        <f>IF(B750="","",IFERROR(LOOKUP(2,1/('Call Log'!$C$2:$C$5000=B750),'Call Log'!$B$2:$B$5000),""))</f>
        <v/>
      </c>
      <c r="P750" s="5">
        <f>IF(B750="","",COUNTIFS('Call Log'!$C$2:$C$5000,B750,'Call Log'!$A$2:$A$5000,"&gt;="&amp;(TODAY()-WEEKDAY(TODAY(),2)+1)))</f>
        <v>0</v>
      </c>
      <c r="Q750" s="5">
        <f>IF(B750="","",COUNTIF('Call Log'!$C$2:$C$5000,B750))</f>
        <v>0</v>
      </c>
      <c r="R750" s="21" t="str">
        <f>IF(B750="","",IFERROR(IF(MAXIFS('Call Log'!$A$2:$A$5000,'Call Log'!$C$2:$C$5000,B750)=0,"",MAXIFS('Call Log'!$A$2:$A$5000,'Call Log'!$C$2:$C$5000,B750)),""))</f>
        <v/>
      </c>
      <c r="S750" s="5"/>
      <c r="T750" s="21"/>
      <c r="U750" s="21"/>
      <c r="V750" s="5"/>
      <c r="W750" s="20"/>
      <c r="X750" s="5"/>
      <c r="Y750" s="5"/>
      <c r="Z750" s="5"/>
      <c r="AA750" s="5"/>
    </row>
    <row r="751" ht="15.0" customHeight="1">
      <c r="A751" s="5" t="s">
        <v>3990</v>
      </c>
      <c r="B751" s="5" t="s">
        <v>3991</v>
      </c>
      <c r="C751" s="5"/>
      <c r="D751" s="5"/>
      <c r="E751" s="5"/>
      <c r="F751" s="20"/>
      <c r="G751" s="20"/>
      <c r="H751" s="5" t="s">
        <v>40</v>
      </c>
      <c r="I751" s="5" t="s">
        <v>461</v>
      </c>
      <c r="J751" s="5" t="s">
        <v>114</v>
      </c>
      <c r="K751" s="5" t="s">
        <v>3992</v>
      </c>
      <c r="L751" s="5"/>
      <c r="M751" s="5" t="s">
        <v>8</v>
      </c>
      <c r="N751" s="5" t="s">
        <v>80</v>
      </c>
      <c r="O751" s="5" t="str">
        <f>IF(B751="","",IFERROR(LOOKUP(2,1/('Call Log'!$C$2:$C$5000=B751),'Call Log'!$B$2:$B$5000),""))</f>
        <v/>
      </c>
      <c r="P751" s="5">
        <f>IF(B751="","",COUNTIFS('Call Log'!$C$2:$C$5000,B751,'Call Log'!$A$2:$A$5000,"&gt;="&amp;(TODAY()-WEEKDAY(TODAY(),2)+1)))</f>
        <v>0</v>
      </c>
      <c r="Q751" s="5">
        <f>IF(B751="","",COUNTIF('Call Log'!$C$2:$C$5000,B751))</f>
        <v>0</v>
      </c>
      <c r="R751" s="21" t="str">
        <f>IF(B751="","",IFERROR(IF(MAXIFS('Call Log'!$A$2:$A$5000,'Call Log'!$C$2:$C$5000,B751)=0,"",MAXIFS('Call Log'!$A$2:$A$5000,'Call Log'!$C$2:$C$5000,B751)),""))</f>
        <v/>
      </c>
      <c r="S751" s="5"/>
      <c r="T751" s="21"/>
      <c r="U751" s="21"/>
      <c r="V751" s="5"/>
      <c r="W751" s="20"/>
      <c r="X751" s="5"/>
      <c r="Y751" s="5"/>
      <c r="Z751" s="5"/>
      <c r="AA751" s="5"/>
    </row>
    <row r="752" ht="15.0" customHeight="1">
      <c r="A752" s="5" t="s">
        <v>3993</v>
      </c>
      <c r="B752" s="5" t="s">
        <v>3994</v>
      </c>
      <c r="C752" s="5"/>
      <c r="D752" s="5"/>
      <c r="E752" s="5"/>
      <c r="F752" s="20"/>
      <c r="G752" s="20"/>
      <c r="H752" s="5" t="s">
        <v>41</v>
      </c>
      <c r="I752" s="5" t="s">
        <v>113</v>
      </c>
      <c r="J752" s="5" t="s">
        <v>114</v>
      </c>
      <c r="K752" s="5" t="s">
        <v>3995</v>
      </c>
      <c r="L752" s="5"/>
      <c r="M752" s="5" t="s">
        <v>8</v>
      </c>
      <c r="N752" s="5" t="s">
        <v>80</v>
      </c>
      <c r="O752" s="5" t="str">
        <f>IF(B752="","",IFERROR(LOOKUP(2,1/('Call Log'!$C$2:$C$5000=B752),'Call Log'!$B$2:$B$5000),""))</f>
        <v/>
      </c>
      <c r="P752" s="5">
        <f>IF(B752="","",COUNTIFS('Call Log'!$C$2:$C$5000,B752,'Call Log'!$A$2:$A$5000,"&gt;="&amp;(TODAY()-WEEKDAY(TODAY(),2)+1)))</f>
        <v>0</v>
      </c>
      <c r="Q752" s="5">
        <f>IF(B752="","",COUNTIF('Call Log'!$C$2:$C$5000,B752))</f>
        <v>0</v>
      </c>
      <c r="R752" s="21" t="str">
        <f>IF(B752="","",IFERROR(IF(MAXIFS('Call Log'!$A$2:$A$5000,'Call Log'!$C$2:$C$5000,B752)=0,"",MAXIFS('Call Log'!$A$2:$A$5000,'Call Log'!$C$2:$C$5000,B752)),""))</f>
        <v/>
      </c>
      <c r="S752" s="5"/>
      <c r="T752" s="21"/>
      <c r="U752" s="21"/>
      <c r="V752" s="5"/>
      <c r="W752" s="20"/>
      <c r="X752" s="5"/>
      <c r="Y752" s="5"/>
      <c r="Z752" s="5"/>
      <c r="AA752" s="5"/>
    </row>
    <row r="753" ht="15.0" customHeight="1">
      <c r="A753" s="5" t="s">
        <v>3996</v>
      </c>
      <c r="B753" s="5" t="s">
        <v>3997</v>
      </c>
      <c r="C753" s="5"/>
      <c r="D753" s="5"/>
      <c r="E753" s="5"/>
      <c r="F753" s="20"/>
      <c r="G753" s="20"/>
      <c r="H753" s="5" t="s">
        <v>40</v>
      </c>
      <c r="I753" s="5" t="s">
        <v>129</v>
      </c>
      <c r="J753" s="5" t="s">
        <v>114</v>
      </c>
      <c r="K753" s="5" t="s">
        <v>3998</v>
      </c>
      <c r="L753" s="5"/>
      <c r="M753" s="5" t="s">
        <v>8</v>
      </c>
      <c r="N753" s="5" t="s">
        <v>80</v>
      </c>
      <c r="O753" s="5" t="str">
        <f>IF(B753="","",IFERROR(LOOKUP(2,1/('Call Log'!$C$2:$C$5000=B753),'Call Log'!$B$2:$B$5000),""))</f>
        <v/>
      </c>
      <c r="P753" s="5">
        <f>IF(B753="","",COUNTIFS('Call Log'!$C$2:$C$5000,B753,'Call Log'!$A$2:$A$5000,"&gt;="&amp;(TODAY()-WEEKDAY(TODAY(),2)+1)))</f>
        <v>0</v>
      </c>
      <c r="Q753" s="5">
        <f>IF(B753="","",COUNTIF('Call Log'!$C$2:$C$5000,B753))</f>
        <v>0</v>
      </c>
      <c r="R753" s="21" t="str">
        <f>IF(B753="","",IFERROR(IF(MAXIFS('Call Log'!$A$2:$A$5000,'Call Log'!$C$2:$C$5000,B753)=0,"",MAXIFS('Call Log'!$A$2:$A$5000,'Call Log'!$C$2:$C$5000,B753)),""))</f>
        <v/>
      </c>
      <c r="S753" s="5"/>
      <c r="T753" s="21"/>
      <c r="U753" s="21"/>
      <c r="V753" s="5"/>
      <c r="W753" s="20"/>
      <c r="X753" s="5"/>
      <c r="Y753" s="5"/>
      <c r="Z753" s="5"/>
      <c r="AA753" s="5"/>
    </row>
    <row r="754" ht="15.0" customHeight="1">
      <c r="A754" s="5" t="s">
        <v>3999</v>
      </c>
      <c r="B754" s="5" t="s">
        <v>4000</v>
      </c>
      <c r="C754" s="5"/>
      <c r="D754" s="5"/>
      <c r="E754" s="5"/>
      <c r="F754" s="20"/>
      <c r="G754" s="20"/>
      <c r="H754" s="5" t="s">
        <v>41</v>
      </c>
      <c r="I754" s="5" t="s">
        <v>667</v>
      </c>
      <c r="J754" s="5" t="s">
        <v>114</v>
      </c>
      <c r="K754" s="5" t="s">
        <v>4001</v>
      </c>
      <c r="L754" s="5"/>
      <c r="M754" s="5" t="s">
        <v>8</v>
      </c>
      <c r="N754" s="5" t="s">
        <v>80</v>
      </c>
      <c r="O754" s="5" t="str">
        <f>IF(B754="","",IFERROR(LOOKUP(2,1/('Call Log'!$C$2:$C$5000=B754),'Call Log'!$B$2:$B$5000),""))</f>
        <v/>
      </c>
      <c r="P754" s="5">
        <f>IF(B754="","",COUNTIFS('Call Log'!$C$2:$C$5000,B754,'Call Log'!$A$2:$A$5000,"&gt;="&amp;(TODAY()-WEEKDAY(TODAY(),2)+1)))</f>
        <v>0</v>
      </c>
      <c r="Q754" s="5">
        <f>IF(B754="","",COUNTIF('Call Log'!$C$2:$C$5000,B754))</f>
        <v>0</v>
      </c>
      <c r="R754" s="21" t="str">
        <f>IF(B754="","",IFERROR(IF(MAXIFS('Call Log'!$A$2:$A$5000,'Call Log'!$C$2:$C$5000,B754)=0,"",MAXIFS('Call Log'!$A$2:$A$5000,'Call Log'!$C$2:$C$5000,B754)),""))</f>
        <v/>
      </c>
      <c r="S754" s="5"/>
      <c r="T754" s="21"/>
      <c r="U754" s="21"/>
      <c r="V754" s="5"/>
      <c r="W754" s="20"/>
      <c r="X754" s="5"/>
      <c r="Y754" s="5"/>
      <c r="Z754" s="5"/>
      <c r="AA754" s="5"/>
    </row>
    <row r="755" ht="15.0" customHeight="1">
      <c r="A755" s="5" t="s">
        <v>4002</v>
      </c>
      <c r="B755" s="5" t="s">
        <v>4003</v>
      </c>
      <c r="C755" s="5"/>
      <c r="D755" s="5"/>
      <c r="E755" s="5"/>
      <c r="F755" s="20"/>
      <c r="G755" s="20"/>
      <c r="H755" s="5" t="s">
        <v>41</v>
      </c>
      <c r="I755" s="5" t="s">
        <v>667</v>
      </c>
      <c r="J755" s="5" t="s">
        <v>114</v>
      </c>
      <c r="K755" s="5" t="s">
        <v>4004</v>
      </c>
      <c r="L755" s="5"/>
      <c r="M755" s="5" t="s">
        <v>8</v>
      </c>
      <c r="N755" s="5" t="s">
        <v>80</v>
      </c>
      <c r="O755" s="5" t="str">
        <f>IF(B755="","",IFERROR(LOOKUP(2,1/('Call Log'!$C$2:$C$5000=B755),'Call Log'!$B$2:$B$5000),""))</f>
        <v/>
      </c>
      <c r="P755" s="5">
        <f>IF(B755="","",COUNTIFS('Call Log'!$C$2:$C$5000,B755,'Call Log'!$A$2:$A$5000,"&gt;="&amp;(TODAY()-WEEKDAY(TODAY(),2)+1)))</f>
        <v>0</v>
      </c>
      <c r="Q755" s="5">
        <f>IF(B755="","",COUNTIF('Call Log'!$C$2:$C$5000,B755))</f>
        <v>0</v>
      </c>
      <c r="R755" s="21" t="str">
        <f>IF(B755="","",IFERROR(IF(MAXIFS('Call Log'!$A$2:$A$5000,'Call Log'!$C$2:$C$5000,B755)=0,"",MAXIFS('Call Log'!$A$2:$A$5000,'Call Log'!$C$2:$C$5000,B755)),""))</f>
        <v/>
      </c>
      <c r="S755" s="5"/>
      <c r="T755" s="21"/>
      <c r="U755" s="21"/>
      <c r="V755" s="5"/>
      <c r="W755" s="20"/>
      <c r="X755" s="5"/>
      <c r="Y755" s="5"/>
      <c r="Z755" s="5"/>
      <c r="AA755" s="5"/>
    </row>
    <row r="756" ht="15.0" customHeight="1">
      <c r="A756" s="5" t="s">
        <v>4005</v>
      </c>
      <c r="B756" s="5" t="s">
        <v>4006</v>
      </c>
      <c r="C756" s="5"/>
      <c r="D756" s="5"/>
      <c r="E756" s="5"/>
      <c r="F756" s="20"/>
      <c r="G756" s="20"/>
      <c r="H756" s="5" t="s">
        <v>40</v>
      </c>
      <c r="I756" s="5" t="s">
        <v>904</v>
      </c>
      <c r="J756" s="5" t="s">
        <v>114</v>
      </c>
      <c r="K756" s="5"/>
      <c r="L756" s="5"/>
      <c r="M756" s="5" t="s">
        <v>8</v>
      </c>
      <c r="N756" s="5" t="s">
        <v>80</v>
      </c>
      <c r="O756" s="5" t="str">
        <f>IF(B756="","",IFERROR(LOOKUP(2,1/('Call Log'!$C$2:$C$5000=B756),'Call Log'!$B$2:$B$5000),""))</f>
        <v/>
      </c>
      <c r="P756" s="5">
        <f>IF(B756="","",COUNTIFS('Call Log'!$C$2:$C$5000,B756,'Call Log'!$A$2:$A$5000,"&gt;="&amp;(TODAY()-WEEKDAY(TODAY(),2)+1)))</f>
        <v>0</v>
      </c>
      <c r="Q756" s="5">
        <f>IF(B756="","",COUNTIF('Call Log'!$C$2:$C$5000,B756))</f>
        <v>0</v>
      </c>
      <c r="R756" s="21" t="str">
        <f>IF(B756="","",IFERROR(IF(MAXIFS('Call Log'!$A$2:$A$5000,'Call Log'!$C$2:$C$5000,B756)=0,"",MAXIFS('Call Log'!$A$2:$A$5000,'Call Log'!$C$2:$C$5000,B756)),""))</f>
        <v/>
      </c>
      <c r="S756" s="5"/>
      <c r="T756" s="21"/>
      <c r="U756" s="21"/>
      <c r="V756" s="5"/>
      <c r="W756" s="20"/>
      <c r="X756" s="5"/>
      <c r="Y756" s="5"/>
      <c r="Z756" s="5"/>
      <c r="AA756" s="5"/>
    </row>
    <row r="757" ht="15.0" customHeight="1">
      <c r="A757" s="5" t="s">
        <v>4007</v>
      </c>
      <c r="B757" s="5" t="s">
        <v>4008</v>
      </c>
      <c r="C757" s="5"/>
      <c r="D757" s="5"/>
      <c r="E757" s="5"/>
      <c r="F757" s="20"/>
      <c r="G757" s="20"/>
      <c r="H757" s="5" t="s">
        <v>41</v>
      </c>
      <c r="I757" s="5" t="s">
        <v>4009</v>
      </c>
      <c r="J757" s="5" t="s">
        <v>114</v>
      </c>
      <c r="K757" s="5" t="s">
        <v>4010</v>
      </c>
      <c r="L757" s="5"/>
      <c r="M757" s="5" t="s">
        <v>8</v>
      </c>
      <c r="N757" s="5" t="s">
        <v>80</v>
      </c>
      <c r="O757" s="5" t="str">
        <f>IF(B757="","",IFERROR(LOOKUP(2,1/('Call Log'!$C$2:$C$5000=B757),'Call Log'!$B$2:$B$5000),""))</f>
        <v/>
      </c>
      <c r="P757" s="5">
        <f>IF(B757="","",COUNTIFS('Call Log'!$C$2:$C$5000,B757,'Call Log'!$A$2:$A$5000,"&gt;="&amp;(TODAY()-WEEKDAY(TODAY(),2)+1)))</f>
        <v>0</v>
      </c>
      <c r="Q757" s="5">
        <f>IF(B757="","",COUNTIF('Call Log'!$C$2:$C$5000,B757))</f>
        <v>0</v>
      </c>
      <c r="R757" s="21" t="str">
        <f>IF(B757="","",IFERROR(IF(MAXIFS('Call Log'!$A$2:$A$5000,'Call Log'!$C$2:$C$5000,B757)=0,"",MAXIFS('Call Log'!$A$2:$A$5000,'Call Log'!$C$2:$C$5000,B757)),""))</f>
        <v/>
      </c>
      <c r="S757" s="5"/>
      <c r="T757" s="21"/>
      <c r="U757" s="21"/>
      <c r="V757" s="5"/>
      <c r="W757" s="20"/>
      <c r="X757" s="5"/>
      <c r="Y757" s="5"/>
      <c r="Z757" s="5"/>
      <c r="AA757" s="5"/>
    </row>
    <row r="758" ht="15.0" customHeight="1">
      <c r="A758" s="5" t="s">
        <v>4011</v>
      </c>
      <c r="B758" s="5" t="s">
        <v>4012</v>
      </c>
      <c r="C758" s="5"/>
      <c r="D758" s="5"/>
      <c r="E758" s="5"/>
      <c r="F758" s="20"/>
      <c r="G758" s="20"/>
      <c r="H758" s="5" t="s">
        <v>40</v>
      </c>
      <c r="I758" s="5" t="s">
        <v>231</v>
      </c>
      <c r="J758" s="5" t="s">
        <v>114</v>
      </c>
      <c r="K758" s="5" t="s">
        <v>4013</v>
      </c>
      <c r="L758" s="5"/>
      <c r="M758" s="5" t="s">
        <v>8</v>
      </c>
      <c r="N758" s="5" t="s">
        <v>80</v>
      </c>
      <c r="O758" s="5" t="str">
        <f>IF(B758="","",IFERROR(LOOKUP(2,1/('Call Log'!$C$2:$C$5000=B758),'Call Log'!$B$2:$B$5000),""))</f>
        <v/>
      </c>
      <c r="P758" s="5">
        <f>IF(B758="","",COUNTIFS('Call Log'!$C$2:$C$5000,B758,'Call Log'!$A$2:$A$5000,"&gt;="&amp;(TODAY()-WEEKDAY(TODAY(),2)+1)))</f>
        <v>0</v>
      </c>
      <c r="Q758" s="5">
        <f>IF(B758="","",COUNTIF('Call Log'!$C$2:$C$5000,B758))</f>
        <v>0</v>
      </c>
      <c r="R758" s="21" t="str">
        <f>IF(B758="","",IFERROR(IF(MAXIFS('Call Log'!$A$2:$A$5000,'Call Log'!$C$2:$C$5000,B758)=0,"",MAXIFS('Call Log'!$A$2:$A$5000,'Call Log'!$C$2:$C$5000,B758)),""))</f>
        <v/>
      </c>
      <c r="S758" s="5"/>
      <c r="T758" s="21"/>
      <c r="U758" s="21"/>
      <c r="V758" s="5"/>
      <c r="W758" s="20"/>
      <c r="X758" s="5"/>
      <c r="Y758" s="5"/>
      <c r="Z758" s="5" t="s">
        <v>132</v>
      </c>
      <c r="AA758" s="5" t="s">
        <v>4014</v>
      </c>
    </row>
    <row r="759" ht="15.0" customHeight="1">
      <c r="A759" s="5" t="s">
        <v>4015</v>
      </c>
      <c r="B759" s="5" t="s">
        <v>4016</v>
      </c>
      <c r="C759" s="5"/>
      <c r="D759" s="5"/>
      <c r="E759" s="5"/>
      <c r="F759" s="20"/>
      <c r="G759" s="20"/>
      <c r="H759" s="5" t="s">
        <v>41</v>
      </c>
      <c r="I759" s="5" t="s">
        <v>1048</v>
      </c>
      <c r="J759" s="5" t="s">
        <v>114</v>
      </c>
      <c r="K759" s="5" t="s">
        <v>4017</v>
      </c>
      <c r="L759" s="5"/>
      <c r="M759" s="5" t="s">
        <v>8</v>
      </c>
      <c r="N759" s="5" t="s">
        <v>80</v>
      </c>
      <c r="O759" s="5" t="str">
        <f>IF(B759="","",IFERROR(LOOKUP(2,1/('Call Log'!$C$2:$C$5000=B759),'Call Log'!$B$2:$B$5000),""))</f>
        <v/>
      </c>
      <c r="P759" s="5">
        <f>IF(B759="","",COUNTIFS('Call Log'!$C$2:$C$5000,B759,'Call Log'!$A$2:$A$5000,"&gt;="&amp;(TODAY()-WEEKDAY(TODAY(),2)+1)))</f>
        <v>0</v>
      </c>
      <c r="Q759" s="5">
        <f>IF(B759="","",COUNTIF('Call Log'!$C$2:$C$5000,B759))</f>
        <v>0</v>
      </c>
      <c r="R759" s="21" t="str">
        <f>IF(B759="","",IFERROR(IF(MAXIFS('Call Log'!$A$2:$A$5000,'Call Log'!$C$2:$C$5000,B759)=0,"",MAXIFS('Call Log'!$A$2:$A$5000,'Call Log'!$C$2:$C$5000,B759)),""))</f>
        <v/>
      </c>
      <c r="S759" s="5"/>
      <c r="T759" s="21"/>
      <c r="U759" s="21"/>
      <c r="V759" s="5"/>
      <c r="W759" s="20"/>
      <c r="X759" s="5"/>
      <c r="Y759" s="5"/>
      <c r="Z759" s="5"/>
      <c r="AA759" s="5"/>
    </row>
    <row r="760" ht="15.0" customHeight="1">
      <c r="A760" s="5" t="s">
        <v>4018</v>
      </c>
      <c r="B760" s="5" t="s">
        <v>4019</v>
      </c>
      <c r="C760" s="5"/>
      <c r="D760" s="5"/>
      <c r="E760" s="5"/>
      <c r="F760" s="20"/>
      <c r="G760" s="20"/>
      <c r="H760" s="5" t="s">
        <v>40</v>
      </c>
      <c r="I760" s="5" t="s">
        <v>461</v>
      </c>
      <c r="J760" s="5" t="s">
        <v>114</v>
      </c>
      <c r="K760" s="5" t="s">
        <v>4020</v>
      </c>
      <c r="L760" s="5"/>
      <c r="M760" s="5" t="s">
        <v>8</v>
      </c>
      <c r="N760" s="5" t="s">
        <v>80</v>
      </c>
      <c r="O760" s="5" t="str">
        <f>IF(B760="","",IFERROR(LOOKUP(2,1/('Call Log'!$C$2:$C$5000=B760),'Call Log'!$B$2:$B$5000),""))</f>
        <v/>
      </c>
      <c r="P760" s="5">
        <f>IF(B760="","",COUNTIFS('Call Log'!$C$2:$C$5000,B760,'Call Log'!$A$2:$A$5000,"&gt;="&amp;(TODAY()-WEEKDAY(TODAY(),2)+1)))</f>
        <v>0</v>
      </c>
      <c r="Q760" s="5">
        <f>IF(B760="","",COUNTIF('Call Log'!$C$2:$C$5000,B760))</f>
        <v>0</v>
      </c>
      <c r="R760" s="21" t="str">
        <f>IF(B760="","",IFERROR(IF(MAXIFS('Call Log'!$A$2:$A$5000,'Call Log'!$C$2:$C$5000,B760)=0,"",MAXIFS('Call Log'!$A$2:$A$5000,'Call Log'!$C$2:$C$5000,B760)),""))</f>
        <v/>
      </c>
      <c r="S760" s="5"/>
      <c r="T760" s="21"/>
      <c r="U760" s="21"/>
      <c r="V760" s="5"/>
      <c r="W760" s="20"/>
      <c r="X760" s="5"/>
      <c r="Y760" s="5"/>
      <c r="Z760" s="5"/>
      <c r="AA760" s="5"/>
    </row>
    <row r="761" ht="15.0" customHeight="1">
      <c r="A761" s="5" t="s">
        <v>4021</v>
      </c>
      <c r="B761" s="5" t="s">
        <v>4022</v>
      </c>
      <c r="C761" s="5"/>
      <c r="D761" s="5"/>
      <c r="E761" s="5"/>
      <c r="F761" s="20"/>
      <c r="G761" s="20"/>
      <c r="H761" s="5" t="s">
        <v>40</v>
      </c>
      <c r="I761" s="5" t="s">
        <v>122</v>
      </c>
      <c r="J761" s="5" t="s">
        <v>114</v>
      </c>
      <c r="K761" s="5" t="s">
        <v>4023</v>
      </c>
      <c r="L761" s="5"/>
      <c r="M761" s="5" t="s">
        <v>8</v>
      </c>
      <c r="N761" s="5" t="s">
        <v>80</v>
      </c>
      <c r="O761" s="5" t="str">
        <f>IF(B761="","",IFERROR(LOOKUP(2,1/('Call Log'!$C$2:$C$5000=B761),'Call Log'!$B$2:$B$5000),""))</f>
        <v/>
      </c>
      <c r="P761" s="5">
        <f>IF(B761="","",COUNTIFS('Call Log'!$C$2:$C$5000,B761,'Call Log'!$A$2:$A$5000,"&gt;="&amp;(TODAY()-WEEKDAY(TODAY(),2)+1)))</f>
        <v>0</v>
      </c>
      <c r="Q761" s="5">
        <f>IF(B761="","",COUNTIF('Call Log'!$C$2:$C$5000,B761))</f>
        <v>0</v>
      </c>
      <c r="R761" s="21" t="str">
        <f>IF(B761="","",IFERROR(IF(MAXIFS('Call Log'!$A$2:$A$5000,'Call Log'!$C$2:$C$5000,B761)=0,"",MAXIFS('Call Log'!$A$2:$A$5000,'Call Log'!$C$2:$C$5000,B761)),""))</f>
        <v/>
      </c>
      <c r="S761" s="5"/>
      <c r="T761" s="21"/>
      <c r="U761" s="21"/>
      <c r="V761" s="5"/>
      <c r="W761" s="20"/>
      <c r="X761" s="5"/>
      <c r="Y761" s="5"/>
      <c r="Z761" s="5"/>
      <c r="AA761" s="5"/>
    </row>
    <row r="762" ht="15.0" customHeight="1">
      <c r="A762" s="5" t="s">
        <v>4024</v>
      </c>
      <c r="B762" s="5" t="s">
        <v>4025</v>
      </c>
      <c r="C762" s="5"/>
      <c r="D762" s="5"/>
      <c r="E762" s="5"/>
      <c r="F762" s="20"/>
      <c r="G762" s="20"/>
      <c r="H762" s="5" t="s">
        <v>40</v>
      </c>
      <c r="I762" s="5" t="s">
        <v>2059</v>
      </c>
      <c r="J762" s="5" t="s">
        <v>114</v>
      </c>
      <c r="K762" s="5" t="s">
        <v>4026</v>
      </c>
      <c r="L762" s="5"/>
      <c r="M762" s="5" t="s">
        <v>8</v>
      </c>
      <c r="N762" s="5" t="s">
        <v>80</v>
      </c>
      <c r="O762" s="5" t="str">
        <f>IF(B762="","",IFERROR(LOOKUP(2,1/('Call Log'!$C$2:$C$5000=B762),'Call Log'!$B$2:$B$5000),""))</f>
        <v/>
      </c>
      <c r="P762" s="5">
        <f>IF(B762="","",COUNTIFS('Call Log'!$C$2:$C$5000,B762,'Call Log'!$A$2:$A$5000,"&gt;="&amp;(TODAY()-WEEKDAY(TODAY(),2)+1)))</f>
        <v>0</v>
      </c>
      <c r="Q762" s="5">
        <f>IF(B762="","",COUNTIF('Call Log'!$C$2:$C$5000,B762))</f>
        <v>0</v>
      </c>
      <c r="R762" s="21" t="str">
        <f>IF(B762="","",IFERROR(IF(MAXIFS('Call Log'!$A$2:$A$5000,'Call Log'!$C$2:$C$5000,B762)=0,"",MAXIFS('Call Log'!$A$2:$A$5000,'Call Log'!$C$2:$C$5000,B762)),""))</f>
        <v/>
      </c>
      <c r="S762" s="5"/>
      <c r="T762" s="21"/>
      <c r="U762" s="21"/>
      <c r="V762" s="5"/>
      <c r="W762" s="20"/>
      <c r="X762" s="5"/>
      <c r="Y762" s="5"/>
      <c r="Z762" s="5"/>
      <c r="AA762" s="5" t="s">
        <v>4027</v>
      </c>
    </row>
    <row r="763" ht="15.0" customHeight="1">
      <c r="A763" s="5" t="s">
        <v>4028</v>
      </c>
      <c r="B763" s="5" t="s">
        <v>4029</v>
      </c>
      <c r="C763" s="5"/>
      <c r="D763" s="5"/>
      <c r="E763" s="5"/>
      <c r="F763" s="20"/>
      <c r="G763" s="20"/>
      <c r="H763" s="5" t="s">
        <v>41</v>
      </c>
      <c r="I763" s="5" t="s">
        <v>1093</v>
      </c>
      <c r="J763" s="5" t="s">
        <v>114</v>
      </c>
      <c r="K763" s="5" t="s">
        <v>4030</v>
      </c>
      <c r="L763" s="5"/>
      <c r="M763" s="5" t="s">
        <v>8</v>
      </c>
      <c r="N763" s="5" t="s">
        <v>80</v>
      </c>
      <c r="O763" s="5" t="str">
        <f>IF(B763="","",IFERROR(LOOKUP(2,1/('Call Log'!$C$2:$C$5000=B763),'Call Log'!$B$2:$B$5000),""))</f>
        <v/>
      </c>
      <c r="P763" s="5">
        <f>IF(B763="","",COUNTIFS('Call Log'!$C$2:$C$5000,B763,'Call Log'!$A$2:$A$5000,"&gt;="&amp;(TODAY()-WEEKDAY(TODAY(),2)+1)))</f>
        <v>0</v>
      </c>
      <c r="Q763" s="5">
        <f>IF(B763="","",COUNTIF('Call Log'!$C$2:$C$5000,B763))</f>
        <v>0</v>
      </c>
      <c r="R763" s="21" t="str">
        <f>IF(B763="","",IFERROR(IF(MAXIFS('Call Log'!$A$2:$A$5000,'Call Log'!$C$2:$C$5000,B763)=0,"",MAXIFS('Call Log'!$A$2:$A$5000,'Call Log'!$C$2:$C$5000,B763)),""))</f>
        <v/>
      </c>
      <c r="S763" s="5"/>
      <c r="T763" s="21"/>
      <c r="U763" s="21"/>
      <c r="V763" s="5"/>
      <c r="W763" s="20"/>
      <c r="X763" s="5"/>
      <c r="Y763" s="5"/>
      <c r="Z763" s="5"/>
      <c r="AA763" s="5"/>
    </row>
    <row r="764" ht="15.0" customHeight="1">
      <c r="A764" s="5" t="s">
        <v>4031</v>
      </c>
      <c r="B764" s="5" t="s">
        <v>4032</v>
      </c>
      <c r="C764" s="5"/>
      <c r="D764" s="5"/>
      <c r="E764" s="5"/>
      <c r="F764" s="20"/>
      <c r="G764" s="20"/>
      <c r="H764" s="5" t="s">
        <v>41</v>
      </c>
      <c r="I764" s="5" t="s">
        <v>231</v>
      </c>
      <c r="J764" s="5" t="s">
        <v>114</v>
      </c>
      <c r="K764" s="5" t="s">
        <v>4033</v>
      </c>
      <c r="L764" s="5"/>
      <c r="M764" s="5" t="s">
        <v>8</v>
      </c>
      <c r="N764" s="5" t="s">
        <v>80</v>
      </c>
      <c r="O764" s="5" t="str">
        <f>IF(B764="","",IFERROR(LOOKUP(2,1/('Call Log'!$C$2:$C$5000=B764),'Call Log'!$B$2:$B$5000),""))</f>
        <v/>
      </c>
      <c r="P764" s="5">
        <f>IF(B764="","",COUNTIFS('Call Log'!$C$2:$C$5000,B764,'Call Log'!$A$2:$A$5000,"&gt;="&amp;(TODAY()-WEEKDAY(TODAY(),2)+1)))</f>
        <v>0</v>
      </c>
      <c r="Q764" s="5">
        <f>IF(B764="","",COUNTIF('Call Log'!$C$2:$C$5000,B764))</f>
        <v>0</v>
      </c>
      <c r="R764" s="21" t="str">
        <f>IF(B764="","",IFERROR(IF(MAXIFS('Call Log'!$A$2:$A$5000,'Call Log'!$C$2:$C$5000,B764)=0,"",MAXIFS('Call Log'!$A$2:$A$5000,'Call Log'!$C$2:$C$5000,B764)),""))</f>
        <v/>
      </c>
      <c r="S764" s="5"/>
      <c r="T764" s="21"/>
      <c r="U764" s="21"/>
      <c r="V764" s="5"/>
      <c r="W764" s="20"/>
      <c r="X764" s="5"/>
      <c r="Y764" s="5"/>
      <c r="Z764" s="5"/>
      <c r="AA764" s="5"/>
    </row>
    <row r="765" ht="15.0" customHeight="1">
      <c r="A765" s="5" t="s">
        <v>4034</v>
      </c>
      <c r="B765" s="5" t="s">
        <v>4035</v>
      </c>
      <c r="C765" s="5"/>
      <c r="D765" s="5"/>
      <c r="E765" s="5"/>
      <c r="F765" s="20"/>
      <c r="G765" s="20"/>
      <c r="H765" s="5" t="s">
        <v>40</v>
      </c>
      <c r="I765" s="5" t="s">
        <v>129</v>
      </c>
      <c r="J765" s="5" t="s">
        <v>114</v>
      </c>
      <c r="K765" s="5" t="s">
        <v>4036</v>
      </c>
      <c r="L765" s="5"/>
      <c r="M765" s="5" t="s">
        <v>8</v>
      </c>
      <c r="N765" s="5" t="s">
        <v>80</v>
      </c>
      <c r="O765" s="5" t="str">
        <f>IF(B765="","",IFERROR(LOOKUP(2,1/('Call Log'!$C$2:$C$5000=B765),'Call Log'!$B$2:$B$5000),""))</f>
        <v/>
      </c>
      <c r="P765" s="5">
        <f>IF(B765="","",COUNTIFS('Call Log'!$C$2:$C$5000,B765,'Call Log'!$A$2:$A$5000,"&gt;="&amp;(TODAY()-WEEKDAY(TODAY(),2)+1)))</f>
        <v>0</v>
      </c>
      <c r="Q765" s="5">
        <f>IF(B765="","",COUNTIF('Call Log'!$C$2:$C$5000,B765))</f>
        <v>0</v>
      </c>
      <c r="R765" s="21" t="str">
        <f>IF(B765="","",IFERROR(IF(MAXIFS('Call Log'!$A$2:$A$5000,'Call Log'!$C$2:$C$5000,B765)=0,"",MAXIFS('Call Log'!$A$2:$A$5000,'Call Log'!$C$2:$C$5000,B765)),""))</f>
        <v/>
      </c>
      <c r="S765" s="5"/>
      <c r="T765" s="21"/>
      <c r="U765" s="21"/>
      <c r="V765" s="5"/>
      <c r="W765" s="20"/>
      <c r="X765" s="5"/>
      <c r="Y765" s="5"/>
      <c r="Z765" s="5"/>
      <c r="AA765" s="5"/>
    </row>
    <row r="766" ht="15.0" customHeight="1">
      <c r="A766" s="5" t="s">
        <v>4037</v>
      </c>
      <c r="B766" s="5" t="s">
        <v>4038</v>
      </c>
      <c r="C766" s="5"/>
      <c r="D766" s="5"/>
      <c r="E766" s="5"/>
      <c r="F766" s="20"/>
      <c r="G766" s="20"/>
      <c r="H766" s="5" t="s">
        <v>40</v>
      </c>
      <c r="I766" s="5" t="s">
        <v>370</v>
      </c>
      <c r="J766" s="5" t="s">
        <v>114</v>
      </c>
      <c r="K766" s="5" t="s">
        <v>4039</v>
      </c>
      <c r="L766" s="5"/>
      <c r="M766" s="5" t="s">
        <v>8</v>
      </c>
      <c r="N766" s="5" t="s">
        <v>80</v>
      </c>
      <c r="O766" s="5" t="str">
        <f>IF(B766="","",IFERROR(LOOKUP(2,1/('Call Log'!$C$2:$C$5000=B766),'Call Log'!$B$2:$B$5000),""))</f>
        <v/>
      </c>
      <c r="P766" s="5">
        <f>IF(B766="","",COUNTIFS('Call Log'!$C$2:$C$5000,B766,'Call Log'!$A$2:$A$5000,"&gt;="&amp;(TODAY()-WEEKDAY(TODAY(),2)+1)))</f>
        <v>0</v>
      </c>
      <c r="Q766" s="5">
        <f>IF(B766="","",COUNTIF('Call Log'!$C$2:$C$5000,B766))</f>
        <v>0</v>
      </c>
      <c r="R766" s="21" t="str">
        <f>IF(B766="","",IFERROR(IF(MAXIFS('Call Log'!$A$2:$A$5000,'Call Log'!$C$2:$C$5000,B766)=0,"",MAXIFS('Call Log'!$A$2:$A$5000,'Call Log'!$C$2:$C$5000,B766)),""))</f>
        <v/>
      </c>
      <c r="S766" s="5"/>
      <c r="T766" s="21"/>
      <c r="U766" s="21"/>
      <c r="V766" s="5"/>
      <c r="W766" s="20"/>
      <c r="X766" s="5"/>
      <c r="Y766" s="5"/>
      <c r="Z766" s="5"/>
      <c r="AA766" s="5"/>
    </row>
    <row r="767" ht="15.0" customHeight="1">
      <c r="A767" s="5" t="s">
        <v>4040</v>
      </c>
      <c r="B767" s="5" t="s">
        <v>4041</v>
      </c>
      <c r="C767" s="5"/>
      <c r="D767" s="5"/>
      <c r="E767" s="5"/>
      <c r="F767" s="20"/>
      <c r="G767" s="20"/>
      <c r="H767" s="5" t="s">
        <v>41</v>
      </c>
      <c r="I767" s="5" t="s">
        <v>904</v>
      </c>
      <c r="J767" s="5" t="s">
        <v>114</v>
      </c>
      <c r="K767" s="5" t="s">
        <v>4042</v>
      </c>
      <c r="L767" s="5"/>
      <c r="M767" s="5" t="s">
        <v>8</v>
      </c>
      <c r="N767" s="5" t="s">
        <v>80</v>
      </c>
      <c r="O767" s="5" t="str">
        <f>IF(B767="","",IFERROR(LOOKUP(2,1/('Call Log'!$C$2:$C$5000=B767),'Call Log'!$B$2:$B$5000),""))</f>
        <v/>
      </c>
      <c r="P767" s="5">
        <f>IF(B767="","",COUNTIFS('Call Log'!$C$2:$C$5000,B767,'Call Log'!$A$2:$A$5000,"&gt;="&amp;(TODAY()-WEEKDAY(TODAY(),2)+1)))</f>
        <v>0</v>
      </c>
      <c r="Q767" s="5">
        <f>IF(B767="","",COUNTIF('Call Log'!$C$2:$C$5000,B767))</f>
        <v>0</v>
      </c>
      <c r="R767" s="21" t="str">
        <f>IF(B767="","",IFERROR(IF(MAXIFS('Call Log'!$A$2:$A$5000,'Call Log'!$C$2:$C$5000,B767)=0,"",MAXIFS('Call Log'!$A$2:$A$5000,'Call Log'!$C$2:$C$5000,B767)),""))</f>
        <v/>
      </c>
      <c r="S767" s="5"/>
      <c r="T767" s="21"/>
      <c r="U767" s="21"/>
      <c r="V767" s="5"/>
      <c r="W767" s="20"/>
      <c r="X767" s="5"/>
      <c r="Y767" s="5"/>
      <c r="Z767" s="5"/>
      <c r="AA767" s="5"/>
    </row>
    <row r="768" ht="15.0" customHeight="1">
      <c r="A768" s="5" t="s">
        <v>4043</v>
      </c>
      <c r="B768" s="5" t="s">
        <v>4044</v>
      </c>
      <c r="C768" s="5"/>
      <c r="D768" s="5"/>
      <c r="E768" s="5"/>
      <c r="F768" s="20"/>
      <c r="G768" s="20"/>
      <c r="H768" s="5" t="s">
        <v>40</v>
      </c>
      <c r="I768" s="5" t="s">
        <v>246</v>
      </c>
      <c r="J768" s="5" t="s">
        <v>114</v>
      </c>
      <c r="K768" s="5" t="s">
        <v>4045</v>
      </c>
      <c r="L768" s="5"/>
      <c r="M768" s="5" t="s">
        <v>8</v>
      </c>
      <c r="N768" s="5" t="s">
        <v>80</v>
      </c>
      <c r="O768" s="5" t="str">
        <f>IF(B768="","",IFERROR(LOOKUP(2,1/('Call Log'!$C$2:$C$5000=B768),'Call Log'!$B$2:$B$5000),""))</f>
        <v/>
      </c>
      <c r="P768" s="5">
        <f>IF(B768="","",COUNTIFS('Call Log'!$C$2:$C$5000,B768,'Call Log'!$A$2:$A$5000,"&gt;="&amp;(TODAY()-WEEKDAY(TODAY(),2)+1)))</f>
        <v>0</v>
      </c>
      <c r="Q768" s="5">
        <f>IF(B768="","",COUNTIF('Call Log'!$C$2:$C$5000,B768))</f>
        <v>0</v>
      </c>
      <c r="R768" s="21" t="str">
        <f>IF(B768="","",IFERROR(IF(MAXIFS('Call Log'!$A$2:$A$5000,'Call Log'!$C$2:$C$5000,B768)=0,"",MAXIFS('Call Log'!$A$2:$A$5000,'Call Log'!$C$2:$C$5000,B768)),""))</f>
        <v/>
      </c>
      <c r="S768" s="5"/>
      <c r="T768" s="21"/>
      <c r="U768" s="21"/>
      <c r="V768" s="5"/>
      <c r="W768" s="20"/>
      <c r="X768" s="5"/>
      <c r="Y768" s="5"/>
      <c r="Z768" s="5"/>
      <c r="AA768" s="5"/>
    </row>
    <row r="769" ht="15.0" customHeight="1">
      <c r="A769" s="5" t="s">
        <v>4046</v>
      </c>
      <c r="B769" s="5" t="s">
        <v>4047</v>
      </c>
      <c r="C769" s="5"/>
      <c r="D769" s="5"/>
      <c r="E769" s="5"/>
      <c r="F769" s="20"/>
      <c r="G769" s="20"/>
      <c r="H769" s="5" t="s">
        <v>40</v>
      </c>
      <c r="I769" s="5" t="s">
        <v>198</v>
      </c>
      <c r="J769" s="5" t="s">
        <v>114</v>
      </c>
      <c r="K769" s="5" t="s">
        <v>4048</v>
      </c>
      <c r="L769" s="5" t="s">
        <v>4049</v>
      </c>
      <c r="M769" s="5" t="s">
        <v>8</v>
      </c>
      <c r="N769" s="5" t="s">
        <v>80</v>
      </c>
      <c r="O769" s="5" t="str">
        <f>IF(B769="","",IFERROR(LOOKUP(2,1/('Call Log'!$C$2:$C$5000=B769),'Call Log'!$B$2:$B$5000),""))</f>
        <v/>
      </c>
      <c r="P769" s="5">
        <f>IF(B769="","",COUNTIFS('Call Log'!$C$2:$C$5000,B769,'Call Log'!$A$2:$A$5000,"&gt;="&amp;(TODAY()-WEEKDAY(TODAY(),2)+1)))</f>
        <v>0</v>
      </c>
      <c r="Q769" s="5">
        <f>IF(B769="","",COUNTIF('Call Log'!$C$2:$C$5000,B769))</f>
        <v>0</v>
      </c>
      <c r="R769" s="21" t="str">
        <f>IF(B769="","",IFERROR(IF(MAXIFS('Call Log'!$A$2:$A$5000,'Call Log'!$C$2:$C$5000,B769)=0,"",MAXIFS('Call Log'!$A$2:$A$5000,'Call Log'!$C$2:$C$5000,B769)),""))</f>
        <v/>
      </c>
      <c r="S769" s="5"/>
      <c r="T769" s="21"/>
      <c r="U769" s="21"/>
      <c r="V769" s="5"/>
      <c r="W769" s="20"/>
      <c r="X769" s="5"/>
      <c r="Y769" s="5"/>
      <c r="Z769" s="5" t="s">
        <v>132</v>
      </c>
      <c r="AA769" s="5" t="s">
        <v>4050</v>
      </c>
    </row>
    <row r="770" ht="15.0" customHeight="1">
      <c r="A770" s="5" t="s">
        <v>4051</v>
      </c>
      <c r="B770" s="5" t="s">
        <v>4052</v>
      </c>
      <c r="C770" s="5"/>
      <c r="D770" s="5"/>
      <c r="E770" s="5"/>
      <c r="F770" s="20"/>
      <c r="G770" s="20"/>
      <c r="H770" s="5" t="s">
        <v>41</v>
      </c>
      <c r="I770" s="5" t="s">
        <v>218</v>
      </c>
      <c r="J770" s="5" t="s">
        <v>114</v>
      </c>
      <c r="K770" s="5" t="s">
        <v>4053</v>
      </c>
      <c r="L770" s="5"/>
      <c r="M770" s="5" t="s">
        <v>8</v>
      </c>
      <c r="N770" s="5" t="s">
        <v>80</v>
      </c>
      <c r="O770" s="5" t="str">
        <f>IF(B770="","",IFERROR(LOOKUP(2,1/('Call Log'!$C$2:$C$5000=B770),'Call Log'!$B$2:$B$5000),""))</f>
        <v/>
      </c>
      <c r="P770" s="5">
        <f>IF(B770="","",COUNTIFS('Call Log'!$C$2:$C$5000,B770,'Call Log'!$A$2:$A$5000,"&gt;="&amp;(TODAY()-WEEKDAY(TODAY(),2)+1)))</f>
        <v>0</v>
      </c>
      <c r="Q770" s="5">
        <f>IF(B770="","",COUNTIF('Call Log'!$C$2:$C$5000,B770))</f>
        <v>0</v>
      </c>
      <c r="R770" s="21" t="str">
        <f>IF(B770="","",IFERROR(IF(MAXIFS('Call Log'!$A$2:$A$5000,'Call Log'!$C$2:$C$5000,B770)=0,"",MAXIFS('Call Log'!$A$2:$A$5000,'Call Log'!$C$2:$C$5000,B770)),""))</f>
        <v/>
      </c>
      <c r="S770" s="5"/>
      <c r="T770" s="21"/>
      <c r="U770" s="21"/>
      <c r="V770" s="5"/>
      <c r="W770" s="20"/>
      <c r="X770" s="5"/>
      <c r="Y770" s="5"/>
      <c r="Z770" s="5"/>
      <c r="AA770" s="5"/>
    </row>
    <row r="771" ht="15.0" customHeight="1">
      <c r="A771" s="5" t="s">
        <v>4054</v>
      </c>
      <c r="B771" s="5" t="s">
        <v>4055</v>
      </c>
      <c r="C771" s="5"/>
      <c r="D771" s="5"/>
      <c r="E771" s="5"/>
      <c r="F771" s="20"/>
      <c r="G771" s="20"/>
      <c r="H771" s="5" t="s">
        <v>41</v>
      </c>
      <c r="I771" s="5" t="s">
        <v>1313</v>
      </c>
      <c r="J771" s="5" t="s">
        <v>114</v>
      </c>
      <c r="K771" s="5" t="s">
        <v>4056</v>
      </c>
      <c r="L771" s="5"/>
      <c r="M771" s="5" t="s">
        <v>8</v>
      </c>
      <c r="N771" s="5" t="s">
        <v>80</v>
      </c>
      <c r="O771" s="5" t="str">
        <f>IF(B771="","",IFERROR(LOOKUP(2,1/('Call Log'!$C$2:$C$5000=B771),'Call Log'!$B$2:$B$5000),""))</f>
        <v/>
      </c>
      <c r="P771" s="5">
        <f>IF(B771="","",COUNTIFS('Call Log'!$C$2:$C$5000,B771,'Call Log'!$A$2:$A$5000,"&gt;="&amp;(TODAY()-WEEKDAY(TODAY(),2)+1)))</f>
        <v>0</v>
      </c>
      <c r="Q771" s="5">
        <f>IF(B771="","",COUNTIF('Call Log'!$C$2:$C$5000,B771))</f>
        <v>0</v>
      </c>
      <c r="R771" s="21" t="str">
        <f>IF(B771="","",IFERROR(IF(MAXIFS('Call Log'!$A$2:$A$5000,'Call Log'!$C$2:$C$5000,B771)=0,"",MAXIFS('Call Log'!$A$2:$A$5000,'Call Log'!$C$2:$C$5000,B771)),""))</f>
        <v/>
      </c>
      <c r="S771" s="5"/>
      <c r="T771" s="21"/>
      <c r="U771" s="21"/>
      <c r="V771" s="5"/>
      <c r="W771" s="20"/>
      <c r="X771" s="5"/>
      <c r="Y771" s="5"/>
      <c r="Z771" s="5"/>
      <c r="AA771" s="5" t="s">
        <v>4057</v>
      </c>
    </row>
    <row r="772" ht="15.0" customHeight="1">
      <c r="A772" s="5" t="s">
        <v>4058</v>
      </c>
      <c r="B772" s="5" t="s">
        <v>4059</v>
      </c>
      <c r="C772" s="5"/>
      <c r="D772" s="5"/>
      <c r="E772" s="5"/>
      <c r="F772" s="20"/>
      <c r="G772" s="20"/>
      <c r="H772" s="5" t="s">
        <v>40</v>
      </c>
      <c r="I772" s="5" t="s">
        <v>154</v>
      </c>
      <c r="J772" s="5" t="s">
        <v>114</v>
      </c>
      <c r="K772" s="5" t="s">
        <v>4060</v>
      </c>
      <c r="L772" s="5"/>
      <c r="M772" s="5" t="s">
        <v>8</v>
      </c>
      <c r="N772" s="5" t="s">
        <v>80</v>
      </c>
      <c r="O772" s="5" t="str">
        <f>IF(B772="","",IFERROR(LOOKUP(2,1/('Call Log'!$C$2:$C$5000=B772),'Call Log'!$B$2:$B$5000),""))</f>
        <v/>
      </c>
      <c r="P772" s="5">
        <f>IF(B772="","",COUNTIFS('Call Log'!$C$2:$C$5000,B772,'Call Log'!$A$2:$A$5000,"&gt;="&amp;(TODAY()-WEEKDAY(TODAY(),2)+1)))</f>
        <v>0</v>
      </c>
      <c r="Q772" s="5">
        <f>IF(B772="","",COUNTIF('Call Log'!$C$2:$C$5000,B772))</f>
        <v>0</v>
      </c>
      <c r="R772" s="21" t="str">
        <f>IF(B772="","",IFERROR(IF(MAXIFS('Call Log'!$A$2:$A$5000,'Call Log'!$C$2:$C$5000,B772)=0,"",MAXIFS('Call Log'!$A$2:$A$5000,'Call Log'!$C$2:$C$5000,B772)),""))</f>
        <v/>
      </c>
      <c r="S772" s="5"/>
      <c r="T772" s="21"/>
      <c r="U772" s="21"/>
      <c r="V772" s="5"/>
      <c r="W772" s="20"/>
      <c r="X772" s="5"/>
      <c r="Y772" s="5"/>
      <c r="Z772" s="5"/>
      <c r="AA772" s="5"/>
    </row>
    <row r="773" ht="15.0" customHeight="1">
      <c r="A773" s="5" t="s">
        <v>4061</v>
      </c>
      <c r="B773" s="5" t="s">
        <v>4062</v>
      </c>
      <c r="C773" s="5"/>
      <c r="D773" s="5"/>
      <c r="E773" s="5"/>
      <c r="F773" s="20"/>
      <c r="G773" s="20"/>
      <c r="H773" s="5" t="s">
        <v>41</v>
      </c>
      <c r="I773" s="5" t="s">
        <v>231</v>
      </c>
      <c r="J773" s="5" t="s">
        <v>114</v>
      </c>
      <c r="K773" s="5" t="s">
        <v>4063</v>
      </c>
      <c r="L773" s="5"/>
      <c r="M773" s="5" t="s">
        <v>8</v>
      </c>
      <c r="N773" s="5" t="s">
        <v>80</v>
      </c>
      <c r="O773" s="5" t="str">
        <f>IF(B773="","",IFERROR(LOOKUP(2,1/('Call Log'!$C$2:$C$5000=B773),'Call Log'!$B$2:$B$5000),""))</f>
        <v/>
      </c>
      <c r="P773" s="5">
        <f>IF(B773="","",COUNTIFS('Call Log'!$C$2:$C$5000,B773,'Call Log'!$A$2:$A$5000,"&gt;="&amp;(TODAY()-WEEKDAY(TODAY(),2)+1)))</f>
        <v>0</v>
      </c>
      <c r="Q773" s="5">
        <f>IF(B773="","",COUNTIF('Call Log'!$C$2:$C$5000,B773))</f>
        <v>0</v>
      </c>
      <c r="R773" s="21" t="str">
        <f>IF(B773="","",IFERROR(IF(MAXIFS('Call Log'!$A$2:$A$5000,'Call Log'!$C$2:$C$5000,B773)=0,"",MAXIFS('Call Log'!$A$2:$A$5000,'Call Log'!$C$2:$C$5000,B773)),""))</f>
        <v/>
      </c>
      <c r="S773" s="5"/>
      <c r="T773" s="21"/>
      <c r="U773" s="21"/>
      <c r="V773" s="5"/>
      <c r="W773" s="20"/>
      <c r="X773" s="5"/>
      <c r="Y773" s="5"/>
      <c r="Z773" s="5"/>
      <c r="AA773" s="5"/>
    </row>
    <row r="774" ht="15.0" customHeight="1">
      <c r="A774" s="5" t="s">
        <v>4064</v>
      </c>
      <c r="B774" s="5" t="s">
        <v>4065</v>
      </c>
      <c r="C774" s="5"/>
      <c r="D774" s="5"/>
      <c r="E774" s="5"/>
      <c r="F774" s="20"/>
      <c r="G774" s="20"/>
      <c r="H774" s="5" t="s">
        <v>41</v>
      </c>
      <c r="I774" s="5" t="s">
        <v>146</v>
      </c>
      <c r="J774" s="5" t="s">
        <v>114</v>
      </c>
      <c r="K774" s="5" t="s">
        <v>4066</v>
      </c>
      <c r="L774" s="5"/>
      <c r="M774" s="5" t="s">
        <v>8</v>
      </c>
      <c r="N774" s="5" t="s">
        <v>80</v>
      </c>
      <c r="O774" s="5" t="str">
        <f>IF(B774="","",IFERROR(LOOKUP(2,1/('Call Log'!$C$2:$C$5000=B774),'Call Log'!$B$2:$B$5000),""))</f>
        <v/>
      </c>
      <c r="P774" s="5">
        <f>IF(B774="","",COUNTIFS('Call Log'!$C$2:$C$5000,B774,'Call Log'!$A$2:$A$5000,"&gt;="&amp;(TODAY()-WEEKDAY(TODAY(),2)+1)))</f>
        <v>0</v>
      </c>
      <c r="Q774" s="5">
        <f>IF(B774="","",COUNTIF('Call Log'!$C$2:$C$5000,B774))</f>
        <v>0</v>
      </c>
      <c r="R774" s="21" t="str">
        <f>IF(B774="","",IFERROR(IF(MAXIFS('Call Log'!$A$2:$A$5000,'Call Log'!$C$2:$C$5000,B774)=0,"",MAXIFS('Call Log'!$A$2:$A$5000,'Call Log'!$C$2:$C$5000,B774)),""))</f>
        <v/>
      </c>
      <c r="S774" s="5"/>
      <c r="T774" s="21"/>
      <c r="U774" s="21"/>
      <c r="V774" s="5"/>
      <c r="W774" s="20"/>
      <c r="X774" s="5"/>
      <c r="Y774" s="5"/>
      <c r="Z774" s="5"/>
      <c r="AA774" s="5"/>
    </row>
    <row r="775" ht="15.0" customHeight="1">
      <c r="A775" s="5" t="s">
        <v>4067</v>
      </c>
      <c r="B775" s="5" t="s">
        <v>4068</v>
      </c>
      <c r="C775" s="5"/>
      <c r="D775" s="5"/>
      <c r="E775" s="5"/>
      <c r="F775" s="20"/>
      <c r="G775" s="20"/>
      <c r="H775" s="5" t="s">
        <v>41</v>
      </c>
      <c r="I775" s="5" t="s">
        <v>622</v>
      </c>
      <c r="J775" s="5" t="s">
        <v>114</v>
      </c>
      <c r="K775" s="5" t="s">
        <v>4069</v>
      </c>
      <c r="L775" s="5"/>
      <c r="M775" s="5" t="s">
        <v>8</v>
      </c>
      <c r="N775" s="5" t="s">
        <v>80</v>
      </c>
      <c r="O775" s="5" t="str">
        <f>IF(B775="","",IFERROR(LOOKUP(2,1/('Call Log'!$C$2:$C$5000=B775),'Call Log'!$B$2:$B$5000),""))</f>
        <v/>
      </c>
      <c r="P775" s="5">
        <f>IF(B775="","",COUNTIFS('Call Log'!$C$2:$C$5000,B775,'Call Log'!$A$2:$A$5000,"&gt;="&amp;(TODAY()-WEEKDAY(TODAY(),2)+1)))</f>
        <v>0</v>
      </c>
      <c r="Q775" s="5">
        <f>IF(B775="","",COUNTIF('Call Log'!$C$2:$C$5000,B775))</f>
        <v>0</v>
      </c>
      <c r="R775" s="21" t="str">
        <f>IF(B775="","",IFERROR(IF(MAXIFS('Call Log'!$A$2:$A$5000,'Call Log'!$C$2:$C$5000,B775)=0,"",MAXIFS('Call Log'!$A$2:$A$5000,'Call Log'!$C$2:$C$5000,B775)),""))</f>
        <v/>
      </c>
      <c r="S775" s="5"/>
      <c r="T775" s="21"/>
      <c r="U775" s="21"/>
      <c r="V775" s="5"/>
      <c r="W775" s="20"/>
      <c r="X775" s="5"/>
      <c r="Y775" s="5"/>
      <c r="Z775" s="5"/>
      <c r="AA775" s="5"/>
    </row>
    <row r="776" ht="15.0" customHeight="1">
      <c r="A776" s="5" t="s">
        <v>4070</v>
      </c>
      <c r="B776" s="5" t="s">
        <v>4071</v>
      </c>
      <c r="C776" s="5"/>
      <c r="D776" s="5"/>
      <c r="E776" s="5"/>
      <c r="F776" s="20"/>
      <c r="G776" s="20"/>
      <c r="H776" s="5" t="s">
        <v>41</v>
      </c>
      <c r="I776" s="5" t="s">
        <v>231</v>
      </c>
      <c r="J776" s="5" t="s">
        <v>114</v>
      </c>
      <c r="K776" s="5" t="s">
        <v>4072</v>
      </c>
      <c r="L776" s="5"/>
      <c r="M776" s="5" t="s">
        <v>8</v>
      </c>
      <c r="N776" s="5" t="s">
        <v>80</v>
      </c>
      <c r="O776" s="5" t="str">
        <f>IF(B776="","",IFERROR(LOOKUP(2,1/('Call Log'!$C$2:$C$5000=B776),'Call Log'!$B$2:$B$5000),""))</f>
        <v/>
      </c>
      <c r="P776" s="5">
        <f>IF(B776="","",COUNTIFS('Call Log'!$C$2:$C$5000,B776,'Call Log'!$A$2:$A$5000,"&gt;="&amp;(TODAY()-WEEKDAY(TODAY(),2)+1)))</f>
        <v>0</v>
      </c>
      <c r="Q776" s="5">
        <f>IF(B776="","",COUNTIF('Call Log'!$C$2:$C$5000,B776))</f>
        <v>0</v>
      </c>
      <c r="R776" s="21" t="str">
        <f>IF(B776="","",IFERROR(IF(MAXIFS('Call Log'!$A$2:$A$5000,'Call Log'!$C$2:$C$5000,B776)=0,"",MAXIFS('Call Log'!$A$2:$A$5000,'Call Log'!$C$2:$C$5000,B776)),""))</f>
        <v/>
      </c>
      <c r="S776" s="5"/>
      <c r="T776" s="21"/>
      <c r="U776" s="21"/>
      <c r="V776" s="5"/>
      <c r="W776" s="20"/>
      <c r="X776" s="5"/>
      <c r="Y776" s="5"/>
      <c r="Z776" s="5"/>
      <c r="AA776" s="5"/>
    </row>
    <row r="777" ht="15.0" customHeight="1">
      <c r="A777" s="5" t="s">
        <v>4073</v>
      </c>
      <c r="B777" s="5" t="s">
        <v>4074</v>
      </c>
      <c r="C777" s="5"/>
      <c r="D777" s="5"/>
      <c r="E777" s="5"/>
      <c r="F777" s="20"/>
      <c r="G777" s="20"/>
      <c r="H777" s="5" t="s">
        <v>40</v>
      </c>
      <c r="I777" s="5" t="s">
        <v>161</v>
      </c>
      <c r="J777" s="5" t="s">
        <v>114</v>
      </c>
      <c r="K777" s="5" t="s">
        <v>4075</v>
      </c>
      <c r="L777" s="5"/>
      <c r="M777" s="5" t="s">
        <v>8</v>
      </c>
      <c r="N777" s="5" t="s">
        <v>80</v>
      </c>
      <c r="O777" s="5" t="str">
        <f>IF(B777="","",IFERROR(LOOKUP(2,1/('Call Log'!$C$2:$C$5000=B777),'Call Log'!$B$2:$B$5000),""))</f>
        <v/>
      </c>
      <c r="P777" s="5">
        <f>IF(B777="","",COUNTIFS('Call Log'!$C$2:$C$5000,B777,'Call Log'!$A$2:$A$5000,"&gt;="&amp;(TODAY()-WEEKDAY(TODAY(),2)+1)))</f>
        <v>0</v>
      </c>
      <c r="Q777" s="5">
        <f>IF(B777="","",COUNTIF('Call Log'!$C$2:$C$5000,B777))</f>
        <v>0</v>
      </c>
      <c r="R777" s="21" t="str">
        <f>IF(B777="","",IFERROR(IF(MAXIFS('Call Log'!$A$2:$A$5000,'Call Log'!$C$2:$C$5000,B777)=0,"",MAXIFS('Call Log'!$A$2:$A$5000,'Call Log'!$C$2:$C$5000,B777)),""))</f>
        <v/>
      </c>
      <c r="S777" s="5"/>
      <c r="T777" s="21"/>
      <c r="U777" s="21"/>
      <c r="V777" s="5"/>
      <c r="W777" s="20"/>
      <c r="X777" s="5"/>
      <c r="Y777" s="5"/>
      <c r="Z777" s="5"/>
      <c r="AA777" s="5"/>
    </row>
    <row r="778" ht="15.0" customHeight="1">
      <c r="A778" s="5" t="s">
        <v>4076</v>
      </c>
      <c r="B778" s="5" t="s">
        <v>4077</v>
      </c>
      <c r="C778" s="5"/>
      <c r="D778" s="5"/>
      <c r="E778" s="5"/>
      <c r="F778" s="20"/>
      <c r="G778" s="20"/>
      <c r="H778" s="5" t="s">
        <v>41</v>
      </c>
      <c r="I778" s="5" t="s">
        <v>231</v>
      </c>
      <c r="J778" s="5" t="s">
        <v>114</v>
      </c>
      <c r="K778" s="5" t="s">
        <v>4078</v>
      </c>
      <c r="L778" s="5"/>
      <c r="M778" s="5" t="s">
        <v>8</v>
      </c>
      <c r="N778" s="5" t="s">
        <v>80</v>
      </c>
      <c r="O778" s="5" t="str">
        <f>IF(B778="","",IFERROR(LOOKUP(2,1/('Call Log'!$C$2:$C$5000=B778),'Call Log'!$B$2:$B$5000),""))</f>
        <v/>
      </c>
      <c r="P778" s="5">
        <f>IF(B778="","",COUNTIFS('Call Log'!$C$2:$C$5000,B778,'Call Log'!$A$2:$A$5000,"&gt;="&amp;(TODAY()-WEEKDAY(TODAY(),2)+1)))</f>
        <v>0</v>
      </c>
      <c r="Q778" s="5">
        <f>IF(B778="","",COUNTIF('Call Log'!$C$2:$C$5000,B778))</f>
        <v>0</v>
      </c>
      <c r="R778" s="21" t="str">
        <f>IF(B778="","",IFERROR(IF(MAXIFS('Call Log'!$A$2:$A$5000,'Call Log'!$C$2:$C$5000,B778)=0,"",MAXIFS('Call Log'!$A$2:$A$5000,'Call Log'!$C$2:$C$5000,B778)),""))</f>
        <v/>
      </c>
      <c r="S778" s="5"/>
      <c r="T778" s="21"/>
      <c r="U778" s="21"/>
      <c r="V778" s="5"/>
      <c r="W778" s="20"/>
      <c r="X778" s="5"/>
      <c r="Y778" s="5"/>
      <c r="Z778" s="5"/>
      <c r="AA778" s="5"/>
    </row>
    <row r="779" ht="15.0" customHeight="1">
      <c r="A779" s="5" t="s">
        <v>4079</v>
      </c>
      <c r="B779" s="5" t="s">
        <v>4080</v>
      </c>
      <c r="C779" s="5"/>
      <c r="D779" s="5"/>
      <c r="E779" s="5"/>
      <c r="F779" s="20"/>
      <c r="G779" s="20"/>
      <c r="H779" s="5" t="s">
        <v>41</v>
      </c>
      <c r="I779" s="5" t="s">
        <v>1313</v>
      </c>
      <c r="J779" s="5" t="s">
        <v>114</v>
      </c>
      <c r="K779" s="5" t="s">
        <v>4081</v>
      </c>
      <c r="L779" s="5"/>
      <c r="M779" s="5" t="s">
        <v>8</v>
      </c>
      <c r="N779" s="5" t="s">
        <v>80</v>
      </c>
      <c r="O779" s="5" t="str">
        <f>IF(B779="","",IFERROR(LOOKUP(2,1/('Call Log'!$C$2:$C$5000=B779),'Call Log'!$B$2:$B$5000),""))</f>
        <v/>
      </c>
      <c r="P779" s="5">
        <f>IF(B779="","",COUNTIFS('Call Log'!$C$2:$C$5000,B779,'Call Log'!$A$2:$A$5000,"&gt;="&amp;(TODAY()-WEEKDAY(TODAY(),2)+1)))</f>
        <v>0</v>
      </c>
      <c r="Q779" s="5">
        <f>IF(B779="","",COUNTIF('Call Log'!$C$2:$C$5000,B779))</f>
        <v>0</v>
      </c>
      <c r="R779" s="21" t="str">
        <f>IF(B779="","",IFERROR(IF(MAXIFS('Call Log'!$A$2:$A$5000,'Call Log'!$C$2:$C$5000,B779)=0,"",MAXIFS('Call Log'!$A$2:$A$5000,'Call Log'!$C$2:$C$5000,B779)),""))</f>
        <v/>
      </c>
      <c r="S779" s="5"/>
      <c r="T779" s="21"/>
      <c r="U779" s="21"/>
      <c r="V779" s="5"/>
      <c r="W779" s="20"/>
      <c r="X779" s="5"/>
      <c r="Y779" s="5"/>
      <c r="Z779" s="5"/>
      <c r="AA779" s="5"/>
    </row>
    <row r="780" ht="15.0" customHeight="1">
      <c r="A780" s="5" t="s">
        <v>4082</v>
      </c>
      <c r="B780" s="5" t="s">
        <v>4083</v>
      </c>
      <c r="C780" s="5"/>
      <c r="D780" s="5" t="s">
        <v>4084</v>
      </c>
      <c r="E780" s="5"/>
      <c r="F780" s="20"/>
      <c r="G780" s="20"/>
      <c r="H780" s="5" t="s">
        <v>41</v>
      </c>
      <c r="I780" s="5" t="s">
        <v>113</v>
      </c>
      <c r="J780" s="5" t="s">
        <v>114</v>
      </c>
      <c r="K780" s="5" t="s">
        <v>4085</v>
      </c>
      <c r="L780" s="5"/>
      <c r="M780" s="5" t="s">
        <v>8</v>
      </c>
      <c r="N780" s="5" t="s">
        <v>80</v>
      </c>
      <c r="O780" s="5" t="str">
        <f>IF(B780="","",IFERROR(LOOKUP(2,1/('Call Log'!$C$2:$C$5000=B780),'Call Log'!$B$2:$B$5000),""))</f>
        <v/>
      </c>
      <c r="P780" s="5">
        <f>IF(B780="","",COUNTIFS('Call Log'!$C$2:$C$5000,B780,'Call Log'!$A$2:$A$5000,"&gt;="&amp;(TODAY()-WEEKDAY(TODAY(),2)+1)))</f>
        <v>0</v>
      </c>
      <c r="Q780" s="5">
        <f>IF(B780="","",COUNTIF('Call Log'!$C$2:$C$5000,B780))</f>
        <v>0</v>
      </c>
      <c r="R780" s="21" t="str">
        <f>IF(B780="","",IFERROR(IF(MAXIFS('Call Log'!$A$2:$A$5000,'Call Log'!$C$2:$C$5000,B780)=0,"",MAXIFS('Call Log'!$A$2:$A$5000,'Call Log'!$C$2:$C$5000,B780)),""))</f>
        <v/>
      </c>
      <c r="S780" s="5"/>
      <c r="T780" s="21"/>
      <c r="U780" s="21"/>
      <c r="V780" s="5"/>
      <c r="W780" s="20"/>
      <c r="X780" s="5"/>
      <c r="Y780" s="5"/>
      <c r="Z780" s="5"/>
      <c r="AA780" s="5" t="s">
        <v>4086</v>
      </c>
    </row>
    <row r="781" ht="15.0" customHeight="1">
      <c r="A781" s="5" t="s">
        <v>4087</v>
      </c>
      <c r="B781" s="5" t="s">
        <v>4088</v>
      </c>
      <c r="C781" s="5"/>
      <c r="D781" s="5"/>
      <c r="E781" s="5"/>
      <c r="F781" s="20"/>
      <c r="G781" s="20"/>
      <c r="H781" s="5" t="s">
        <v>41</v>
      </c>
      <c r="I781" s="5" t="s">
        <v>4089</v>
      </c>
      <c r="J781" s="5" t="s">
        <v>114</v>
      </c>
      <c r="K781" s="5" t="s">
        <v>4090</v>
      </c>
      <c r="L781" s="5"/>
      <c r="M781" s="5" t="s">
        <v>8</v>
      </c>
      <c r="N781" s="5" t="s">
        <v>80</v>
      </c>
      <c r="O781" s="5" t="str">
        <f>IF(B781="","",IFERROR(LOOKUP(2,1/('Call Log'!$C$2:$C$5000=B781),'Call Log'!$B$2:$B$5000),""))</f>
        <v/>
      </c>
      <c r="P781" s="5">
        <f>IF(B781="","",COUNTIFS('Call Log'!$C$2:$C$5000,B781,'Call Log'!$A$2:$A$5000,"&gt;="&amp;(TODAY()-WEEKDAY(TODAY(),2)+1)))</f>
        <v>0</v>
      </c>
      <c r="Q781" s="5">
        <f>IF(B781="","",COUNTIF('Call Log'!$C$2:$C$5000,B781))</f>
        <v>0</v>
      </c>
      <c r="R781" s="21" t="str">
        <f>IF(B781="","",IFERROR(IF(MAXIFS('Call Log'!$A$2:$A$5000,'Call Log'!$C$2:$C$5000,B781)=0,"",MAXIFS('Call Log'!$A$2:$A$5000,'Call Log'!$C$2:$C$5000,B781)),""))</f>
        <v/>
      </c>
      <c r="S781" s="5"/>
      <c r="T781" s="21"/>
      <c r="U781" s="21"/>
      <c r="V781" s="5"/>
      <c r="W781" s="20"/>
      <c r="X781" s="5"/>
      <c r="Y781" s="5"/>
      <c r="Z781" s="5"/>
      <c r="AA781" s="5"/>
    </row>
    <row r="782" ht="15.0" customHeight="1">
      <c r="A782" s="5" t="s">
        <v>4091</v>
      </c>
      <c r="B782" s="5" t="s">
        <v>4092</v>
      </c>
      <c r="C782" s="5"/>
      <c r="D782" s="5"/>
      <c r="E782" s="5"/>
      <c r="F782" s="20"/>
      <c r="G782" s="20"/>
      <c r="H782" s="5" t="s">
        <v>41</v>
      </c>
      <c r="I782" s="5" t="s">
        <v>154</v>
      </c>
      <c r="J782" s="5" t="s">
        <v>114</v>
      </c>
      <c r="K782" s="5" t="s">
        <v>4093</v>
      </c>
      <c r="L782" s="5"/>
      <c r="M782" s="5" t="s">
        <v>8</v>
      </c>
      <c r="N782" s="5" t="s">
        <v>80</v>
      </c>
      <c r="O782" s="5" t="str">
        <f>IF(B782="","",IFERROR(LOOKUP(2,1/('Call Log'!$C$2:$C$5000=B782),'Call Log'!$B$2:$B$5000),""))</f>
        <v/>
      </c>
      <c r="P782" s="5">
        <f>IF(B782="","",COUNTIFS('Call Log'!$C$2:$C$5000,B782,'Call Log'!$A$2:$A$5000,"&gt;="&amp;(TODAY()-WEEKDAY(TODAY(),2)+1)))</f>
        <v>0</v>
      </c>
      <c r="Q782" s="5">
        <f>IF(B782="","",COUNTIF('Call Log'!$C$2:$C$5000,B782))</f>
        <v>0</v>
      </c>
      <c r="R782" s="21" t="str">
        <f>IF(B782="","",IFERROR(IF(MAXIFS('Call Log'!$A$2:$A$5000,'Call Log'!$C$2:$C$5000,B782)=0,"",MAXIFS('Call Log'!$A$2:$A$5000,'Call Log'!$C$2:$C$5000,B782)),""))</f>
        <v/>
      </c>
      <c r="S782" s="5"/>
      <c r="T782" s="21"/>
      <c r="U782" s="21"/>
      <c r="V782" s="5"/>
      <c r="W782" s="20"/>
      <c r="X782" s="5"/>
      <c r="Y782" s="5"/>
      <c r="Z782" s="5"/>
      <c r="AA782" s="5"/>
    </row>
    <row r="783" ht="15.0" customHeight="1">
      <c r="A783" s="5" t="s">
        <v>4094</v>
      </c>
      <c r="B783" s="5" t="s">
        <v>4095</v>
      </c>
      <c r="C783" s="5"/>
      <c r="D783" s="5"/>
      <c r="E783" s="5">
        <v>1.0</v>
      </c>
      <c r="F783" s="20"/>
      <c r="G783" s="20"/>
      <c r="H783" s="5" t="s">
        <v>40</v>
      </c>
      <c r="I783" s="5" t="s">
        <v>129</v>
      </c>
      <c r="J783" s="5" t="s">
        <v>114</v>
      </c>
      <c r="K783" s="5" t="s">
        <v>4096</v>
      </c>
      <c r="L783" s="5"/>
      <c r="M783" s="5" t="s">
        <v>8</v>
      </c>
      <c r="N783" s="5" t="s">
        <v>80</v>
      </c>
      <c r="O783" s="5" t="str">
        <f>IF(B783="","",IFERROR(LOOKUP(2,1/('Call Log'!$C$2:$C$5000=B783),'Call Log'!$B$2:$B$5000),""))</f>
        <v/>
      </c>
      <c r="P783" s="5">
        <f>IF(B783="","",COUNTIFS('Call Log'!$C$2:$C$5000,B783,'Call Log'!$A$2:$A$5000,"&gt;="&amp;(TODAY()-WEEKDAY(TODAY(),2)+1)))</f>
        <v>0</v>
      </c>
      <c r="Q783" s="5">
        <f>IF(B783="","",COUNTIF('Call Log'!$C$2:$C$5000,B783))</f>
        <v>0</v>
      </c>
      <c r="R783" s="21" t="str">
        <f>IF(B783="","",IFERROR(IF(MAXIFS('Call Log'!$A$2:$A$5000,'Call Log'!$C$2:$C$5000,B783)=0,"",MAXIFS('Call Log'!$A$2:$A$5000,'Call Log'!$C$2:$C$5000,B783)),""))</f>
        <v/>
      </c>
      <c r="S783" s="5"/>
      <c r="T783" s="21"/>
      <c r="U783" s="21"/>
      <c r="V783" s="5"/>
      <c r="W783" s="20"/>
      <c r="X783" s="5"/>
      <c r="Y783" s="5"/>
      <c r="Z783" s="5" t="s">
        <v>132</v>
      </c>
      <c r="AA783" s="5" t="s">
        <v>4097</v>
      </c>
    </row>
    <row r="784" ht="15.0" customHeight="1">
      <c r="A784" s="5" t="s">
        <v>4098</v>
      </c>
      <c r="B784" s="5" t="s">
        <v>4099</v>
      </c>
      <c r="C784" s="5"/>
      <c r="D784" s="5"/>
      <c r="E784" s="5"/>
      <c r="F784" s="20"/>
      <c r="G784" s="20"/>
      <c r="H784" s="5" t="s">
        <v>41</v>
      </c>
      <c r="I784" s="5" t="s">
        <v>184</v>
      </c>
      <c r="J784" s="5" t="s">
        <v>114</v>
      </c>
      <c r="K784" s="5" t="s">
        <v>4100</v>
      </c>
      <c r="L784" s="5"/>
      <c r="M784" s="5" t="s">
        <v>8</v>
      </c>
      <c r="N784" s="5" t="s">
        <v>80</v>
      </c>
      <c r="O784" s="5" t="str">
        <f>IF(B784="","",IFERROR(LOOKUP(2,1/('Call Log'!$C$2:$C$5000=B784),'Call Log'!$B$2:$B$5000),""))</f>
        <v/>
      </c>
      <c r="P784" s="5">
        <f>IF(B784="","",COUNTIFS('Call Log'!$C$2:$C$5000,B784,'Call Log'!$A$2:$A$5000,"&gt;="&amp;(TODAY()-WEEKDAY(TODAY(),2)+1)))</f>
        <v>0</v>
      </c>
      <c r="Q784" s="5">
        <f>IF(B784="","",COUNTIF('Call Log'!$C$2:$C$5000,B784))</f>
        <v>0</v>
      </c>
      <c r="R784" s="21" t="str">
        <f>IF(B784="","",IFERROR(IF(MAXIFS('Call Log'!$A$2:$A$5000,'Call Log'!$C$2:$C$5000,B784)=0,"",MAXIFS('Call Log'!$A$2:$A$5000,'Call Log'!$C$2:$C$5000,B784)),""))</f>
        <v/>
      </c>
      <c r="S784" s="5"/>
      <c r="T784" s="21"/>
      <c r="U784" s="21"/>
      <c r="V784" s="5"/>
      <c r="W784" s="20"/>
      <c r="X784" s="5"/>
      <c r="Y784" s="5"/>
      <c r="Z784" s="5"/>
      <c r="AA784" s="5"/>
    </row>
    <row r="785" ht="15.0" customHeight="1">
      <c r="A785" s="5" t="s">
        <v>4101</v>
      </c>
      <c r="B785" s="5" t="s">
        <v>4102</v>
      </c>
      <c r="C785" s="5"/>
      <c r="D785" s="5"/>
      <c r="E785" s="5"/>
      <c r="F785" s="20"/>
      <c r="G785" s="20"/>
      <c r="H785" s="5" t="s">
        <v>40</v>
      </c>
      <c r="I785" s="5" t="s">
        <v>594</v>
      </c>
      <c r="J785" s="5" t="s">
        <v>114</v>
      </c>
      <c r="K785" s="5" t="s">
        <v>4103</v>
      </c>
      <c r="L785" s="5"/>
      <c r="M785" s="5" t="s">
        <v>8</v>
      </c>
      <c r="N785" s="5" t="s">
        <v>80</v>
      </c>
      <c r="O785" s="5" t="str">
        <f>IF(B785="","",IFERROR(LOOKUP(2,1/('Call Log'!$C$2:$C$5000=B785),'Call Log'!$B$2:$B$5000),""))</f>
        <v/>
      </c>
      <c r="P785" s="5">
        <f>IF(B785="","",COUNTIFS('Call Log'!$C$2:$C$5000,B785,'Call Log'!$A$2:$A$5000,"&gt;="&amp;(TODAY()-WEEKDAY(TODAY(),2)+1)))</f>
        <v>0</v>
      </c>
      <c r="Q785" s="5">
        <f>IF(B785="","",COUNTIF('Call Log'!$C$2:$C$5000,B785))</f>
        <v>0</v>
      </c>
      <c r="R785" s="21" t="str">
        <f>IF(B785="","",IFERROR(IF(MAXIFS('Call Log'!$A$2:$A$5000,'Call Log'!$C$2:$C$5000,B785)=0,"",MAXIFS('Call Log'!$A$2:$A$5000,'Call Log'!$C$2:$C$5000,B785)),""))</f>
        <v/>
      </c>
      <c r="S785" s="5"/>
      <c r="T785" s="21"/>
      <c r="U785" s="21"/>
      <c r="V785" s="5"/>
      <c r="W785" s="20"/>
      <c r="X785" s="5"/>
      <c r="Y785" s="5"/>
      <c r="Z785" s="5"/>
      <c r="AA785" s="5"/>
    </row>
    <row r="786" ht="15.0" customHeight="1">
      <c r="A786" s="5" t="s">
        <v>4104</v>
      </c>
      <c r="B786" s="5" t="s">
        <v>4105</v>
      </c>
      <c r="C786" s="5"/>
      <c r="D786" s="5"/>
      <c r="E786" s="5"/>
      <c r="F786" s="20"/>
      <c r="G786" s="20"/>
      <c r="H786" s="5" t="s">
        <v>41</v>
      </c>
      <c r="I786" s="5" t="s">
        <v>904</v>
      </c>
      <c r="J786" s="5" t="s">
        <v>114</v>
      </c>
      <c r="K786" s="5" t="s">
        <v>4106</v>
      </c>
      <c r="L786" s="5"/>
      <c r="M786" s="5" t="s">
        <v>8</v>
      </c>
      <c r="N786" s="5" t="s">
        <v>80</v>
      </c>
      <c r="O786" s="5" t="str">
        <f>IF(B786="","",IFERROR(LOOKUP(2,1/('Call Log'!$C$2:$C$5000=B786),'Call Log'!$B$2:$B$5000),""))</f>
        <v/>
      </c>
      <c r="P786" s="5">
        <f>IF(B786="","",COUNTIFS('Call Log'!$C$2:$C$5000,B786,'Call Log'!$A$2:$A$5000,"&gt;="&amp;(TODAY()-WEEKDAY(TODAY(),2)+1)))</f>
        <v>0</v>
      </c>
      <c r="Q786" s="5">
        <f>IF(B786="","",COUNTIF('Call Log'!$C$2:$C$5000,B786))</f>
        <v>0</v>
      </c>
      <c r="R786" s="21" t="str">
        <f>IF(B786="","",IFERROR(IF(MAXIFS('Call Log'!$A$2:$A$5000,'Call Log'!$C$2:$C$5000,B786)=0,"",MAXIFS('Call Log'!$A$2:$A$5000,'Call Log'!$C$2:$C$5000,B786)),""))</f>
        <v/>
      </c>
      <c r="S786" s="5"/>
      <c r="T786" s="21"/>
      <c r="U786" s="21"/>
      <c r="V786" s="5"/>
      <c r="W786" s="20"/>
      <c r="X786" s="5"/>
      <c r="Y786" s="5"/>
      <c r="Z786" s="5"/>
      <c r="AA786" s="5"/>
    </row>
    <row r="787" ht="15.0" customHeight="1">
      <c r="A787" s="5" t="s">
        <v>4107</v>
      </c>
      <c r="B787" s="5" t="s">
        <v>4108</v>
      </c>
      <c r="C787" s="5"/>
      <c r="D787" s="5"/>
      <c r="E787" s="5"/>
      <c r="F787" s="20"/>
      <c r="G787" s="20"/>
      <c r="H787" s="5" t="s">
        <v>41</v>
      </c>
      <c r="I787" s="5" t="s">
        <v>547</v>
      </c>
      <c r="J787" s="5" t="s">
        <v>114</v>
      </c>
      <c r="K787" s="5" t="s">
        <v>4109</v>
      </c>
      <c r="L787" s="5"/>
      <c r="M787" s="5" t="s">
        <v>8</v>
      </c>
      <c r="N787" s="5" t="s">
        <v>80</v>
      </c>
      <c r="O787" s="5" t="str">
        <f>IF(B787="","",IFERROR(LOOKUP(2,1/('Call Log'!$C$2:$C$5000=B787),'Call Log'!$B$2:$B$5000),""))</f>
        <v/>
      </c>
      <c r="P787" s="5">
        <f>IF(B787="","",COUNTIFS('Call Log'!$C$2:$C$5000,B787,'Call Log'!$A$2:$A$5000,"&gt;="&amp;(TODAY()-WEEKDAY(TODAY(),2)+1)))</f>
        <v>0</v>
      </c>
      <c r="Q787" s="5">
        <f>IF(B787="","",COUNTIF('Call Log'!$C$2:$C$5000,B787))</f>
        <v>0</v>
      </c>
      <c r="R787" s="21" t="str">
        <f>IF(B787="","",IFERROR(IF(MAXIFS('Call Log'!$A$2:$A$5000,'Call Log'!$C$2:$C$5000,B787)=0,"",MAXIFS('Call Log'!$A$2:$A$5000,'Call Log'!$C$2:$C$5000,B787)),""))</f>
        <v/>
      </c>
      <c r="S787" s="5"/>
      <c r="T787" s="21"/>
      <c r="U787" s="21"/>
      <c r="V787" s="5"/>
      <c r="W787" s="20"/>
      <c r="X787" s="5"/>
      <c r="Y787" s="5"/>
      <c r="Z787" s="5"/>
      <c r="AA787" s="5"/>
    </row>
    <row r="788" ht="15.0" customHeight="1">
      <c r="A788" s="5" t="s">
        <v>4110</v>
      </c>
      <c r="B788" s="5" t="s">
        <v>4111</v>
      </c>
      <c r="C788" s="5"/>
      <c r="D788" s="5"/>
      <c r="E788" s="5"/>
      <c r="F788" s="20"/>
      <c r="G788" s="20"/>
      <c r="H788" s="5" t="s">
        <v>40</v>
      </c>
      <c r="I788" s="5" t="s">
        <v>122</v>
      </c>
      <c r="J788" s="5" t="s">
        <v>114</v>
      </c>
      <c r="K788" s="5" t="s">
        <v>4112</v>
      </c>
      <c r="L788" s="5"/>
      <c r="M788" s="5" t="s">
        <v>8</v>
      </c>
      <c r="N788" s="5" t="s">
        <v>80</v>
      </c>
      <c r="O788" s="5" t="str">
        <f>IF(B788="","",IFERROR(LOOKUP(2,1/('Call Log'!$C$2:$C$5000=B788),'Call Log'!$B$2:$B$5000),""))</f>
        <v/>
      </c>
      <c r="P788" s="5">
        <f>IF(B788="","",COUNTIFS('Call Log'!$C$2:$C$5000,B788,'Call Log'!$A$2:$A$5000,"&gt;="&amp;(TODAY()-WEEKDAY(TODAY(),2)+1)))</f>
        <v>0</v>
      </c>
      <c r="Q788" s="5">
        <f>IF(B788="","",COUNTIF('Call Log'!$C$2:$C$5000,B788))</f>
        <v>0</v>
      </c>
      <c r="R788" s="21" t="str">
        <f>IF(B788="","",IFERROR(IF(MAXIFS('Call Log'!$A$2:$A$5000,'Call Log'!$C$2:$C$5000,B788)=0,"",MAXIFS('Call Log'!$A$2:$A$5000,'Call Log'!$C$2:$C$5000,B788)),""))</f>
        <v/>
      </c>
      <c r="S788" s="5"/>
      <c r="T788" s="21"/>
      <c r="U788" s="21"/>
      <c r="V788" s="5"/>
      <c r="W788" s="20"/>
      <c r="X788" s="5"/>
      <c r="Y788" s="5"/>
      <c r="Z788" s="5"/>
      <c r="AA788" s="5"/>
    </row>
    <row r="789" ht="15.0" customHeight="1">
      <c r="A789" s="5" t="s">
        <v>4113</v>
      </c>
      <c r="B789" s="5" t="s">
        <v>4114</v>
      </c>
      <c r="C789" s="5"/>
      <c r="D789" s="5"/>
      <c r="E789" s="5"/>
      <c r="F789" s="20"/>
      <c r="G789" s="20"/>
      <c r="H789" s="5" t="s">
        <v>41</v>
      </c>
      <c r="I789" s="5" t="s">
        <v>370</v>
      </c>
      <c r="J789" s="5" t="s">
        <v>114</v>
      </c>
      <c r="K789" s="5" t="s">
        <v>4115</v>
      </c>
      <c r="L789" s="5"/>
      <c r="M789" s="5" t="s">
        <v>8</v>
      </c>
      <c r="N789" s="5" t="s">
        <v>80</v>
      </c>
      <c r="O789" s="5" t="str">
        <f>IF(B789="","",IFERROR(LOOKUP(2,1/('Call Log'!$C$2:$C$5000=B789),'Call Log'!$B$2:$B$5000),""))</f>
        <v/>
      </c>
      <c r="P789" s="5">
        <f>IF(B789="","",COUNTIFS('Call Log'!$C$2:$C$5000,B789,'Call Log'!$A$2:$A$5000,"&gt;="&amp;(TODAY()-WEEKDAY(TODAY(),2)+1)))</f>
        <v>0</v>
      </c>
      <c r="Q789" s="5">
        <f>IF(B789="","",COUNTIF('Call Log'!$C$2:$C$5000,B789))</f>
        <v>0</v>
      </c>
      <c r="R789" s="21" t="str">
        <f>IF(B789="","",IFERROR(IF(MAXIFS('Call Log'!$A$2:$A$5000,'Call Log'!$C$2:$C$5000,B789)=0,"",MAXIFS('Call Log'!$A$2:$A$5000,'Call Log'!$C$2:$C$5000,B789)),""))</f>
        <v/>
      </c>
      <c r="S789" s="5"/>
      <c r="T789" s="21"/>
      <c r="U789" s="21"/>
      <c r="V789" s="5"/>
      <c r="W789" s="20"/>
      <c r="X789" s="5"/>
      <c r="Y789" s="5"/>
      <c r="Z789" s="5"/>
      <c r="AA789" s="5"/>
    </row>
    <row r="790" ht="15.0" customHeight="1">
      <c r="A790" s="5" t="s">
        <v>4116</v>
      </c>
      <c r="B790" s="5" t="s">
        <v>4117</v>
      </c>
      <c r="C790" s="5"/>
      <c r="D790" s="5"/>
      <c r="E790" s="5"/>
      <c r="F790" s="20"/>
      <c r="G790" s="20"/>
      <c r="H790" s="5" t="s">
        <v>41</v>
      </c>
      <c r="I790" s="5" t="s">
        <v>1320</v>
      </c>
      <c r="J790" s="5" t="s">
        <v>114</v>
      </c>
      <c r="K790" s="5" t="s">
        <v>4118</v>
      </c>
      <c r="L790" s="5"/>
      <c r="M790" s="5" t="s">
        <v>8</v>
      </c>
      <c r="N790" s="5" t="s">
        <v>80</v>
      </c>
      <c r="O790" s="5" t="str">
        <f>IF(B790="","",IFERROR(LOOKUP(2,1/('Call Log'!$C$2:$C$5000=B790),'Call Log'!$B$2:$B$5000),""))</f>
        <v/>
      </c>
      <c r="P790" s="5">
        <f>IF(B790="","",COUNTIFS('Call Log'!$C$2:$C$5000,B790,'Call Log'!$A$2:$A$5000,"&gt;="&amp;(TODAY()-WEEKDAY(TODAY(),2)+1)))</f>
        <v>0</v>
      </c>
      <c r="Q790" s="5">
        <f>IF(B790="","",COUNTIF('Call Log'!$C$2:$C$5000,B790))</f>
        <v>0</v>
      </c>
      <c r="R790" s="21" t="str">
        <f>IF(B790="","",IFERROR(IF(MAXIFS('Call Log'!$A$2:$A$5000,'Call Log'!$C$2:$C$5000,B790)=0,"",MAXIFS('Call Log'!$A$2:$A$5000,'Call Log'!$C$2:$C$5000,B790)),""))</f>
        <v/>
      </c>
      <c r="S790" s="5"/>
      <c r="T790" s="21"/>
      <c r="U790" s="21"/>
      <c r="V790" s="5"/>
      <c r="W790" s="20"/>
      <c r="X790" s="5"/>
      <c r="Y790" s="5"/>
      <c r="Z790" s="5"/>
      <c r="AA790" s="5"/>
    </row>
    <row r="791" ht="15.0" customHeight="1">
      <c r="A791" s="5" t="s">
        <v>4119</v>
      </c>
      <c r="B791" s="5" t="s">
        <v>4120</v>
      </c>
      <c r="C791" s="5"/>
      <c r="D791" s="5"/>
      <c r="E791" s="5">
        <v>3.0</v>
      </c>
      <c r="F791" s="20"/>
      <c r="G791" s="20"/>
      <c r="H791" s="5" t="s">
        <v>40</v>
      </c>
      <c r="I791" s="5" t="s">
        <v>865</v>
      </c>
      <c r="J791" s="5" t="s">
        <v>114</v>
      </c>
      <c r="K791" s="5" t="s">
        <v>4121</v>
      </c>
      <c r="L791" s="5"/>
      <c r="M791" s="5" t="s">
        <v>8</v>
      </c>
      <c r="N791" s="5" t="s">
        <v>80</v>
      </c>
      <c r="O791" s="5" t="str">
        <f>IF(B791="","",IFERROR(LOOKUP(2,1/('Call Log'!$C$2:$C$5000=B791),'Call Log'!$B$2:$B$5000),""))</f>
        <v/>
      </c>
      <c r="P791" s="5">
        <f>IF(B791="","",COUNTIFS('Call Log'!$C$2:$C$5000,B791,'Call Log'!$A$2:$A$5000,"&gt;="&amp;(TODAY()-WEEKDAY(TODAY(),2)+1)))</f>
        <v>0</v>
      </c>
      <c r="Q791" s="5">
        <f>IF(B791="","",COUNTIF('Call Log'!$C$2:$C$5000,B791))</f>
        <v>0</v>
      </c>
      <c r="R791" s="21" t="str">
        <f>IF(B791="","",IFERROR(IF(MAXIFS('Call Log'!$A$2:$A$5000,'Call Log'!$C$2:$C$5000,B791)=0,"",MAXIFS('Call Log'!$A$2:$A$5000,'Call Log'!$C$2:$C$5000,B791)),""))</f>
        <v/>
      </c>
      <c r="S791" s="5"/>
      <c r="T791" s="21"/>
      <c r="U791" s="21"/>
      <c r="V791" s="5"/>
      <c r="W791" s="20"/>
      <c r="X791" s="5"/>
      <c r="Y791" s="5"/>
      <c r="Z791" s="5"/>
      <c r="AA791" s="5"/>
    </row>
    <row r="792" ht="15.0" customHeight="1">
      <c r="A792" s="5" t="s">
        <v>4122</v>
      </c>
      <c r="B792" s="5" t="s">
        <v>4123</v>
      </c>
      <c r="C792" s="5"/>
      <c r="D792" s="5"/>
      <c r="E792" s="5"/>
      <c r="F792" s="20"/>
      <c r="G792" s="20"/>
      <c r="H792" s="5" t="s">
        <v>40</v>
      </c>
      <c r="I792" s="5" t="s">
        <v>370</v>
      </c>
      <c r="J792" s="5" t="s">
        <v>114</v>
      </c>
      <c r="K792" s="5" t="s">
        <v>4124</v>
      </c>
      <c r="L792" s="5"/>
      <c r="M792" s="5" t="s">
        <v>8</v>
      </c>
      <c r="N792" s="5" t="s">
        <v>80</v>
      </c>
      <c r="O792" s="5" t="str">
        <f>IF(B792="","",IFERROR(LOOKUP(2,1/('Call Log'!$C$2:$C$5000=B792),'Call Log'!$B$2:$B$5000),""))</f>
        <v/>
      </c>
      <c r="P792" s="5">
        <f>IF(B792="","",COUNTIFS('Call Log'!$C$2:$C$5000,B792,'Call Log'!$A$2:$A$5000,"&gt;="&amp;(TODAY()-WEEKDAY(TODAY(),2)+1)))</f>
        <v>0</v>
      </c>
      <c r="Q792" s="5">
        <f>IF(B792="","",COUNTIF('Call Log'!$C$2:$C$5000,B792))</f>
        <v>0</v>
      </c>
      <c r="R792" s="21" t="str">
        <f>IF(B792="","",IFERROR(IF(MAXIFS('Call Log'!$A$2:$A$5000,'Call Log'!$C$2:$C$5000,B792)=0,"",MAXIFS('Call Log'!$A$2:$A$5000,'Call Log'!$C$2:$C$5000,B792)),""))</f>
        <v/>
      </c>
      <c r="S792" s="5"/>
      <c r="T792" s="21"/>
      <c r="U792" s="21"/>
      <c r="V792" s="5"/>
      <c r="W792" s="20"/>
      <c r="X792" s="5"/>
      <c r="Y792" s="5"/>
      <c r="Z792" s="5"/>
      <c r="AA792" s="5"/>
    </row>
    <row r="793" ht="15.0" customHeight="1">
      <c r="A793" s="5" t="s">
        <v>4125</v>
      </c>
      <c r="B793" s="5" t="s">
        <v>4126</v>
      </c>
      <c r="C793" s="5"/>
      <c r="D793" s="5"/>
      <c r="E793" s="5"/>
      <c r="F793" s="20"/>
      <c r="G793" s="20"/>
      <c r="H793" s="5" t="s">
        <v>40</v>
      </c>
      <c r="I793" s="5" t="s">
        <v>129</v>
      </c>
      <c r="J793" s="5" t="s">
        <v>114</v>
      </c>
      <c r="K793" s="5" t="s">
        <v>4127</v>
      </c>
      <c r="L793" s="5"/>
      <c r="M793" s="5" t="s">
        <v>8</v>
      </c>
      <c r="N793" s="5" t="s">
        <v>80</v>
      </c>
      <c r="O793" s="5" t="str">
        <f>IF(B793="","",IFERROR(LOOKUP(2,1/('Call Log'!$C$2:$C$5000=B793),'Call Log'!$B$2:$B$5000),""))</f>
        <v/>
      </c>
      <c r="P793" s="5">
        <f>IF(B793="","",COUNTIFS('Call Log'!$C$2:$C$5000,B793,'Call Log'!$A$2:$A$5000,"&gt;="&amp;(TODAY()-WEEKDAY(TODAY(),2)+1)))</f>
        <v>0</v>
      </c>
      <c r="Q793" s="5">
        <f>IF(B793="","",COUNTIF('Call Log'!$C$2:$C$5000,B793))</f>
        <v>0</v>
      </c>
      <c r="R793" s="21" t="str">
        <f>IF(B793="","",IFERROR(IF(MAXIFS('Call Log'!$A$2:$A$5000,'Call Log'!$C$2:$C$5000,B793)=0,"",MAXIFS('Call Log'!$A$2:$A$5000,'Call Log'!$C$2:$C$5000,B793)),""))</f>
        <v/>
      </c>
      <c r="S793" s="5"/>
      <c r="T793" s="21"/>
      <c r="U793" s="21"/>
      <c r="V793" s="5"/>
      <c r="W793" s="20"/>
      <c r="X793" s="5"/>
      <c r="Y793" s="5"/>
      <c r="Z793" s="5"/>
      <c r="AA793" s="5"/>
    </row>
    <row r="794" ht="15.0" customHeight="1">
      <c r="A794" s="5" t="s">
        <v>4128</v>
      </c>
      <c r="B794" s="5" t="s">
        <v>4129</v>
      </c>
      <c r="C794" s="5"/>
      <c r="D794" s="5"/>
      <c r="E794" s="5"/>
      <c r="F794" s="20"/>
      <c r="G794" s="20"/>
      <c r="H794" s="5" t="s">
        <v>41</v>
      </c>
      <c r="I794" s="5" t="s">
        <v>865</v>
      </c>
      <c r="J794" s="5" t="s">
        <v>114</v>
      </c>
      <c r="K794" s="5" t="s">
        <v>4130</v>
      </c>
      <c r="L794" s="5"/>
      <c r="M794" s="5" t="s">
        <v>8</v>
      </c>
      <c r="N794" s="5" t="s">
        <v>80</v>
      </c>
      <c r="O794" s="5" t="str">
        <f>IF(B794="","",IFERROR(LOOKUP(2,1/('Call Log'!$C$2:$C$5000=B794),'Call Log'!$B$2:$B$5000),""))</f>
        <v/>
      </c>
      <c r="P794" s="5">
        <f>IF(B794="","",COUNTIFS('Call Log'!$C$2:$C$5000,B794,'Call Log'!$A$2:$A$5000,"&gt;="&amp;(TODAY()-WEEKDAY(TODAY(),2)+1)))</f>
        <v>0</v>
      </c>
      <c r="Q794" s="5">
        <f>IF(B794="","",COUNTIF('Call Log'!$C$2:$C$5000,B794))</f>
        <v>0</v>
      </c>
      <c r="R794" s="21" t="str">
        <f>IF(B794="","",IFERROR(IF(MAXIFS('Call Log'!$A$2:$A$5000,'Call Log'!$C$2:$C$5000,B794)=0,"",MAXIFS('Call Log'!$A$2:$A$5000,'Call Log'!$C$2:$C$5000,B794)),""))</f>
        <v/>
      </c>
      <c r="S794" s="5"/>
      <c r="T794" s="21"/>
      <c r="U794" s="21"/>
      <c r="V794" s="5"/>
      <c r="W794" s="20"/>
      <c r="X794" s="5"/>
      <c r="Y794" s="5"/>
      <c r="Z794" s="5"/>
      <c r="AA794" s="5"/>
    </row>
    <row r="795" ht="15.0" customHeight="1">
      <c r="A795" s="5" t="s">
        <v>4131</v>
      </c>
      <c r="B795" s="5" t="s">
        <v>4132</v>
      </c>
      <c r="C795" s="5"/>
      <c r="D795" s="5"/>
      <c r="E795" s="5"/>
      <c r="F795" s="20"/>
      <c r="G795" s="20"/>
      <c r="H795" s="5" t="s">
        <v>40</v>
      </c>
      <c r="I795" s="5" t="s">
        <v>161</v>
      </c>
      <c r="J795" s="5" t="s">
        <v>114</v>
      </c>
      <c r="K795" s="5" t="s">
        <v>4133</v>
      </c>
      <c r="L795" s="5"/>
      <c r="M795" s="5" t="s">
        <v>8</v>
      </c>
      <c r="N795" s="5" t="s">
        <v>80</v>
      </c>
      <c r="O795" s="5" t="str">
        <f>IF(B795="","",IFERROR(LOOKUP(2,1/('Call Log'!$C$2:$C$5000=B795),'Call Log'!$B$2:$B$5000),""))</f>
        <v/>
      </c>
      <c r="P795" s="5">
        <f>IF(B795="","",COUNTIFS('Call Log'!$C$2:$C$5000,B795,'Call Log'!$A$2:$A$5000,"&gt;="&amp;(TODAY()-WEEKDAY(TODAY(),2)+1)))</f>
        <v>0</v>
      </c>
      <c r="Q795" s="5">
        <f>IF(B795="","",COUNTIF('Call Log'!$C$2:$C$5000,B795))</f>
        <v>0</v>
      </c>
      <c r="R795" s="21" t="str">
        <f>IF(B795="","",IFERROR(IF(MAXIFS('Call Log'!$A$2:$A$5000,'Call Log'!$C$2:$C$5000,B795)=0,"",MAXIFS('Call Log'!$A$2:$A$5000,'Call Log'!$C$2:$C$5000,B795)),""))</f>
        <v/>
      </c>
      <c r="S795" s="5"/>
      <c r="T795" s="21"/>
      <c r="U795" s="21"/>
      <c r="V795" s="5"/>
      <c r="W795" s="20"/>
      <c r="X795" s="5"/>
      <c r="Y795" s="5"/>
      <c r="Z795" s="5"/>
      <c r="AA795" s="5"/>
    </row>
    <row r="796" ht="15.0" customHeight="1">
      <c r="A796" s="5" t="s">
        <v>4134</v>
      </c>
      <c r="B796" s="5" t="s">
        <v>4135</v>
      </c>
      <c r="C796" s="5"/>
      <c r="D796" s="5" t="s">
        <v>4136</v>
      </c>
      <c r="E796" s="5"/>
      <c r="F796" s="20"/>
      <c r="G796" s="20"/>
      <c r="H796" s="5" t="s">
        <v>40</v>
      </c>
      <c r="I796" s="5" t="s">
        <v>865</v>
      </c>
      <c r="J796" s="5" t="s">
        <v>114</v>
      </c>
      <c r="K796" s="5" t="s">
        <v>4137</v>
      </c>
      <c r="L796" s="5"/>
      <c r="M796" s="5" t="s">
        <v>8</v>
      </c>
      <c r="N796" s="5" t="s">
        <v>80</v>
      </c>
      <c r="O796" s="5" t="str">
        <f>IF(B796="","",IFERROR(LOOKUP(2,1/('Call Log'!$C$2:$C$5000=B796),'Call Log'!$B$2:$B$5000),""))</f>
        <v/>
      </c>
      <c r="P796" s="5">
        <f>IF(B796="","",COUNTIFS('Call Log'!$C$2:$C$5000,B796,'Call Log'!$A$2:$A$5000,"&gt;="&amp;(TODAY()-WEEKDAY(TODAY(),2)+1)))</f>
        <v>0</v>
      </c>
      <c r="Q796" s="5">
        <f>IF(B796="","",COUNTIF('Call Log'!$C$2:$C$5000,B796))</f>
        <v>0</v>
      </c>
      <c r="R796" s="21" t="str">
        <f>IF(B796="","",IFERROR(IF(MAXIFS('Call Log'!$A$2:$A$5000,'Call Log'!$C$2:$C$5000,B796)=0,"",MAXIFS('Call Log'!$A$2:$A$5000,'Call Log'!$C$2:$C$5000,B796)),""))</f>
        <v/>
      </c>
      <c r="S796" s="5"/>
      <c r="T796" s="21"/>
      <c r="U796" s="21"/>
      <c r="V796" s="5"/>
      <c r="W796" s="20"/>
      <c r="X796" s="5"/>
      <c r="Y796" s="5"/>
      <c r="Z796" s="5" t="s">
        <v>132</v>
      </c>
      <c r="AA796" s="5" t="s">
        <v>4138</v>
      </c>
    </row>
    <row r="797" ht="15.0" customHeight="1">
      <c r="A797" s="5" t="s">
        <v>4139</v>
      </c>
      <c r="B797" s="5" t="s">
        <v>4140</v>
      </c>
      <c r="C797" s="5"/>
      <c r="D797" s="5"/>
      <c r="E797" s="5">
        <v>1.0</v>
      </c>
      <c r="F797" s="20"/>
      <c r="G797" s="20"/>
      <c r="H797" s="5" t="s">
        <v>40</v>
      </c>
      <c r="I797" s="5" t="s">
        <v>857</v>
      </c>
      <c r="J797" s="5" t="s">
        <v>114</v>
      </c>
      <c r="K797" s="5" t="s">
        <v>4141</v>
      </c>
      <c r="L797" s="5"/>
      <c r="M797" s="5" t="s">
        <v>8</v>
      </c>
      <c r="N797" s="5" t="s">
        <v>80</v>
      </c>
      <c r="O797" s="5" t="str">
        <f>IF(B797="","",IFERROR(LOOKUP(2,1/('Call Log'!$C$2:$C$5000=B797),'Call Log'!$B$2:$B$5000),""))</f>
        <v/>
      </c>
      <c r="P797" s="5">
        <f>IF(B797="","",COUNTIFS('Call Log'!$C$2:$C$5000,B797,'Call Log'!$A$2:$A$5000,"&gt;="&amp;(TODAY()-WEEKDAY(TODAY(),2)+1)))</f>
        <v>0</v>
      </c>
      <c r="Q797" s="5">
        <f>IF(B797="","",COUNTIF('Call Log'!$C$2:$C$5000,B797))</f>
        <v>0</v>
      </c>
      <c r="R797" s="21" t="str">
        <f>IF(B797="","",IFERROR(IF(MAXIFS('Call Log'!$A$2:$A$5000,'Call Log'!$C$2:$C$5000,B797)=0,"",MAXIFS('Call Log'!$A$2:$A$5000,'Call Log'!$C$2:$C$5000,B797)),""))</f>
        <v/>
      </c>
      <c r="S797" s="5"/>
      <c r="T797" s="21"/>
      <c r="U797" s="21"/>
      <c r="V797" s="5"/>
      <c r="W797" s="20"/>
      <c r="X797" s="5"/>
      <c r="Y797" s="5"/>
      <c r="Z797" s="5"/>
      <c r="AA797" s="5"/>
    </row>
    <row r="798" ht="15.0" customHeight="1">
      <c r="A798" s="5" t="s">
        <v>4142</v>
      </c>
      <c r="B798" s="5" t="s">
        <v>4143</v>
      </c>
      <c r="C798" s="5"/>
      <c r="D798" s="5"/>
      <c r="E798" s="5"/>
      <c r="F798" s="20"/>
      <c r="G798" s="20"/>
      <c r="H798" s="5" t="s">
        <v>41</v>
      </c>
      <c r="I798" s="5" t="s">
        <v>122</v>
      </c>
      <c r="J798" s="5" t="s">
        <v>114</v>
      </c>
      <c r="K798" s="5" t="s">
        <v>4144</v>
      </c>
      <c r="L798" s="5"/>
      <c r="M798" s="5" t="s">
        <v>8</v>
      </c>
      <c r="N798" s="5" t="s">
        <v>80</v>
      </c>
      <c r="O798" s="5" t="str">
        <f>IF(B798="","",IFERROR(LOOKUP(2,1/('Call Log'!$C$2:$C$5000=B798),'Call Log'!$B$2:$B$5000),""))</f>
        <v/>
      </c>
      <c r="P798" s="5">
        <f>IF(B798="","",COUNTIFS('Call Log'!$C$2:$C$5000,B798,'Call Log'!$A$2:$A$5000,"&gt;="&amp;(TODAY()-WEEKDAY(TODAY(),2)+1)))</f>
        <v>0</v>
      </c>
      <c r="Q798" s="5">
        <f>IF(B798="","",COUNTIF('Call Log'!$C$2:$C$5000,B798))</f>
        <v>0</v>
      </c>
      <c r="R798" s="21" t="str">
        <f>IF(B798="","",IFERROR(IF(MAXIFS('Call Log'!$A$2:$A$5000,'Call Log'!$C$2:$C$5000,B798)=0,"",MAXIFS('Call Log'!$A$2:$A$5000,'Call Log'!$C$2:$C$5000,B798)),""))</f>
        <v/>
      </c>
      <c r="S798" s="5"/>
      <c r="T798" s="21"/>
      <c r="U798" s="21"/>
      <c r="V798" s="5"/>
      <c r="W798" s="20"/>
      <c r="X798" s="5"/>
      <c r="Y798" s="5"/>
      <c r="Z798" s="5"/>
      <c r="AA798" s="5"/>
    </row>
    <row r="799" ht="15.0" customHeight="1">
      <c r="A799" s="5" t="s">
        <v>4145</v>
      </c>
      <c r="B799" s="5" t="s">
        <v>4146</v>
      </c>
      <c r="C799" s="5"/>
      <c r="D799" s="5"/>
      <c r="E799" s="5"/>
      <c r="F799" s="20"/>
      <c r="G799" s="20"/>
      <c r="H799" s="5" t="s">
        <v>41</v>
      </c>
      <c r="I799" s="5" t="s">
        <v>1313</v>
      </c>
      <c r="J799" s="5" t="s">
        <v>114</v>
      </c>
      <c r="K799" s="5" t="s">
        <v>4147</v>
      </c>
      <c r="L799" s="5"/>
      <c r="M799" s="5" t="s">
        <v>8</v>
      </c>
      <c r="N799" s="5" t="s">
        <v>80</v>
      </c>
      <c r="O799" s="5" t="str">
        <f>IF(B799="","",IFERROR(LOOKUP(2,1/('Call Log'!$C$2:$C$5000=B799),'Call Log'!$B$2:$B$5000),""))</f>
        <v/>
      </c>
      <c r="P799" s="5">
        <f>IF(B799="","",COUNTIFS('Call Log'!$C$2:$C$5000,B799,'Call Log'!$A$2:$A$5000,"&gt;="&amp;(TODAY()-WEEKDAY(TODAY(),2)+1)))</f>
        <v>0</v>
      </c>
      <c r="Q799" s="5">
        <f>IF(B799="","",COUNTIF('Call Log'!$C$2:$C$5000,B799))</f>
        <v>0</v>
      </c>
      <c r="R799" s="21" t="str">
        <f>IF(B799="","",IFERROR(IF(MAXIFS('Call Log'!$A$2:$A$5000,'Call Log'!$C$2:$C$5000,B799)=0,"",MAXIFS('Call Log'!$A$2:$A$5000,'Call Log'!$C$2:$C$5000,B799)),""))</f>
        <v/>
      </c>
      <c r="S799" s="5"/>
      <c r="T799" s="21"/>
      <c r="U799" s="21"/>
      <c r="V799" s="5"/>
      <c r="W799" s="20"/>
      <c r="X799" s="5"/>
      <c r="Y799" s="5"/>
      <c r="Z799" s="5"/>
      <c r="AA799" s="5"/>
    </row>
    <row r="800" ht="15.0" customHeight="1">
      <c r="A800" s="5" t="s">
        <v>4148</v>
      </c>
      <c r="B800" s="5" t="s">
        <v>4149</v>
      </c>
      <c r="C800" s="5"/>
      <c r="D800" s="5"/>
      <c r="E800" s="5"/>
      <c r="F800" s="20"/>
      <c r="G800" s="20"/>
      <c r="H800" s="5" t="s">
        <v>40</v>
      </c>
      <c r="I800" s="5" t="s">
        <v>113</v>
      </c>
      <c r="J800" s="5" t="s">
        <v>114</v>
      </c>
      <c r="K800" s="5" t="s">
        <v>4150</v>
      </c>
      <c r="L800" s="5"/>
      <c r="M800" s="5" t="s">
        <v>8</v>
      </c>
      <c r="N800" s="5" t="s">
        <v>80</v>
      </c>
      <c r="O800" s="5" t="str">
        <f>IF(B800="","",IFERROR(LOOKUP(2,1/('Call Log'!$C$2:$C$5000=B800),'Call Log'!$B$2:$B$5000),""))</f>
        <v/>
      </c>
      <c r="P800" s="5">
        <f>IF(B800="","",COUNTIFS('Call Log'!$C$2:$C$5000,B800,'Call Log'!$A$2:$A$5000,"&gt;="&amp;(TODAY()-WEEKDAY(TODAY(),2)+1)))</f>
        <v>0</v>
      </c>
      <c r="Q800" s="5">
        <f>IF(B800="","",COUNTIF('Call Log'!$C$2:$C$5000,B800))</f>
        <v>0</v>
      </c>
      <c r="R800" s="21" t="str">
        <f>IF(B800="","",IFERROR(IF(MAXIFS('Call Log'!$A$2:$A$5000,'Call Log'!$C$2:$C$5000,B800)=0,"",MAXIFS('Call Log'!$A$2:$A$5000,'Call Log'!$C$2:$C$5000,B800)),""))</f>
        <v/>
      </c>
      <c r="S800" s="5"/>
      <c r="T800" s="21"/>
      <c r="U800" s="21"/>
      <c r="V800" s="5"/>
      <c r="W800" s="20"/>
      <c r="X800" s="5"/>
      <c r="Y800" s="5"/>
      <c r="Z800" s="5"/>
      <c r="AA800" s="5"/>
    </row>
    <row r="801" ht="15.0" customHeight="1">
      <c r="A801" s="5" t="s">
        <v>4151</v>
      </c>
      <c r="B801" s="5" t="s">
        <v>4152</v>
      </c>
      <c r="C801" s="5"/>
      <c r="D801" s="5"/>
      <c r="E801" s="5"/>
      <c r="F801" s="20"/>
      <c r="G801" s="20"/>
      <c r="H801" s="5" t="s">
        <v>41</v>
      </c>
      <c r="I801" s="5" t="s">
        <v>129</v>
      </c>
      <c r="J801" s="5" t="s">
        <v>114</v>
      </c>
      <c r="K801" s="5" t="s">
        <v>4153</v>
      </c>
      <c r="L801" s="5"/>
      <c r="M801" s="5" t="s">
        <v>8</v>
      </c>
      <c r="N801" s="5" t="s">
        <v>80</v>
      </c>
      <c r="O801" s="5" t="str">
        <f>IF(B801="","",IFERROR(LOOKUP(2,1/('Call Log'!$C$2:$C$5000=B801),'Call Log'!$B$2:$B$5000),""))</f>
        <v/>
      </c>
      <c r="P801" s="5">
        <f>IF(B801="","",COUNTIFS('Call Log'!$C$2:$C$5000,B801,'Call Log'!$A$2:$A$5000,"&gt;="&amp;(TODAY()-WEEKDAY(TODAY(),2)+1)))</f>
        <v>0</v>
      </c>
      <c r="Q801" s="5">
        <f>IF(B801="","",COUNTIF('Call Log'!$C$2:$C$5000,B801))</f>
        <v>0</v>
      </c>
      <c r="R801" s="21" t="str">
        <f>IF(B801="","",IFERROR(IF(MAXIFS('Call Log'!$A$2:$A$5000,'Call Log'!$C$2:$C$5000,B801)=0,"",MAXIFS('Call Log'!$A$2:$A$5000,'Call Log'!$C$2:$C$5000,B801)),""))</f>
        <v/>
      </c>
      <c r="S801" s="5"/>
      <c r="T801" s="21"/>
      <c r="U801" s="21"/>
      <c r="V801" s="5"/>
      <c r="W801" s="20"/>
      <c r="X801" s="5"/>
      <c r="Y801" s="5"/>
      <c r="Z801" s="5"/>
      <c r="AA801" s="5"/>
    </row>
    <row r="802" ht="15.0" customHeight="1">
      <c r="A802" s="5" t="s">
        <v>4154</v>
      </c>
      <c r="B802" s="5" t="s">
        <v>4155</v>
      </c>
      <c r="C802" s="5"/>
      <c r="D802" s="5"/>
      <c r="E802" s="5"/>
      <c r="F802" s="20"/>
      <c r="G802" s="20"/>
      <c r="H802" s="5" t="s">
        <v>40</v>
      </c>
      <c r="I802" s="5" t="s">
        <v>865</v>
      </c>
      <c r="J802" s="5" t="s">
        <v>114</v>
      </c>
      <c r="K802" s="5" t="s">
        <v>4156</v>
      </c>
      <c r="L802" s="5"/>
      <c r="M802" s="5" t="s">
        <v>8</v>
      </c>
      <c r="N802" s="5" t="s">
        <v>80</v>
      </c>
      <c r="O802" s="5" t="str">
        <f>IF(B802="","",IFERROR(LOOKUP(2,1/('Call Log'!$C$2:$C$5000=B802),'Call Log'!$B$2:$B$5000),""))</f>
        <v/>
      </c>
      <c r="P802" s="5">
        <f>IF(B802="","",COUNTIFS('Call Log'!$C$2:$C$5000,B802,'Call Log'!$A$2:$A$5000,"&gt;="&amp;(TODAY()-WEEKDAY(TODAY(),2)+1)))</f>
        <v>0</v>
      </c>
      <c r="Q802" s="5">
        <f>IF(B802="","",COUNTIF('Call Log'!$C$2:$C$5000,B802))</f>
        <v>0</v>
      </c>
      <c r="R802" s="21" t="str">
        <f>IF(B802="","",IFERROR(IF(MAXIFS('Call Log'!$A$2:$A$5000,'Call Log'!$C$2:$C$5000,B802)=0,"",MAXIFS('Call Log'!$A$2:$A$5000,'Call Log'!$C$2:$C$5000,B802)),""))</f>
        <v/>
      </c>
      <c r="S802" s="5"/>
      <c r="T802" s="21"/>
      <c r="U802" s="21"/>
      <c r="V802" s="5"/>
      <c r="W802" s="20"/>
      <c r="X802" s="5"/>
      <c r="Y802" s="5"/>
      <c r="Z802" s="5"/>
      <c r="AA802" s="5"/>
    </row>
    <row r="803" ht="15.0" customHeight="1">
      <c r="A803" s="5" t="s">
        <v>4157</v>
      </c>
      <c r="B803" s="5" t="s">
        <v>4158</v>
      </c>
      <c r="C803" s="5"/>
      <c r="D803" s="5"/>
      <c r="E803" s="5"/>
      <c r="F803" s="20"/>
      <c r="G803" s="20"/>
      <c r="H803" s="5" t="s">
        <v>40</v>
      </c>
      <c r="I803" s="5" t="s">
        <v>422</v>
      </c>
      <c r="J803" s="5" t="s">
        <v>114</v>
      </c>
      <c r="K803" s="5" t="s">
        <v>4159</v>
      </c>
      <c r="L803" s="5"/>
      <c r="M803" s="5" t="s">
        <v>8</v>
      </c>
      <c r="N803" s="5" t="s">
        <v>80</v>
      </c>
      <c r="O803" s="5" t="str">
        <f>IF(B803="","",IFERROR(LOOKUP(2,1/('Call Log'!$C$2:$C$5000=B803),'Call Log'!$B$2:$B$5000),""))</f>
        <v/>
      </c>
      <c r="P803" s="5">
        <f>IF(B803="","",COUNTIFS('Call Log'!$C$2:$C$5000,B803,'Call Log'!$A$2:$A$5000,"&gt;="&amp;(TODAY()-WEEKDAY(TODAY(),2)+1)))</f>
        <v>0</v>
      </c>
      <c r="Q803" s="5">
        <f>IF(B803="","",COUNTIF('Call Log'!$C$2:$C$5000,B803))</f>
        <v>0</v>
      </c>
      <c r="R803" s="21" t="str">
        <f>IF(B803="","",IFERROR(IF(MAXIFS('Call Log'!$A$2:$A$5000,'Call Log'!$C$2:$C$5000,B803)=0,"",MAXIFS('Call Log'!$A$2:$A$5000,'Call Log'!$C$2:$C$5000,B803)),""))</f>
        <v/>
      </c>
      <c r="S803" s="5"/>
      <c r="T803" s="21"/>
      <c r="U803" s="21"/>
      <c r="V803" s="5"/>
      <c r="W803" s="20"/>
      <c r="X803" s="5"/>
      <c r="Y803" s="5"/>
      <c r="Z803" s="5"/>
      <c r="AA803" s="5"/>
    </row>
    <row r="804" ht="15.0" customHeight="1">
      <c r="A804" s="5" t="s">
        <v>4160</v>
      </c>
      <c r="B804" s="5" t="s">
        <v>4161</v>
      </c>
      <c r="C804" s="5"/>
      <c r="D804" s="5"/>
      <c r="E804" s="5"/>
      <c r="F804" s="20"/>
      <c r="G804" s="20"/>
      <c r="H804" s="5" t="s">
        <v>40</v>
      </c>
      <c r="I804" s="5" t="s">
        <v>1313</v>
      </c>
      <c r="J804" s="5" t="s">
        <v>114</v>
      </c>
      <c r="K804" s="5" t="s">
        <v>4162</v>
      </c>
      <c r="L804" s="5"/>
      <c r="M804" s="5" t="s">
        <v>8</v>
      </c>
      <c r="N804" s="5" t="s">
        <v>80</v>
      </c>
      <c r="O804" s="5" t="str">
        <f>IF(B804="","",IFERROR(LOOKUP(2,1/('Call Log'!$C$2:$C$5000=B804),'Call Log'!$B$2:$B$5000),""))</f>
        <v/>
      </c>
      <c r="P804" s="5">
        <f>IF(B804="","",COUNTIFS('Call Log'!$C$2:$C$5000,B804,'Call Log'!$A$2:$A$5000,"&gt;="&amp;(TODAY()-WEEKDAY(TODAY(),2)+1)))</f>
        <v>0</v>
      </c>
      <c r="Q804" s="5">
        <f>IF(B804="","",COUNTIF('Call Log'!$C$2:$C$5000,B804))</f>
        <v>0</v>
      </c>
      <c r="R804" s="21" t="str">
        <f>IF(B804="","",IFERROR(IF(MAXIFS('Call Log'!$A$2:$A$5000,'Call Log'!$C$2:$C$5000,B804)=0,"",MAXIFS('Call Log'!$A$2:$A$5000,'Call Log'!$C$2:$C$5000,B804)),""))</f>
        <v/>
      </c>
      <c r="S804" s="5"/>
      <c r="T804" s="21"/>
      <c r="U804" s="21"/>
      <c r="V804" s="5"/>
      <c r="W804" s="20"/>
      <c r="X804" s="5"/>
      <c r="Y804" s="5"/>
      <c r="Z804" s="5"/>
      <c r="AA804" s="5"/>
    </row>
    <row r="805" ht="15.0" customHeight="1">
      <c r="A805" s="5" t="s">
        <v>4163</v>
      </c>
      <c r="B805" s="5" t="s">
        <v>4164</v>
      </c>
      <c r="C805" s="5"/>
      <c r="D805" s="5"/>
      <c r="E805" s="5"/>
      <c r="F805" s="20"/>
      <c r="G805" s="20"/>
      <c r="H805" s="5" t="s">
        <v>40</v>
      </c>
      <c r="I805" s="5" t="s">
        <v>198</v>
      </c>
      <c r="J805" s="5" t="s">
        <v>114</v>
      </c>
      <c r="K805" s="5" t="s">
        <v>4165</v>
      </c>
      <c r="L805" s="5"/>
      <c r="M805" s="5" t="s">
        <v>8</v>
      </c>
      <c r="N805" s="5" t="s">
        <v>80</v>
      </c>
      <c r="O805" s="5" t="str">
        <f>IF(B805="","",IFERROR(LOOKUP(2,1/('Call Log'!$C$2:$C$5000=B805),'Call Log'!$B$2:$B$5000),""))</f>
        <v/>
      </c>
      <c r="P805" s="5">
        <f>IF(B805="","",COUNTIFS('Call Log'!$C$2:$C$5000,B805,'Call Log'!$A$2:$A$5000,"&gt;="&amp;(TODAY()-WEEKDAY(TODAY(),2)+1)))</f>
        <v>0</v>
      </c>
      <c r="Q805" s="5">
        <f>IF(B805="","",COUNTIF('Call Log'!$C$2:$C$5000,B805))</f>
        <v>0</v>
      </c>
      <c r="R805" s="21" t="str">
        <f>IF(B805="","",IFERROR(IF(MAXIFS('Call Log'!$A$2:$A$5000,'Call Log'!$C$2:$C$5000,B805)=0,"",MAXIFS('Call Log'!$A$2:$A$5000,'Call Log'!$C$2:$C$5000,B805)),""))</f>
        <v/>
      </c>
      <c r="S805" s="5"/>
      <c r="T805" s="21"/>
      <c r="U805" s="21"/>
      <c r="V805" s="5"/>
      <c r="W805" s="20"/>
      <c r="X805" s="5"/>
      <c r="Y805" s="5"/>
      <c r="Z805" s="5"/>
      <c r="AA805" s="5"/>
    </row>
    <row r="806" ht="15.0" customHeight="1">
      <c r="A806" s="5" t="s">
        <v>4166</v>
      </c>
      <c r="B806" s="5" t="s">
        <v>4167</v>
      </c>
      <c r="C806" s="5"/>
      <c r="D806" s="5"/>
      <c r="E806" s="5"/>
      <c r="F806" s="20"/>
      <c r="G806" s="20"/>
      <c r="H806" s="5" t="s">
        <v>41</v>
      </c>
      <c r="I806" s="5" t="s">
        <v>231</v>
      </c>
      <c r="J806" s="5" t="s">
        <v>114</v>
      </c>
      <c r="K806" s="5" t="s">
        <v>4168</v>
      </c>
      <c r="L806" s="5"/>
      <c r="M806" s="5" t="s">
        <v>8</v>
      </c>
      <c r="N806" s="5" t="s">
        <v>80</v>
      </c>
      <c r="O806" s="5" t="str">
        <f>IF(B806="","",IFERROR(LOOKUP(2,1/('Call Log'!$C$2:$C$5000=B806),'Call Log'!$B$2:$B$5000),""))</f>
        <v/>
      </c>
      <c r="P806" s="5">
        <f>IF(B806="","",COUNTIFS('Call Log'!$C$2:$C$5000,B806,'Call Log'!$A$2:$A$5000,"&gt;="&amp;(TODAY()-WEEKDAY(TODAY(),2)+1)))</f>
        <v>0</v>
      </c>
      <c r="Q806" s="5">
        <f>IF(B806="","",COUNTIF('Call Log'!$C$2:$C$5000,B806))</f>
        <v>0</v>
      </c>
      <c r="R806" s="21" t="str">
        <f>IF(B806="","",IFERROR(IF(MAXIFS('Call Log'!$A$2:$A$5000,'Call Log'!$C$2:$C$5000,B806)=0,"",MAXIFS('Call Log'!$A$2:$A$5000,'Call Log'!$C$2:$C$5000,B806)),""))</f>
        <v/>
      </c>
      <c r="S806" s="5"/>
      <c r="T806" s="21"/>
      <c r="U806" s="21"/>
      <c r="V806" s="5"/>
      <c r="W806" s="20"/>
      <c r="X806" s="5"/>
      <c r="Y806" s="5"/>
      <c r="Z806" s="5"/>
      <c r="AA806" s="5"/>
    </row>
    <row r="807" ht="15.0" customHeight="1">
      <c r="A807" s="5" t="s">
        <v>4169</v>
      </c>
      <c r="B807" s="5" t="s">
        <v>4170</v>
      </c>
      <c r="C807" s="5"/>
      <c r="D807" s="5"/>
      <c r="E807" s="5">
        <v>1.0</v>
      </c>
      <c r="F807" s="20"/>
      <c r="G807" s="20"/>
      <c r="H807" s="5" t="s">
        <v>40</v>
      </c>
      <c r="I807" s="5" t="s">
        <v>1093</v>
      </c>
      <c r="J807" s="5" t="s">
        <v>114</v>
      </c>
      <c r="K807" s="5" t="s">
        <v>4171</v>
      </c>
      <c r="L807" s="5"/>
      <c r="M807" s="5" t="s">
        <v>8</v>
      </c>
      <c r="N807" s="5" t="s">
        <v>80</v>
      </c>
      <c r="O807" s="5" t="str">
        <f>IF(B807="","",IFERROR(LOOKUP(2,1/('Call Log'!$C$2:$C$5000=B807),'Call Log'!$B$2:$B$5000),""))</f>
        <v/>
      </c>
      <c r="P807" s="5">
        <f>IF(B807="","",COUNTIFS('Call Log'!$C$2:$C$5000,B807,'Call Log'!$A$2:$A$5000,"&gt;="&amp;(TODAY()-WEEKDAY(TODAY(),2)+1)))</f>
        <v>0</v>
      </c>
      <c r="Q807" s="5">
        <f>IF(B807="","",COUNTIF('Call Log'!$C$2:$C$5000,B807))</f>
        <v>0</v>
      </c>
      <c r="R807" s="21" t="str">
        <f>IF(B807="","",IFERROR(IF(MAXIFS('Call Log'!$A$2:$A$5000,'Call Log'!$C$2:$C$5000,B807)=0,"",MAXIFS('Call Log'!$A$2:$A$5000,'Call Log'!$C$2:$C$5000,B807)),""))</f>
        <v/>
      </c>
      <c r="S807" s="5"/>
      <c r="T807" s="21"/>
      <c r="U807" s="21"/>
      <c r="V807" s="5"/>
      <c r="W807" s="20"/>
      <c r="X807" s="5"/>
      <c r="Y807" s="5"/>
      <c r="Z807" s="5"/>
      <c r="AA807" s="5"/>
    </row>
    <row r="808" ht="15.0" customHeight="1">
      <c r="A808" s="5" t="s">
        <v>4172</v>
      </c>
      <c r="B808" s="5" t="s">
        <v>4173</v>
      </c>
      <c r="C808" s="5"/>
      <c r="D808" s="5"/>
      <c r="E808" s="5"/>
      <c r="F808" s="20"/>
      <c r="G808" s="20"/>
      <c r="H808" s="5" t="s">
        <v>40</v>
      </c>
      <c r="I808" s="5" t="s">
        <v>184</v>
      </c>
      <c r="J808" s="5" t="s">
        <v>114</v>
      </c>
      <c r="K808" s="5" t="s">
        <v>4174</v>
      </c>
      <c r="L808" s="5"/>
      <c r="M808" s="5" t="s">
        <v>8</v>
      </c>
      <c r="N808" s="5" t="s">
        <v>80</v>
      </c>
      <c r="O808" s="5" t="str">
        <f>IF(B808="","",IFERROR(LOOKUP(2,1/('Call Log'!$C$2:$C$5000=B808),'Call Log'!$B$2:$B$5000),""))</f>
        <v/>
      </c>
      <c r="P808" s="5">
        <f>IF(B808="","",COUNTIFS('Call Log'!$C$2:$C$5000,B808,'Call Log'!$A$2:$A$5000,"&gt;="&amp;(TODAY()-WEEKDAY(TODAY(),2)+1)))</f>
        <v>0</v>
      </c>
      <c r="Q808" s="5">
        <f>IF(B808="","",COUNTIF('Call Log'!$C$2:$C$5000,B808))</f>
        <v>0</v>
      </c>
      <c r="R808" s="21" t="str">
        <f>IF(B808="","",IFERROR(IF(MAXIFS('Call Log'!$A$2:$A$5000,'Call Log'!$C$2:$C$5000,B808)=0,"",MAXIFS('Call Log'!$A$2:$A$5000,'Call Log'!$C$2:$C$5000,B808)),""))</f>
        <v/>
      </c>
      <c r="S808" s="5"/>
      <c r="T808" s="21"/>
      <c r="U808" s="21"/>
      <c r="V808" s="5"/>
      <c r="W808" s="20"/>
      <c r="X808" s="5"/>
      <c r="Y808" s="5"/>
      <c r="Z808" s="5"/>
      <c r="AA808" s="5"/>
    </row>
    <row r="809" ht="15.0" customHeight="1">
      <c r="A809" s="5" t="s">
        <v>4175</v>
      </c>
      <c r="B809" s="5" t="s">
        <v>4176</v>
      </c>
      <c r="C809" s="5"/>
      <c r="D809" s="5"/>
      <c r="E809" s="5"/>
      <c r="F809" s="20"/>
      <c r="G809" s="20"/>
      <c r="H809" s="5" t="s">
        <v>40</v>
      </c>
      <c r="I809" s="5" t="s">
        <v>206</v>
      </c>
      <c r="J809" s="5" t="s">
        <v>114</v>
      </c>
      <c r="K809" s="5" t="s">
        <v>4177</v>
      </c>
      <c r="L809" s="5"/>
      <c r="M809" s="5" t="s">
        <v>8</v>
      </c>
      <c r="N809" s="5" t="s">
        <v>80</v>
      </c>
      <c r="O809" s="5" t="str">
        <f>IF(B809="","",IFERROR(LOOKUP(2,1/('Call Log'!$C$2:$C$5000=B809),'Call Log'!$B$2:$B$5000),""))</f>
        <v/>
      </c>
      <c r="P809" s="5">
        <f>IF(B809="","",COUNTIFS('Call Log'!$C$2:$C$5000,B809,'Call Log'!$A$2:$A$5000,"&gt;="&amp;(TODAY()-WEEKDAY(TODAY(),2)+1)))</f>
        <v>0</v>
      </c>
      <c r="Q809" s="5">
        <f>IF(B809="","",COUNTIF('Call Log'!$C$2:$C$5000,B809))</f>
        <v>0</v>
      </c>
      <c r="R809" s="21" t="str">
        <f>IF(B809="","",IFERROR(IF(MAXIFS('Call Log'!$A$2:$A$5000,'Call Log'!$C$2:$C$5000,B809)=0,"",MAXIFS('Call Log'!$A$2:$A$5000,'Call Log'!$C$2:$C$5000,B809)),""))</f>
        <v/>
      </c>
      <c r="S809" s="5"/>
      <c r="T809" s="21"/>
      <c r="U809" s="21"/>
      <c r="V809" s="5"/>
      <c r="W809" s="20"/>
      <c r="X809" s="5"/>
      <c r="Y809" s="5"/>
      <c r="Z809" s="5"/>
      <c r="AA809" s="5"/>
    </row>
    <row r="810" ht="15.0" customHeight="1">
      <c r="A810" s="5" t="s">
        <v>4178</v>
      </c>
      <c r="B810" s="5" t="s">
        <v>4179</v>
      </c>
      <c r="C810" s="5"/>
      <c r="D810" s="5"/>
      <c r="E810" s="5"/>
      <c r="F810" s="20"/>
      <c r="G810" s="20"/>
      <c r="H810" s="5" t="s">
        <v>41</v>
      </c>
      <c r="I810" s="5" t="s">
        <v>146</v>
      </c>
      <c r="J810" s="5" t="s">
        <v>114</v>
      </c>
      <c r="K810" s="5" t="s">
        <v>4180</v>
      </c>
      <c r="L810" s="5"/>
      <c r="M810" s="5" t="s">
        <v>8</v>
      </c>
      <c r="N810" s="5" t="s">
        <v>80</v>
      </c>
      <c r="O810" s="5" t="str">
        <f>IF(B810="","",IFERROR(LOOKUP(2,1/('Call Log'!$C$2:$C$5000=B810),'Call Log'!$B$2:$B$5000),""))</f>
        <v/>
      </c>
      <c r="P810" s="5">
        <f>IF(B810="","",COUNTIFS('Call Log'!$C$2:$C$5000,B810,'Call Log'!$A$2:$A$5000,"&gt;="&amp;(TODAY()-WEEKDAY(TODAY(),2)+1)))</f>
        <v>0</v>
      </c>
      <c r="Q810" s="5">
        <f>IF(B810="","",COUNTIF('Call Log'!$C$2:$C$5000,B810))</f>
        <v>0</v>
      </c>
      <c r="R810" s="21" t="str">
        <f>IF(B810="","",IFERROR(IF(MAXIFS('Call Log'!$A$2:$A$5000,'Call Log'!$C$2:$C$5000,B810)=0,"",MAXIFS('Call Log'!$A$2:$A$5000,'Call Log'!$C$2:$C$5000,B810)),""))</f>
        <v/>
      </c>
      <c r="S810" s="5"/>
      <c r="T810" s="21"/>
      <c r="U810" s="21"/>
      <c r="V810" s="5"/>
      <c r="W810" s="20"/>
      <c r="X810" s="5"/>
      <c r="Y810" s="5"/>
      <c r="Z810" s="5"/>
      <c r="AA810" s="5"/>
    </row>
    <row r="811" ht="15.0" customHeight="1">
      <c r="A811" s="5" t="s">
        <v>4181</v>
      </c>
      <c r="B811" s="5" t="s">
        <v>4182</v>
      </c>
      <c r="C811" s="5"/>
      <c r="D811" s="5"/>
      <c r="E811" s="5"/>
      <c r="F811" s="20"/>
      <c r="G811" s="20"/>
      <c r="H811" s="5" t="s">
        <v>40</v>
      </c>
      <c r="I811" s="5" t="s">
        <v>857</v>
      </c>
      <c r="J811" s="5" t="s">
        <v>114</v>
      </c>
      <c r="K811" s="5" t="s">
        <v>4183</v>
      </c>
      <c r="L811" s="5"/>
      <c r="M811" s="5" t="s">
        <v>8</v>
      </c>
      <c r="N811" s="5" t="s">
        <v>80</v>
      </c>
      <c r="O811" s="5" t="str">
        <f>IF(B811="","",IFERROR(LOOKUP(2,1/('Call Log'!$C$2:$C$5000=B811),'Call Log'!$B$2:$B$5000),""))</f>
        <v/>
      </c>
      <c r="P811" s="5">
        <f>IF(B811="","",COUNTIFS('Call Log'!$C$2:$C$5000,B811,'Call Log'!$A$2:$A$5000,"&gt;="&amp;(TODAY()-WEEKDAY(TODAY(),2)+1)))</f>
        <v>0</v>
      </c>
      <c r="Q811" s="5">
        <f>IF(B811="","",COUNTIF('Call Log'!$C$2:$C$5000,B811))</f>
        <v>0</v>
      </c>
      <c r="R811" s="21" t="str">
        <f>IF(B811="","",IFERROR(IF(MAXIFS('Call Log'!$A$2:$A$5000,'Call Log'!$C$2:$C$5000,B811)=0,"",MAXIFS('Call Log'!$A$2:$A$5000,'Call Log'!$C$2:$C$5000,B811)),""))</f>
        <v/>
      </c>
      <c r="S811" s="5"/>
      <c r="T811" s="21"/>
      <c r="U811" s="21"/>
      <c r="V811" s="5"/>
      <c r="W811" s="20"/>
      <c r="X811" s="5"/>
      <c r="Y811" s="5"/>
      <c r="Z811" s="5"/>
      <c r="AA811" s="5"/>
    </row>
    <row r="812" ht="15.0" customHeight="1">
      <c r="A812" s="5" t="s">
        <v>4184</v>
      </c>
      <c r="B812" s="5" t="s">
        <v>4185</v>
      </c>
      <c r="C812" s="5"/>
      <c r="D812" s="5"/>
      <c r="E812" s="5"/>
      <c r="F812" s="20"/>
      <c r="G812" s="20"/>
      <c r="H812" s="5" t="s">
        <v>41</v>
      </c>
      <c r="I812" s="5" t="s">
        <v>594</v>
      </c>
      <c r="J812" s="5" t="s">
        <v>114</v>
      </c>
      <c r="K812" s="5" t="s">
        <v>4186</v>
      </c>
      <c r="L812" s="5"/>
      <c r="M812" s="5" t="s">
        <v>8</v>
      </c>
      <c r="N812" s="5" t="s">
        <v>80</v>
      </c>
      <c r="O812" s="5" t="str">
        <f>IF(B812="","",IFERROR(LOOKUP(2,1/('Call Log'!$C$2:$C$5000=B812),'Call Log'!$B$2:$B$5000),""))</f>
        <v/>
      </c>
      <c r="P812" s="5">
        <f>IF(B812="","",COUNTIFS('Call Log'!$C$2:$C$5000,B812,'Call Log'!$A$2:$A$5000,"&gt;="&amp;(TODAY()-WEEKDAY(TODAY(),2)+1)))</f>
        <v>0</v>
      </c>
      <c r="Q812" s="5">
        <f>IF(B812="","",COUNTIF('Call Log'!$C$2:$C$5000,B812))</f>
        <v>0</v>
      </c>
      <c r="R812" s="21" t="str">
        <f>IF(B812="","",IFERROR(IF(MAXIFS('Call Log'!$A$2:$A$5000,'Call Log'!$C$2:$C$5000,B812)=0,"",MAXIFS('Call Log'!$A$2:$A$5000,'Call Log'!$C$2:$C$5000,B812)),""))</f>
        <v/>
      </c>
      <c r="S812" s="5"/>
      <c r="T812" s="21"/>
      <c r="U812" s="21"/>
      <c r="V812" s="5"/>
      <c r="W812" s="20"/>
      <c r="X812" s="5"/>
      <c r="Y812" s="5"/>
      <c r="Z812" s="5"/>
      <c r="AA812" s="5"/>
    </row>
    <row r="813" ht="15.0" customHeight="1">
      <c r="A813" s="5" t="s">
        <v>4187</v>
      </c>
      <c r="B813" s="5" t="s">
        <v>4188</v>
      </c>
      <c r="C813" s="5"/>
      <c r="D813" s="5"/>
      <c r="E813" s="5"/>
      <c r="F813" s="20"/>
      <c r="G813" s="20"/>
      <c r="H813" s="5" t="s">
        <v>40</v>
      </c>
      <c r="I813" s="5" t="s">
        <v>213</v>
      </c>
      <c r="J813" s="5" t="s">
        <v>114</v>
      </c>
      <c r="K813" s="5" t="s">
        <v>4189</v>
      </c>
      <c r="L813" s="5"/>
      <c r="M813" s="5" t="s">
        <v>8</v>
      </c>
      <c r="N813" s="5" t="s">
        <v>80</v>
      </c>
      <c r="O813" s="5" t="str">
        <f>IF(B813="","",IFERROR(LOOKUP(2,1/('Call Log'!$C$2:$C$5000=B813),'Call Log'!$B$2:$B$5000),""))</f>
        <v/>
      </c>
      <c r="P813" s="5">
        <f>IF(B813="","",COUNTIFS('Call Log'!$C$2:$C$5000,B813,'Call Log'!$A$2:$A$5000,"&gt;="&amp;(TODAY()-WEEKDAY(TODAY(),2)+1)))</f>
        <v>0</v>
      </c>
      <c r="Q813" s="5">
        <f>IF(B813="","",COUNTIF('Call Log'!$C$2:$C$5000,B813))</f>
        <v>0</v>
      </c>
      <c r="R813" s="21" t="str">
        <f>IF(B813="","",IFERROR(IF(MAXIFS('Call Log'!$A$2:$A$5000,'Call Log'!$C$2:$C$5000,B813)=0,"",MAXIFS('Call Log'!$A$2:$A$5000,'Call Log'!$C$2:$C$5000,B813)),""))</f>
        <v/>
      </c>
      <c r="S813" s="5"/>
      <c r="T813" s="21"/>
      <c r="U813" s="21"/>
      <c r="V813" s="5"/>
      <c r="W813" s="20"/>
      <c r="X813" s="5"/>
      <c r="Y813" s="5"/>
      <c r="Z813" s="5"/>
      <c r="AA813" s="5"/>
    </row>
    <row r="814" ht="15.0" customHeight="1">
      <c r="A814" s="5" t="s">
        <v>4190</v>
      </c>
      <c r="B814" s="5" t="s">
        <v>4191</v>
      </c>
      <c r="C814" s="5"/>
      <c r="D814" s="5"/>
      <c r="E814" s="5"/>
      <c r="F814" s="20"/>
      <c r="G814" s="20"/>
      <c r="H814" s="5" t="s">
        <v>41</v>
      </c>
      <c r="I814" s="5" t="s">
        <v>231</v>
      </c>
      <c r="J814" s="5" t="s">
        <v>114</v>
      </c>
      <c r="K814" s="5" t="s">
        <v>4192</v>
      </c>
      <c r="L814" s="5"/>
      <c r="M814" s="5" t="s">
        <v>8</v>
      </c>
      <c r="N814" s="5" t="s">
        <v>80</v>
      </c>
      <c r="O814" s="5" t="str">
        <f>IF(B814="","",IFERROR(LOOKUP(2,1/('Call Log'!$C$2:$C$5000=B814),'Call Log'!$B$2:$B$5000),""))</f>
        <v/>
      </c>
      <c r="P814" s="5">
        <f>IF(B814="","",COUNTIFS('Call Log'!$C$2:$C$5000,B814,'Call Log'!$A$2:$A$5000,"&gt;="&amp;(TODAY()-WEEKDAY(TODAY(),2)+1)))</f>
        <v>0</v>
      </c>
      <c r="Q814" s="5">
        <f>IF(B814="","",COUNTIF('Call Log'!$C$2:$C$5000,B814))</f>
        <v>0</v>
      </c>
      <c r="R814" s="21" t="str">
        <f>IF(B814="","",IFERROR(IF(MAXIFS('Call Log'!$A$2:$A$5000,'Call Log'!$C$2:$C$5000,B814)=0,"",MAXIFS('Call Log'!$A$2:$A$5000,'Call Log'!$C$2:$C$5000,B814)),""))</f>
        <v/>
      </c>
      <c r="S814" s="5"/>
      <c r="T814" s="21"/>
      <c r="U814" s="21"/>
      <c r="V814" s="5"/>
      <c r="W814" s="20"/>
      <c r="X814" s="5"/>
      <c r="Y814" s="5"/>
      <c r="Z814" s="5"/>
      <c r="AA814" s="5"/>
    </row>
    <row r="815" ht="15.0" customHeight="1">
      <c r="A815" s="5" t="s">
        <v>4193</v>
      </c>
      <c r="B815" s="5" t="s">
        <v>4194</v>
      </c>
      <c r="C815" s="5"/>
      <c r="D815" s="5"/>
      <c r="E815" s="5"/>
      <c r="F815" s="20"/>
      <c r="G815" s="20"/>
      <c r="H815" s="5" t="s">
        <v>40</v>
      </c>
      <c r="I815" s="5" t="s">
        <v>461</v>
      </c>
      <c r="J815" s="5" t="s">
        <v>114</v>
      </c>
      <c r="K815" s="5" t="s">
        <v>4195</v>
      </c>
      <c r="L815" s="5"/>
      <c r="M815" s="5" t="s">
        <v>8</v>
      </c>
      <c r="N815" s="5" t="s">
        <v>80</v>
      </c>
      <c r="O815" s="5" t="str">
        <f>IF(B815="","",IFERROR(LOOKUP(2,1/('Call Log'!$C$2:$C$5000=B815),'Call Log'!$B$2:$B$5000),""))</f>
        <v/>
      </c>
      <c r="P815" s="5">
        <f>IF(B815="","",COUNTIFS('Call Log'!$C$2:$C$5000,B815,'Call Log'!$A$2:$A$5000,"&gt;="&amp;(TODAY()-WEEKDAY(TODAY(),2)+1)))</f>
        <v>0</v>
      </c>
      <c r="Q815" s="5">
        <f>IF(B815="","",COUNTIF('Call Log'!$C$2:$C$5000,B815))</f>
        <v>0</v>
      </c>
      <c r="R815" s="21" t="str">
        <f>IF(B815="","",IFERROR(IF(MAXIFS('Call Log'!$A$2:$A$5000,'Call Log'!$C$2:$C$5000,B815)=0,"",MAXIFS('Call Log'!$A$2:$A$5000,'Call Log'!$C$2:$C$5000,B815)),""))</f>
        <v/>
      </c>
      <c r="S815" s="5"/>
      <c r="T815" s="21"/>
      <c r="U815" s="21"/>
      <c r="V815" s="5"/>
      <c r="W815" s="20"/>
      <c r="X815" s="5"/>
      <c r="Y815" s="5"/>
      <c r="Z815" s="5"/>
      <c r="AA815" s="5"/>
    </row>
    <row r="816" ht="15.0" customHeight="1">
      <c r="A816" s="5" t="s">
        <v>4196</v>
      </c>
      <c r="B816" s="5" t="s">
        <v>4197</v>
      </c>
      <c r="C816" s="5"/>
      <c r="D816" s="5"/>
      <c r="E816" s="5"/>
      <c r="F816" s="20"/>
      <c r="G816" s="20"/>
      <c r="H816" s="5" t="s">
        <v>40</v>
      </c>
      <c r="I816" s="5" t="s">
        <v>756</v>
      </c>
      <c r="J816" s="5" t="s">
        <v>114</v>
      </c>
      <c r="K816" s="5" t="s">
        <v>4198</v>
      </c>
      <c r="L816" s="5"/>
      <c r="M816" s="5" t="s">
        <v>8</v>
      </c>
      <c r="N816" s="5" t="s">
        <v>80</v>
      </c>
      <c r="O816" s="5" t="str">
        <f>IF(B816="","",IFERROR(LOOKUP(2,1/('Call Log'!$C$2:$C$5000=B816),'Call Log'!$B$2:$B$5000),""))</f>
        <v/>
      </c>
      <c r="P816" s="5">
        <f>IF(B816="","",COUNTIFS('Call Log'!$C$2:$C$5000,B816,'Call Log'!$A$2:$A$5000,"&gt;="&amp;(TODAY()-WEEKDAY(TODAY(),2)+1)))</f>
        <v>0</v>
      </c>
      <c r="Q816" s="5">
        <f>IF(B816="","",COUNTIF('Call Log'!$C$2:$C$5000,B816))</f>
        <v>0</v>
      </c>
      <c r="R816" s="21" t="str">
        <f>IF(B816="","",IFERROR(IF(MAXIFS('Call Log'!$A$2:$A$5000,'Call Log'!$C$2:$C$5000,B816)=0,"",MAXIFS('Call Log'!$A$2:$A$5000,'Call Log'!$C$2:$C$5000,B816)),""))</f>
        <v/>
      </c>
      <c r="S816" s="5"/>
      <c r="T816" s="21"/>
      <c r="U816" s="21"/>
      <c r="V816" s="5"/>
      <c r="W816" s="20"/>
      <c r="X816" s="5"/>
      <c r="Y816" s="5"/>
      <c r="Z816" s="5"/>
      <c r="AA816" s="5"/>
    </row>
    <row r="817" ht="15.0" customHeight="1">
      <c r="A817" s="5" t="s">
        <v>4199</v>
      </c>
      <c r="B817" s="5" t="s">
        <v>4200</v>
      </c>
      <c r="C817" s="5"/>
      <c r="D817" s="5"/>
      <c r="E817" s="5"/>
      <c r="F817" s="20"/>
      <c r="G817" s="20"/>
      <c r="H817" s="5" t="s">
        <v>40</v>
      </c>
      <c r="I817" s="5" t="s">
        <v>667</v>
      </c>
      <c r="J817" s="5" t="s">
        <v>114</v>
      </c>
      <c r="K817" s="5" t="s">
        <v>4201</v>
      </c>
      <c r="L817" s="5"/>
      <c r="M817" s="5" t="s">
        <v>8</v>
      </c>
      <c r="N817" s="5" t="s">
        <v>80</v>
      </c>
      <c r="O817" s="5" t="str">
        <f>IF(B817="","",IFERROR(LOOKUP(2,1/('Call Log'!$C$2:$C$5000=B817),'Call Log'!$B$2:$B$5000),""))</f>
        <v/>
      </c>
      <c r="P817" s="5">
        <f>IF(B817="","",COUNTIFS('Call Log'!$C$2:$C$5000,B817,'Call Log'!$A$2:$A$5000,"&gt;="&amp;(TODAY()-WEEKDAY(TODAY(),2)+1)))</f>
        <v>0</v>
      </c>
      <c r="Q817" s="5">
        <f>IF(B817="","",COUNTIF('Call Log'!$C$2:$C$5000,B817))</f>
        <v>0</v>
      </c>
      <c r="R817" s="21" t="str">
        <f>IF(B817="","",IFERROR(IF(MAXIFS('Call Log'!$A$2:$A$5000,'Call Log'!$C$2:$C$5000,B817)=0,"",MAXIFS('Call Log'!$A$2:$A$5000,'Call Log'!$C$2:$C$5000,B817)),""))</f>
        <v/>
      </c>
      <c r="S817" s="5"/>
      <c r="T817" s="21"/>
      <c r="U817" s="21"/>
      <c r="V817" s="5"/>
      <c r="W817" s="20"/>
      <c r="X817" s="5"/>
      <c r="Y817" s="5"/>
      <c r="Z817" s="5"/>
      <c r="AA817" s="5"/>
    </row>
    <row r="818" ht="15.0" customHeight="1">
      <c r="A818" s="5" t="s">
        <v>4202</v>
      </c>
      <c r="B818" s="5" t="s">
        <v>4203</v>
      </c>
      <c r="C818" s="5"/>
      <c r="D818" s="5"/>
      <c r="E818" s="5"/>
      <c r="F818" s="20"/>
      <c r="G818" s="20"/>
      <c r="H818" s="5" t="s">
        <v>41</v>
      </c>
      <c r="I818" s="5" t="s">
        <v>198</v>
      </c>
      <c r="J818" s="5" t="s">
        <v>114</v>
      </c>
      <c r="K818" s="5" t="s">
        <v>4204</v>
      </c>
      <c r="L818" s="5"/>
      <c r="M818" s="5" t="s">
        <v>8</v>
      </c>
      <c r="N818" s="5" t="s">
        <v>80</v>
      </c>
      <c r="O818" s="5" t="str">
        <f>IF(B818="","",IFERROR(LOOKUP(2,1/('Call Log'!$C$2:$C$5000=B818),'Call Log'!$B$2:$B$5000),""))</f>
        <v/>
      </c>
      <c r="P818" s="5">
        <f>IF(B818="","",COUNTIFS('Call Log'!$C$2:$C$5000,B818,'Call Log'!$A$2:$A$5000,"&gt;="&amp;(TODAY()-WEEKDAY(TODAY(),2)+1)))</f>
        <v>0</v>
      </c>
      <c r="Q818" s="5">
        <f>IF(B818="","",COUNTIF('Call Log'!$C$2:$C$5000,B818))</f>
        <v>0</v>
      </c>
      <c r="R818" s="21" t="str">
        <f>IF(B818="","",IFERROR(IF(MAXIFS('Call Log'!$A$2:$A$5000,'Call Log'!$C$2:$C$5000,B818)=0,"",MAXIFS('Call Log'!$A$2:$A$5000,'Call Log'!$C$2:$C$5000,B818)),""))</f>
        <v/>
      </c>
      <c r="S818" s="5"/>
      <c r="T818" s="21"/>
      <c r="U818" s="21"/>
      <c r="V818" s="5"/>
      <c r="W818" s="20"/>
      <c r="X818" s="5"/>
      <c r="Y818" s="5"/>
      <c r="Z818" s="5"/>
      <c r="AA818" s="5"/>
    </row>
    <row r="819" ht="15.0" customHeight="1">
      <c r="A819" s="5" t="s">
        <v>4205</v>
      </c>
      <c r="B819" s="5" t="s">
        <v>4206</v>
      </c>
      <c r="C819" s="5"/>
      <c r="D819" s="5"/>
      <c r="E819" s="5"/>
      <c r="F819" s="20"/>
      <c r="G819" s="20"/>
      <c r="H819" s="5" t="s">
        <v>41</v>
      </c>
      <c r="I819" s="5" t="s">
        <v>1296</v>
      </c>
      <c r="J819" s="5" t="s">
        <v>114</v>
      </c>
      <c r="K819" s="5" t="s">
        <v>4207</v>
      </c>
      <c r="L819" s="5"/>
      <c r="M819" s="5" t="s">
        <v>8</v>
      </c>
      <c r="N819" s="5" t="s">
        <v>80</v>
      </c>
      <c r="O819" s="5" t="str">
        <f>IF(B819="","",IFERROR(LOOKUP(2,1/('Call Log'!$C$2:$C$5000=B819),'Call Log'!$B$2:$B$5000),""))</f>
        <v/>
      </c>
      <c r="P819" s="5">
        <f>IF(B819="","",COUNTIFS('Call Log'!$C$2:$C$5000,B819,'Call Log'!$A$2:$A$5000,"&gt;="&amp;(TODAY()-WEEKDAY(TODAY(),2)+1)))</f>
        <v>0</v>
      </c>
      <c r="Q819" s="5">
        <f>IF(B819="","",COUNTIF('Call Log'!$C$2:$C$5000,B819))</f>
        <v>0</v>
      </c>
      <c r="R819" s="21" t="str">
        <f>IF(B819="","",IFERROR(IF(MAXIFS('Call Log'!$A$2:$A$5000,'Call Log'!$C$2:$C$5000,B819)=0,"",MAXIFS('Call Log'!$A$2:$A$5000,'Call Log'!$C$2:$C$5000,B819)),""))</f>
        <v/>
      </c>
      <c r="S819" s="5"/>
      <c r="T819" s="21"/>
      <c r="U819" s="21"/>
      <c r="V819" s="5"/>
      <c r="W819" s="20"/>
      <c r="X819" s="5"/>
      <c r="Y819" s="5"/>
      <c r="Z819" s="5"/>
      <c r="AA819" s="5"/>
    </row>
    <row r="820" ht="15.0" customHeight="1">
      <c r="A820" s="5" t="s">
        <v>4208</v>
      </c>
      <c r="B820" s="5" t="s">
        <v>4209</v>
      </c>
      <c r="C820" s="5"/>
      <c r="D820" s="5"/>
      <c r="E820" s="5"/>
      <c r="F820" s="20"/>
      <c r="G820" s="20"/>
      <c r="H820" s="5" t="s">
        <v>41</v>
      </c>
      <c r="I820" s="5" t="s">
        <v>4210</v>
      </c>
      <c r="J820" s="5" t="s">
        <v>114</v>
      </c>
      <c r="K820" s="5" t="s">
        <v>4211</v>
      </c>
      <c r="L820" s="5"/>
      <c r="M820" s="5" t="s">
        <v>8</v>
      </c>
      <c r="N820" s="5" t="s">
        <v>80</v>
      </c>
      <c r="O820" s="5" t="str">
        <f>IF(B820="","",IFERROR(LOOKUP(2,1/('Call Log'!$C$2:$C$5000=B820),'Call Log'!$B$2:$B$5000),""))</f>
        <v/>
      </c>
      <c r="P820" s="5">
        <f>IF(B820="","",COUNTIFS('Call Log'!$C$2:$C$5000,B820,'Call Log'!$A$2:$A$5000,"&gt;="&amp;(TODAY()-WEEKDAY(TODAY(),2)+1)))</f>
        <v>0</v>
      </c>
      <c r="Q820" s="5">
        <f>IF(B820="","",COUNTIF('Call Log'!$C$2:$C$5000,B820))</f>
        <v>0</v>
      </c>
      <c r="R820" s="21" t="str">
        <f>IF(B820="","",IFERROR(IF(MAXIFS('Call Log'!$A$2:$A$5000,'Call Log'!$C$2:$C$5000,B820)=0,"",MAXIFS('Call Log'!$A$2:$A$5000,'Call Log'!$C$2:$C$5000,B820)),""))</f>
        <v/>
      </c>
      <c r="S820" s="5"/>
      <c r="T820" s="21"/>
      <c r="U820" s="21"/>
      <c r="V820" s="5"/>
      <c r="W820" s="20"/>
      <c r="X820" s="5"/>
      <c r="Y820" s="5"/>
      <c r="Z820" s="5"/>
      <c r="AA820" s="5"/>
    </row>
    <row r="821" ht="15.0" customHeight="1">
      <c r="A821" s="5" t="s">
        <v>4212</v>
      </c>
      <c r="B821" s="5" t="s">
        <v>4213</v>
      </c>
      <c r="C821" s="5"/>
      <c r="D821" s="5"/>
      <c r="E821" s="5"/>
      <c r="F821" s="20"/>
      <c r="G821" s="20"/>
      <c r="H821" s="5" t="s">
        <v>41</v>
      </c>
      <c r="I821" s="5" t="s">
        <v>547</v>
      </c>
      <c r="J821" s="5" t="s">
        <v>114</v>
      </c>
      <c r="K821" s="5" t="s">
        <v>4214</v>
      </c>
      <c r="L821" s="5"/>
      <c r="M821" s="5" t="s">
        <v>8</v>
      </c>
      <c r="N821" s="5" t="s">
        <v>80</v>
      </c>
      <c r="O821" s="5" t="str">
        <f>IF(B821="","",IFERROR(LOOKUP(2,1/('Call Log'!$C$2:$C$5000=B821),'Call Log'!$B$2:$B$5000),""))</f>
        <v/>
      </c>
      <c r="P821" s="5">
        <f>IF(B821="","",COUNTIFS('Call Log'!$C$2:$C$5000,B821,'Call Log'!$A$2:$A$5000,"&gt;="&amp;(TODAY()-WEEKDAY(TODAY(),2)+1)))</f>
        <v>0</v>
      </c>
      <c r="Q821" s="5">
        <f>IF(B821="","",COUNTIF('Call Log'!$C$2:$C$5000,B821))</f>
        <v>0</v>
      </c>
      <c r="R821" s="21" t="str">
        <f>IF(B821="","",IFERROR(IF(MAXIFS('Call Log'!$A$2:$A$5000,'Call Log'!$C$2:$C$5000,B821)=0,"",MAXIFS('Call Log'!$A$2:$A$5000,'Call Log'!$C$2:$C$5000,B821)),""))</f>
        <v/>
      </c>
      <c r="S821" s="5"/>
      <c r="T821" s="21"/>
      <c r="U821" s="21"/>
      <c r="V821" s="5"/>
      <c r="W821" s="20"/>
      <c r="X821" s="5"/>
      <c r="Y821" s="5"/>
      <c r="Z821" s="5"/>
      <c r="AA821" s="5"/>
    </row>
    <row r="822" ht="15.0" customHeight="1">
      <c r="A822" s="5" t="s">
        <v>4215</v>
      </c>
      <c r="B822" s="5" t="s">
        <v>4216</v>
      </c>
      <c r="C822" s="5"/>
      <c r="D822" s="5"/>
      <c r="E822" s="5"/>
      <c r="F822" s="20"/>
      <c r="G822" s="20"/>
      <c r="H822" s="5" t="s">
        <v>41</v>
      </c>
      <c r="I822" s="5" t="s">
        <v>865</v>
      </c>
      <c r="J822" s="5" t="s">
        <v>114</v>
      </c>
      <c r="K822" s="5" t="s">
        <v>4217</v>
      </c>
      <c r="L822" s="5"/>
      <c r="M822" s="5" t="s">
        <v>8</v>
      </c>
      <c r="N822" s="5" t="s">
        <v>80</v>
      </c>
      <c r="O822" s="5" t="str">
        <f>IF(B822="","",IFERROR(LOOKUP(2,1/('Call Log'!$C$2:$C$5000=B822),'Call Log'!$B$2:$B$5000),""))</f>
        <v/>
      </c>
      <c r="P822" s="5">
        <f>IF(B822="","",COUNTIFS('Call Log'!$C$2:$C$5000,B822,'Call Log'!$A$2:$A$5000,"&gt;="&amp;(TODAY()-WEEKDAY(TODAY(),2)+1)))</f>
        <v>0</v>
      </c>
      <c r="Q822" s="5">
        <f>IF(B822="","",COUNTIF('Call Log'!$C$2:$C$5000,B822))</f>
        <v>0</v>
      </c>
      <c r="R822" s="21" t="str">
        <f>IF(B822="","",IFERROR(IF(MAXIFS('Call Log'!$A$2:$A$5000,'Call Log'!$C$2:$C$5000,B822)=0,"",MAXIFS('Call Log'!$A$2:$A$5000,'Call Log'!$C$2:$C$5000,B822)),""))</f>
        <v/>
      </c>
      <c r="S822" s="5"/>
      <c r="T822" s="21"/>
      <c r="U822" s="21"/>
      <c r="V822" s="5"/>
      <c r="W822" s="20"/>
      <c r="X822" s="5"/>
      <c r="Y822" s="5"/>
      <c r="Z822" s="5"/>
      <c r="AA822" s="5"/>
    </row>
    <row r="823" ht="15.0" customHeight="1">
      <c r="A823" s="5" t="s">
        <v>4218</v>
      </c>
      <c r="B823" s="5" t="s">
        <v>4219</v>
      </c>
      <c r="C823" s="5"/>
      <c r="D823" s="5"/>
      <c r="E823" s="5"/>
      <c r="F823" s="20"/>
      <c r="G823" s="20"/>
      <c r="H823" s="5" t="s">
        <v>40</v>
      </c>
      <c r="I823" s="5" t="s">
        <v>547</v>
      </c>
      <c r="J823" s="5" t="s">
        <v>114</v>
      </c>
      <c r="K823" s="5" t="s">
        <v>4220</v>
      </c>
      <c r="L823" s="5"/>
      <c r="M823" s="5" t="s">
        <v>8</v>
      </c>
      <c r="N823" s="5" t="s">
        <v>80</v>
      </c>
      <c r="O823" s="5" t="str">
        <f>IF(B823="","",IFERROR(LOOKUP(2,1/('Call Log'!$C$2:$C$5000=B823),'Call Log'!$B$2:$B$5000),""))</f>
        <v/>
      </c>
      <c r="P823" s="5">
        <f>IF(B823="","",COUNTIFS('Call Log'!$C$2:$C$5000,B823,'Call Log'!$A$2:$A$5000,"&gt;="&amp;(TODAY()-WEEKDAY(TODAY(),2)+1)))</f>
        <v>0</v>
      </c>
      <c r="Q823" s="5">
        <f>IF(B823="","",COUNTIF('Call Log'!$C$2:$C$5000,B823))</f>
        <v>0</v>
      </c>
      <c r="R823" s="21" t="str">
        <f>IF(B823="","",IFERROR(IF(MAXIFS('Call Log'!$A$2:$A$5000,'Call Log'!$C$2:$C$5000,B823)=0,"",MAXIFS('Call Log'!$A$2:$A$5000,'Call Log'!$C$2:$C$5000,B823)),""))</f>
        <v/>
      </c>
      <c r="S823" s="5"/>
      <c r="T823" s="21"/>
      <c r="U823" s="21"/>
      <c r="V823" s="5"/>
      <c r="W823" s="20"/>
      <c r="X823" s="5"/>
      <c r="Y823" s="5"/>
      <c r="Z823" s="5"/>
      <c r="AA823" s="5"/>
    </row>
    <row r="824" ht="15.0" customHeight="1">
      <c r="A824" s="5" t="s">
        <v>4221</v>
      </c>
      <c r="B824" s="5" t="s">
        <v>4222</v>
      </c>
      <c r="C824" s="5"/>
      <c r="D824" s="5"/>
      <c r="E824" s="5"/>
      <c r="F824" s="20"/>
      <c r="G824" s="20"/>
      <c r="H824" s="5" t="s">
        <v>41</v>
      </c>
      <c r="I824" s="5" t="s">
        <v>206</v>
      </c>
      <c r="J824" s="5" t="s">
        <v>114</v>
      </c>
      <c r="K824" s="5" t="s">
        <v>4223</v>
      </c>
      <c r="L824" s="5"/>
      <c r="M824" s="5" t="s">
        <v>8</v>
      </c>
      <c r="N824" s="5" t="s">
        <v>80</v>
      </c>
      <c r="O824" s="5" t="str">
        <f>IF(B824="","",IFERROR(LOOKUP(2,1/('Call Log'!$C$2:$C$5000=B824),'Call Log'!$B$2:$B$5000),""))</f>
        <v/>
      </c>
      <c r="P824" s="5">
        <f>IF(B824="","",COUNTIFS('Call Log'!$C$2:$C$5000,B824,'Call Log'!$A$2:$A$5000,"&gt;="&amp;(TODAY()-WEEKDAY(TODAY(),2)+1)))</f>
        <v>0</v>
      </c>
      <c r="Q824" s="5">
        <f>IF(B824="","",COUNTIF('Call Log'!$C$2:$C$5000,B824))</f>
        <v>0</v>
      </c>
      <c r="R824" s="21" t="str">
        <f>IF(B824="","",IFERROR(IF(MAXIFS('Call Log'!$A$2:$A$5000,'Call Log'!$C$2:$C$5000,B824)=0,"",MAXIFS('Call Log'!$A$2:$A$5000,'Call Log'!$C$2:$C$5000,B824)),""))</f>
        <v/>
      </c>
      <c r="S824" s="5"/>
      <c r="T824" s="21"/>
      <c r="U824" s="21"/>
      <c r="V824" s="5"/>
      <c r="W824" s="20"/>
      <c r="X824" s="5"/>
      <c r="Y824" s="5"/>
      <c r="Z824" s="5"/>
      <c r="AA824" s="5"/>
    </row>
    <row r="825" ht="15.0" customHeight="1">
      <c r="A825" s="5" t="s">
        <v>4224</v>
      </c>
      <c r="B825" s="5" t="s">
        <v>4225</v>
      </c>
      <c r="C825" s="5"/>
      <c r="D825" s="5"/>
      <c r="E825" s="5"/>
      <c r="F825" s="20"/>
      <c r="G825" s="20"/>
      <c r="H825" s="5" t="s">
        <v>41</v>
      </c>
      <c r="I825" s="5" t="s">
        <v>904</v>
      </c>
      <c r="J825" s="5" t="s">
        <v>114</v>
      </c>
      <c r="K825" s="5" t="s">
        <v>4226</v>
      </c>
      <c r="L825" s="5"/>
      <c r="M825" s="5" t="s">
        <v>8</v>
      </c>
      <c r="N825" s="5" t="s">
        <v>80</v>
      </c>
      <c r="O825" s="5" t="str">
        <f>IF(B825="","",IFERROR(LOOKUP(2,1/('Call Log'!$C$2:$C$5000=B825),'Call Log'!$B$2:$B$5000),""))</f>
        <v/>
      </c>
      <c r="P825" s="5">
        <f>IF(B825="","",COUNTIFS('Call Log'!$C$2:$C$5000,B825,'Call Log'!$A$2:$A$5000,"&gt;="&amp;(TODAY()-WEEKDAY(TODAY(),2)+1)))</f>
        <v>0</v>
      </c>
      <c r="Q825" s="5">
        <f>IF(B825="","",COUNTIF('Call Log'!$C$2:$C$5000,B825))</f>
        <v>0</v>
      </c>
      <c r="R825" s="21" t="str">
        <f>IF(B825="","",IFERROR(IF(MAXIFS('Call Log'!$A$2:$A$5000,'Call Log'!$C$2:$C$5000,B825)=0,"",MAXIFS('Call Log'!$A$2:$A$5000,'Call Log'!$C$2:$C$5000,B825)),""))</f>
        <v/>
      </c>
      <c r="S825" s="5"/>
      <c r="T825" s="21"/>
      <c r="U825" s="21"/>
      <c r="V825" s="5"/>
      <c r="W825" s="20"/>
      <c r="X825" s="5"/>
      <c r="Y825" s="5"/>
      <c r="Z825" s="5"/>
      <c r="AA825" s="5"/>
    </row>
    <row r="826" ht="15.0" customHeight="1">
      <c r="A826" s="5" t="s">
        <v>4227</v>
      </c>
      <c r="B826" s="5" t="s">
        <v>4228</v>
      </c>
      <c r="C826" s="5"/>
      <c r="D826" s="5"/>
      <c r="E826" s="5"/>
      <c r="F826" s="20"/>
      <c r="G826" s="20"/>
      <c r="H826" s="5" t="s">
        <v>40</v>
      </c>
      <c r="I826" s="5" t="s">
        <v>357</v>
      </c>
      <c r="J826" s="5" t="s">
        <v>114</v>
      </c>
      <c r="K826" s="5" t="s">
        <v>4229</v>
      </c>
      <c r="L826" s="5"/>
      <c r="M826" s="5" t="s">
        <v>8</v>
      </c>
      <c r="N826" s="5" t="s">
        <v>80</v>
      </c>
      <c r="O826" s="5" t="str">
        <f>IF(B826="","",IFERROR(LOOKUP(2,1/('Call Log'!$C$2:$C$5000=B826),'Call Log'!$B$2:$B$5000),""))</f>
        <v/>
      </c>
      <c r="P826" s="5">
        <f>IF(B826="","",COUNTIFS('Call Log'!$C$2:$C$5000,B826,'Call Log'!$A$2:$A$5000,"&gt;="&amp;(TODAY()-WEEKDAY(TODAY(),2)+1)))</f>
        <v>0</v>
      </c>
      <c r="Q826" s="5">
        <f>IF(B826="","",COUNTIF('Call Log'!$C$2:$C$5000,B826))</f>
        <v>0</v>
      </c>
      <c r="R826" s="21" t="str">
        <f>IF(B826="","",IFERROR(IF(MAXIFS('Call Log'!$A$2:$A$5000,'Call Log'!$C$2:$C$5000,B826)=0,"",MAXIFS('Call Log'!$A$2:$A$5000,'Call Log'!$C$2:$C$5000,B826)),""))</f>
        <v/>
      </c>
      <c r="S826" s="5"/>
      <c r="T826" s="21"/>
      <c r="U826" s="21"/>
      <c r="V826" s="5"/>
      <c r="W826" s="20"/>
      <c r="X826" s="5"/>
      <c r="Y826" s="5"/>
      <c r="Z826" s="5"/>
      <c r="AA826" s="5"/>
    </row>
    <row r="827" ht="15.0" customHeight="1">
      <c r="A827" s="5" t="s">
        <v>4230</v>
      </c>
      <c r="B827" s="5" t="s">
        <v>4231</v>
      </c>
      <c r="C827" s="5"/>
      <c r="D827" s="5"/>
      <c r="E827" s="5"/>
      <c r="F827" s="20"/>
      <c r="G827" s="20"/>
      <c r="H827" s="5" t="s">
        <v>40</v>
      </c>
      <c r="I827" s="5" t="s">
        <v>161</v>
      </c>
      <c r="J827" s="5" t="s">
        <v>114</v>
      </c>
      <c r="K827" s="5" t="s">
        <v>4232</v>
      </c>
      <c r="L827" s="5"/>
      <c r="M827" s="5" t="s">
        <v>8</v>
      </c>
      <c r="N827" s="5" t="s">
        <v>80</v>
      </c>
      <c r="O827" s="5" t="str">
        <f>IF(B827="","",IFERROR(LOOKUP(2,1/('Call Log'!$C$2:$C$5000=B827),'Call Log'!$B$2:$B$5000),""))</f>
        <v/>
      </c>
      <c r="P827" s="5">
        <f>IF(B827="","",COUNTIFS('Call Log'!$C$2:$C$5000,B827,'Call Log'!$A$2:$A$5000,"&gt;="&amp;(TODAY()-WEEKDAY(TODAY(),2)+1)))</f>
        <v>0</v>
      </c>
      <c r="Q827" s="5">
        <f>IF(B827="","",COUNTIF('Call Log'!$C$2:$C$5000,B827))</f>
        <v>0</v>
      </c>
      <c r="R827" s="21" t="str">
        <f>IF(B827="","",IFERROR(IF(MAXIFS('Call Log'!$A$2:$A$5000,'Call Log'!$C$2:$C$5000,B827)=0,"",MAXIFS('Call Log'!$A$2:$A$5000,'Call Log'!$C$2:$C$5000,B827)),""))</f>
        <v/>
      </c>
      <c r="S827" s="5"/>
      <c r="T827" s="21"/>
      <c r="U827" s="21"/>
      <c r="V827" s="5"/>
      <c r="W827" s="20"/>
      <c r="X827" s="5"/>
      <c r="Y827" s="5"/>
      <c r="Z827" s="5"/>
      <c r="AA827" s="5"/>
    </row>
    <row r="828" ht="15.0" customHeight="1">
      <c r="A828" s="5" t="s">
        <v>4233</v>
      </c>
      <c r="B828" s="5" t="s">
        <v>4234</v>
      </c>
      <c r="C828" s="5"/>
      <c r="D828" s="5"/>
      <c r="E828" s="5"/>
      <c r="F828" s="20"/>
      <c r="G828" s="20"/>
      <c r="H828" s="5" t="s">
        <v>41</v>
      </c>
      <c r="I828" s="5" t="s">
        <v>246</v>
      </c>
      <c r="J828" s="5" t="s">
        <v>114</v>
      </c>
      <c r="K828" s="5" t="s">
        <v>4235</v>
      </c>
      <c r="L828" s="5"/>
      <c r="M828" s="5" t="s">
        <v>8</v>
      </c>
      <c r="N828" s="5" t="s">
        <v>80</v>
      </c>
      <c r="O828" s="5" t="str">
        <f>IF(B828="","",IFERROR(LOOKUP(2,1/('Call Log'!$C$2:$C$5000=B828),'Call Log'!$B$2:$B$5000),""))</f>
        <v/>
      </c>
      <c r="P828" s="5">
        <f>IF(B828="","",COUNTIFS('Call Log'!$C$2:$C$5000,B828,'Call Log'!$A$2:$A$5000,"&gt;="&amp;(TODAY()-WEEKDAY(TODAY(),2)+1)))</f>
        <v>0</v>
      </c>
      <c r="Q828" s="5">
        <f>IF(B828="","",COUNTIF('Call Log'!$C$2:$C$5000,B828))</f>
        <v>0</v>
      </c>
      <c r="R828" s="21" t="str">
        <f>IF(B828="","",IFERROR(IF(MAXIFS('Call Log'!$A$2:$A$5000,'Call Log'!$C$2:$C$5000,B828)=0,"",MAXIFS('Call Log'!$A$2:$A$5000,'Call Log'!$C$2:$C$5000,B828)),""))</f>
        <v/>
      </c>
      <c r="S828" s="5"/>
      <c r="T828" s="21"/>
      <c r="U828" s="21"/>
      <c r="V828" s="5"/>
      <c r="W828" s="20"/>
      <c r="X828" s="5"/>
      <c r="Y828" s="5"/>
      <c r="Z828" s="5"/>
      <c r="AA828" s="5"/>
    </row>
    <row r="829" ht="15.0" customHeight="1">
      <c r="A829" s="5" t="s">
        <v>4236</v>
      </c>
      <c r="B829" s="5" t="s">
        <v>4237</v>
      </c>
      <c r="C829" s="5"/>
      <c r="D829" s="5"/>
      <c r="E829" s="5"/>
      <c r="F829" s="20"/>
      <c r="G829" s="20"/>
      <c r="H829" s="5" t="s">
        <v>40</v>
      </c>
      <c r="I829" s="5" t="s">
        <v>461</v>
      </c>
      <c r="J829" s="5" t="s">
        <v>114</v>
      </c>
      <c r="K829" s="5"/>
      <c r="L829" s="5"/>
      <c r="M829" s="5" t="s">
        <v>8</v>
      </c>
      <c r="N829" s="5" t="s">
        <v>80</v>
      </c>
      <c r="O829" s="5" t="str">
        <f>IF(B829="","",IFERROR(LOOKUP(2,1/('Call Log'!$C$2:$C$5000=B829),'Call Log'!$B$2:$B$5000),""))</f>
        <v/>
      </c>
      <c r="P829" s="5">
        <f>IF(B829="","",COUNTIFS('Call Log'!$C$2:$C$5000,B829,'Call Log'!$A$2:$A$5000,"&gt;="&amp;(TODAY()-WEEKDAY(TODAY(),2)+1)))</f>
        <v>0</v>
      </c>
      <c r="Q829" s="5">
        <f>IF(B829="","",COUNTIF('Call Log'!$C$2:$C$5000,B829))</f>
        <v>0</v>
      </c>
      <c r="R829" s="21" t="str">
        <f>IF(B829="","",IFERROR(IF(MAXIFS('Call Log'!$A$2:$A$5000,'Call Log'!$C$2:$C$5000,B829)=0,"",MAXIFS('Call Log'!$A$2:$A$5000,'Call Log'!$C$2:$C$5000,B829)),""))</f>
        <v/>
      </c>
      <c r="S829" s="5"/>
      <c r="T829" s="21"/>
      <c r="U829" s="21"/>
      <c r="V829" s="5"/>
      <c r="W829" s="20"/>
      <c r="X829" s="5"/>
      <c r="Y829" s="5"/>
      <c r="Z829" s="5"/>
      <c r="AA829" s="5"/>
    </row>
    <row r="830" ht="15.0" customHeight="1">
      <c r="A830" s="5" t="s">
        <v>4238</v>
      </c>
      <c r="B830" s="5" t="s">
        <v>4239</v>
      </c>
      <c r="C830" s="5"/>
      <c r="D830" s="5"/>
      <c r="E830" s="5"/>
      <c r="F830" s="20"/>
      <c r="G830" s="20"/>
      <c r="H830" s="5" t="s">
        <v>40</v>
      </c>
      <c r="I830" s="5" t="s">
        <v>1093</v>
      </c>
      <c r="J830" s="5" t="s">
        <v>114</v>
      </c>
      <c r="K830" s="5"/>
      <c r="L830" s="5"/>
      <c r="M830" s="5" t="s">
        <v>8</v>
      </c>
      <c r="N830" s="5" t="s">
        <v>80</v>
      </c>
      <c r="O830" s="5" t="str">
        <f>IF(B830="","",IFERROR(LOOKUP(2,1/('Call Log'!$C$2:$C$5000=B830),'Call Log'!$B$2:$B$5000),""))</f>
        <v/>
      </c>
      <c r="P830" s="5">
        <f>IF(B830="","",COUNTIFS('Call Log'!$C$2:$C$5000,B830,'Call Log'!$A$2:$A$5000,"&gt;="&amp;(TODAY()-WEEKDAY(TODAY(),2)+1)))</f>
        <v>0</v>
      </c>
      <c r="Q830" s="5">
        <f>IF(B830="","",COUNTIF('Call Log'!$C$2:$C$5000,B830))</f>
        <v>0</v>
      </c>
      <c r="R830" s="21" t="str">
        <f>IF(B830="","",IFERROR(IF(MAXIFS('Call Log'!$A$2:$A$5000,'Call Log'!$C$2:$C$5000,B830)=0,"",MAXIFS('Call Log'!$A$2:$A$5000,'Call Log'!$C$2:$C$5000,B830)),""))</f>
        <v/>
      </c>
      <c r="S830" s="5"/>
      <c r="T830" s="21"/>
      <c r="U830" s="21"/>
      <c r="V830" s="5"/>
      <c r="W830" s="20"/>
      <c r="X830" s="5"/>
      <c r="Y830" s="5"/>
      <c r="Z830" s="5"/>
      <c r="AA830" s="5"/>
    </row>
    <row r="831" ht="15.0" customHeight="1">
      <c r="A831" s="5" t="s">
        <v>4240</v>
      </c>
      <c r="B831" s="5" t="s">
        <v>4241</v>
      </c>
      <c r="C831" s="5"/>
      <c r="D831" s="5"/>
      <c r="E831" s="5"/>
      <c r="F831" s="20"/>
      <c r="G831" s="20"/>
      <c r="H831" s="5" t="s">
        <v>41</v>
      </c>
      <c r="I831" s="5" t="s">
        <v>857</v>
      </c>
      <c r="J831" s="5" t="s">
        <v>114</v>
      </c>
      <c r="K831" s="5" t="s">
        <v>4242</v>
      </c>
      <c r="L831" s="5"/>
      <c r="M831" s="5" t="s">
        <v>8</v>
      </c>
      <c r="N831" s="5" t="s">
        <v>80</v>
      </c>
      <c r="O831" s="5" t="str">
        <f>IF(B831="","",IFERROR(LOOKUP(2,1/('Call Log'!$C$2:$C$5000=B831),'Call Log'!$B$2:$B$5000),""))</f>
        <v/>
      </c>
      <c r="P831" s="5">
        <f>IF(B831="","",COUNTIFS('Call Log'!$C$2:$C$5000,B831,'Call Log'!$A$2:$A$5000,"&gt;="&amp;(TODAY()-WEEKDAY(TODAY(),2)+1)))</f>
        <v>0</v>
      </c>
      <c r="Q831" s="5">
        <f>IF(B831="","",COUNTIF('Call Log'!$C$2:$C$5000,B831))</f>
        <v>0</v>
      </c>
      <c r="R831" s="21" t="str">
        <f>IF(B831="","",IFERROR(IF(MAXIFS('Call Log'!$A$2:$A$5000,'Call Log'!$C$2:$C$5000,B831)=0,"",MAXIFS('Call Log'!$A$2:$A$5000,'Call Log'!$C$2:$C$5000,B831)),""))</f>
        <v/>
      </c>
      <c r="S831" s="5"/>
      <c r="T831" s="21"/>
      <c r="U831" s="21"/>
      <c r="V831" s="5"/>
      <c r="W831" s="20"/>
      <c r="X831" s="5"/>
      <c r="Y831" s="5"/>
      <c r="Z831" s="5"/>
      <c r="AA831" s="5"/>
    </row>
    <row r="832" ht="15.0" customHeight="1">
      <c r="A832" s="5" t="s">
        <v>4243</v>
      </c>
      <c r="B832" s="5" t="s">
        <v>4244</v>
      </c>
      <c r="C832" s="5"/>
      <c r="D832" s="5"/>
      <c r="E832" s="5"/>
      <c r="F832" s="20"/>
      <c r="G832" s="20"/>
      <c r="H832" s="5" t="s">
        <v>41</v>
      </c>
      <c r="I832" s="5" t="s">
        <v>857</v>
      </c>
      <c r="J832" s="5" t="s">
        <v>114</v>
      </c>
      <c r="K832" s="5" t="s">
        <v>4245</v>
      </c>
      <c r="L832" s="5"/>
      <c r="M832" s="5" t="s">
        <v>8</v>
      </c>
      <c r="N832" s="5" t="s">
        <v>80</v>
      </c>
      <c r="O832" s="5" t="str">
        <f>IF(B832="","",IFERROR(LOOKUP(2,1/('Call Log'!$C$2:$C$5000=B832),'Call Log'!$B$2:$B$5000),""))</f>
        <v/>
      </c>
      <c r="P832" s="5">
        <f>IF(B832="","",COUNTIFS('Call Log'!$C$2:$C$5000,B832,'Call Log'!$A$2:$A$5000,"&gt;="&amp;(TODAY()-WEEKDAY(TODAY(),2)+1)))</f>
        <v>0</v>
      </c>
      <c r="Q832" s="5">
        <f>IF(B832="","",COUNTIF('Call Log'!$C$2:$C$5000,B832))</f>
        <v>0</v>
      </c>
      <c r="R832" s="21" t="str">
        <f>IF(B832="","",IFERROR(IF(MAXIFS('Call Log'!$A$2:$A$5000,'Call Log'!$C$2:$C$5000,B832)=0,"",MAXIFS('Call Log'!$A$2:$A$5000,'Call Log'!$C$2:$C$5000,B832)),""))</f>
        <v/>
      </c>
      <c r="S832" s="5"/>
      <c r="T832" s="21"/>
      <c r="U832" s="21"/>
      <c r="V832" s="5"/>
      <c r="W832" s="20"/>
      <c r="X832" s="5"/>
      <c r="Y832" s="5"/>
      <c r="Z832" s="5"/>
      <c r="AA832" s="5"/>
    </row>
    <row r="833" ht="15.0" customHeight="1">
      <c r="A833" s="5" t="s">
        <v>4246</v>
      </c>
      <c r="B833" s="5" t="s">
        <v>4247</v>
      </c>
      <c r="C833" s="5"/>
      <c r="D833" s="5"/>
      <c r="E833" s="5"/>
      <c r="F833" s="20"/>
      <c r="G833" s="20"/>
      <c r="H833" s="5" t="s">
        <v>40</v>
      </c>
      <c r="I833" s="5" t="s">
        <v>1048</v>
      </c>
      <c r="J833" s="5" t="s">
        <v>114</v>
      </c>
      <c r="K833" s="5" t="s">
        <v>4248</v>
      </c>
      <c r="L833" s="5"/>
      <c r="M833" s="5" t="s">
        <v>8</v>
      </c>
      <c r="N833" s="5" t="s">
        <v>80</v>
      </c>
      <c r="O833" s="5" t="str">
        <f>IF(B833="","",IFERROR(LOOKUP(2,1/('Call Log'!$C$2:$C$5000=B833),'Call Log'!$B$2:$B$5000),""))</f>
        <v/>
      </c>
      <c r="P833" s="5">
        <f>IF(B833="","",COUNTIFS('Call Log'!$C$2:$C$5000,B833,'Call Log'!$A$2:$A$5000,"&gt;="&amp;(TODAY()-WEEKDAY(TODAY(),2)+1)))</f>
        <v>0</v>
      </c>
      <c r="Q833" s="5">
        <f>IF(B833="","",COUNTIF('Call Log'!$C$2:$C$5000,B833))</f>
        <v>0</v>
      </c>
      <c r="R833" s="21" t="str">
        <f>IF(B833="","",IFERROR(IF(MAXIFS('Call Log'!$A$2:$A$5000,'Call Log'!$C$2:$C$5000,B833)=0,"",MAXIFS('Call Log'!$A$2:$A$5000,'Call Log'!$C$2:$C$5000,B833)),""))</f>
        <v/>
      </c>
      <c r="S833" s="5"/>
      <c r="T833" s="21"/>
      <c r="U833" s="21"/>
      <c r="V833" s="5"/>
      <c r="W833" s="20"/>
      <c r="X833" s="5"/>
      <c r="Y833" s="5"/>
      <c r="Z833" s="5"/>
      <c r="AA833" s="5"/>
    </row>
    <row r="834" ht="15.0" customHeight="1">
      <c r="A834" s="5" t="s">
        <v>4249</v>
      </c>
      <c r="B834" s="5" t="s">
        <v>4250</v>
      </c>
      <c r="C834" s="5"/>
      <c r="D834" s="5"/>
      <c r="E834" s="5">
        <v>380.0</v>
      </c>
      <c r="F834" s="20"/>
      <c r="G834" s="20"/>
      <c r="H834" s="5" t="s">
        <v>41</v>
      </c>
      <c r="I834" s="5" t="s">
        <v>857</v>
      </c>
      <c r="J834" s="5" t="s">
        <v>114</v>
      </c>
      <c r="K834" s="5" t="s">
        <v>4251</v>
      </c>
      <c r="L834" s="5"/>
      <c r="M834" s="5" t="s">
        <v>8</v>
      </c>
      <c r="N834" s="5" t="s">
        <v>80</v>
      </c>
      <c r="O834" s="5" t="str">
        <f>IF(B834="","",IFERROR(LOOKUP(2,1/('Call Log'!$C$2:$C$5000=B834),'Call Log'!$B$2:$B$5000),""))</f>
        <v/>
      </c>
      <c r="P834" s="5">
        <f>IF(B834="","",COUNTIFS('Call Log'!$C$2:$C$5000,B834,'Call Log'!$A$2:$A$5000,"&gt;="&amp;(TODAY()-WEEKDAY(TODAY(),2)+1)))</f>
        <v>0</v>
      </c>
      <c r="Q834" s="5">
        <f>IF(B834="","",COUNTIF('Call Log'!$C$2:$C$5000,B834))</f>
        <v>0</v>
      </c>
      <c r="R834" s="21" t="str">
        <f>IF(B834="","",IFERROR(IF(MAXIFS('Call Log'!$A$2:$A$5000,'Call Log'!$C$2:$C$5000,B834)=0,"",MAXIFS('Call Log'!$A$2:$A$5000,'Call Log'!$C$2:$C$5000,B834)),""))</f>
        <v/>
      </c>
      <c r="S834" s="5"/>
      <c r="T834" s="21"/>
      <c r="U834" s="21"/>
      <c r="V834" s="5"/>
      <c r="W834" s="20"/>
      <c r="X834" s="5"/>
      <c r="Y834" s="5"/>
      <c r="Z834" s="5"/>
      <c r="AA834" s="5"/>
    </row>
    <row r="835" ht="15.0" customHeight="1">
      <c r="A835" s="5" t="s">
        <v>4252</v>
      </c>
      <c r="B835" s="5" t="s">
        <v>4253</v>
      </c>
      <c r="C835" s="5"/>
      <c r="D835" s="5"/>
      <c r="E835" s="5"/>
      <c r="F835" s="20"/>
      <c r="G835" s="20"/>
      <c r="H835" s="5" t="s">
        <v>41</v>
      </c>
      <c r="I835" s="5" t="s">
        <v>461</v>
      </c>
      <c r="J835" s="5" t="s">
        <v>114</v>
      </c>
      <c r="K835" s="5" t="s">
        <v>4254</v>
      </c>
      <c r="L835" s="5"/>
      <c r="M835" s="5" t="s">
        <v>8</v>
      </c>
      <c r="N835" s="5" t="s">
        <v>80</v>
      </c>
      <c r="O835" s="5" t="str">
        <f>IF(B835="","",IFERROR(LOOKUP(2,1/('Call Log'!$C$2:$C$5000=B835),'Call Log'!$B$2:$B$5000),""))</f>
        <v/>
      </c>
      <c r="P835" s="5">
        <f>IF(B835="","",COUNTIFS('Call Log'!$C$2:$C$5000,B835,'Call Log'!$A$2:$A$5000,"&gt;="&amp;(TODAY()-WEEKDAY(TODAY(),2)+1)))</f>
        <v>0</v>
      </c>
      <c r="Q835" s="5">
        <f>IF(B835="","",COUNTIF('Call Log'!$C$2:$C$5000,B835))</f>
        <v>0</v>
      </c>
      <c r="R835" s="21" t="str">
        <f>IF(B835="","",IFERROR(IF(MAXIFS('Call Log'!$A$2:$A$5000,'Call Log'!$C$2:$C$5000,B835)=0,"",MAXIFS('Call Log'!$A$2:$A$5000,'Call Log'!$C$2:$C$5000,B835)),""))</f>
        <v/>
      </c>
      <c r="S835" s="5"/>
      <c r="T835" s="21"/>
      <c r="U835" s="21"/>
      <c r="V835" s="5"/>
      <c r="W835" s="20"/>
      <c r="X835" s="5"/>
      <c r="Y835" s="5"/>
      <c r="Z835" s="5"/>
      <c r="AA835" s="5"/>
    </row>
    <row r="836" ht="15.0" customHeight="1">
      <c r="A836" s="5" t="s">
        <v>4255</v>
      </c>
      <c r="B836" s="5" t="s">
        <v>4256</v>
      </c>
      <c r="C836" s="5"/>
      <c r="D836" s="5"/>
      <c r="E836" s="5"/>
      <c r="F836" s="20"/>
      <c r="G836" s="20"/>
      <c r="H836" s="5" t="s">
        <v>40</v>
      </c>
      <c r="I836" s="5" t="s">
        <v>357</v>
      </c>
      <c r="J836" s="5" t="s">
        <v>114</v>
      </c>
      <c r="K836" s="5" t="s">
        <v>4257</v>
      </c>
      <c r="L836" s="5"/>
      <c r="M836" s="5" t="s">
        <v>8</v>
      </c>
      <c r="N836" s="5" t="s">
        <v>80</v>
      </c>
      <c r="O836" s="5" t="str">
        <f>IF(B836="","",IFERROR(LOOKUP(2,1/('Call Log'!$C$2:$C$5000=B836),'Call Log'!$B$2:$B$5000),""))</f>
        <v/>
      </c>
      <c r="P836" s="5">
        <f>IF(B836="","",COUNTIFS('Call Log'!$C$2:$C$5000,B836,'Call Log'!$A$2:$A$5000,"&gt;="&amp;(TODAY()-WEEKDAY(TODAY(),2)+1)))</f>
        <v>0</v>
      </c>
      <c r="Q836" s="5">
        <f>IF(B836="","",COUNTIF('Call Log'!$C$2:$C$5000,B836))</f>
        <v>0</v>
      </c>
      <c r="R836" s="21" t="str">
        <f>IF(B836="","",IFERROR(IF(MAXIFS('Call Log'!$A$2:$A$5000,'Call Log'!$C$2:$C$5000,B836)=0,"",MAXIFS('Call Log'!$A$2:$A$5000,'Call Log'!$C$2:$C$5000,B836)),""))</f>
        <v/>
      </c>
      <c r="S836" s="5"/>
      <c r="T836" s="21"/>
      <c r="U836" s="21"/>
      <c r="V836" s="5"/>
      <c r="W836" s="20"/>
      <c r="X836" s="5"/>
      <c r="Y836" s="5"/>
      <c r="Z836" s="5"/>
      <c r="AA836" s="5"/>
    </row>
    <row r="837" ht="15.0" customHeight="1">
      <c r="A837" s="5" t="s">
        <v>4258</v>
      </c>
      <c r="B837" s="5" t="s">
        <v>4259</v>
      </c>
      <c r="C837" s="5"/>
      <c r="D837" s="5"/>
      <c r="E837" s="5"/>
      <c r="F837" s="20"/>
      <c r="G837" s="20"/>
      <c r="H837" s="5" t="s">
        <v>41</v>
      </c>
      <c r="I837" s="5" t="s">
        <v>154</v>
      </c>
      <c r="J837" s="5" t="s">
        <v>114</v>
      </c>
      <c r="K837" s="5" t="s">
        <v>4260</v>
      </c>
      <c r="L837" s="5"/>
      <c r="M837" s="5" t="s">
        <v>8</v>
      </c>
      <c r="N837" s="5" t="s">
        <v>80</v>
      </c>
      <c r="O837" s="5" t="str">
        <f>IF(B837="","",IFERROR(LOOKUP(2,1/('Call Log'!$C$2:$C$5000=B837),'Call Log'!$B$2:$B$5000),""))</f>
        <v/>
      </c>
      <c r="P837" s="5">
        <f>IF(B837="","",COUNTIFS('Call Log'!$C$2:$C$5000,B837,'Call Log'!$A$2:$A$5000,"&gt;="&amp;(TODAY()-WEEKDAY(TODAY(),2)+1)))</f>
        <v>0</v>
      </c>
      <c r="Q837" s="5">
        <f>IF(B837="","",COUNTIF('Call Log'!$C$2:$C$5000,B837))</f>
        <v>0</v>
      </c>
      <c r="R837" s="21" t="str">
        <f>IF(B837="","",IFERROR(IF(MAXIFS('Call Log'!$A$2:$A$5000,'Call Log'!$C$2:$C$5000,B837)=0,"",MAXIFS('Call Log'!$A$2:$A$5000,'Call Log'!$C$2:$C$5000,B837)),""))</f>
        <v/>
      </c>
      <c r="S837" s="5"/>
      <c r="T837" s="21"/>
      <c r="U837" s="21"/>
      <c r="V837" s="5"/>
      <c r="W837" s="20"/>
      <c r="X837" s="5"/>
      <c r="Y837" s="5"/>
      <c r="Z837" s="5"/>
      <c r="AA837" s="5"/>
    </row>
    <row r="838" ht="15.0" customHeight="1">
      <c r="A838" s="5" t="s">
        <v>4261</v>
      </c>
      <c r="B838" s="5" t="s">
        <v>4262</v>
      </c>
      <c r="C838" s="5"/>
      <c r="D838" s="5"/>
      <c r="E838" s="5"/>
      <c r="F838" s="20"/>
      <c r="G838" s="20"/>
      <c r="H838" s="5" t="s">
        <v>41</v>
      </c>
      <c r="I838" s="5" t="s">
        <v>206</v>
      </c>
      <c r="J838" s="5" t="s">
        <v>114</v>
      </c>
      <c r="K838" s="5" t="s">
        <v>4263</v>
      </c>
      <c r="L838" s="5"/>
      <c r="M838" s="5" t="s">
        <v>8</v>
      </c>
      <c r="N838" s="5" t="s">
        <v>80</v>
      </c>
      <c r="O838" s="5" t="str">
        <f>IF(B838="","",IFERROR(LOOKUP(2,1/('Call Log'!$C$2:$C$5000=B838),'Call Log'!$B$2:$B$5000),""))</f>
        <v/>
      </c>
      <c r="P838" s="5">
        <f>IF(B838="","",COUNTIFS('Call Log'!$C$2:$C$5000,B838,'Call Log'!$A$2:$A$5000,"&gt;="&amp;(TODAY()-WEEKDAY(TODAY(),2)+1)))</f>
        <v>0</v>
      </c>
      <c r="Q838" s="5">
        <f>IF(B838="","",COUNTIF('Call Log'!$C$2:$C$5000,B838))</f>
        <v>0</v>
      </c>
      <c r="R838" s="21" t="str">
        <f>IF(B838="","",IFERROR(IF(MAXIFS('Call Log'!$A$2:$A$5000,'Call Log'!$C$2:$C$5000,B838)=0,"",MAXIFS('Call Log'!$A$2:$A$5000,'Call Log'!$C$2:$C$5000,B838)),""))</f>
        <v/>
      </c>
      <c r="S838" s="5"/>
      <c r="T838" s="21"/>
      <c r="U838" s="21"/>
      <c r="V838" s="5"/>
      <c r="W838" s="20"/>
      <c r="X838" s="5"/>
      <c r="Y838" s="5"/>
      <c r="Z838" s="5"/>
      <c r="AA838" s="5"/>
    </row>
    <row r="839" ht="15.0" customHeight="1">
      <c r="A839" s="5" t="s">
        <v>4264</v>
      </c>
      <c r="B839" s="5" t="s">
        <v>4265</v>
      </c>
      <c r="C839" s="5"/>
      <c r="D839" s="5"/>
      <c r="E839" s="5"/>
      <c r="F839" s="20"/>
      <c r="G839" s="20"/>
      <c r="H839" s="5" t="s">
        <v>40</v>
      </c>
      <c r="I839" s="5" t="s">
        <v>122</v>
      </c>
      <c r="J839" s="5" t="s">
        <v>114</v>
      </c>
      <c r="K839" s="5" t="s">
        <v>4266</v>
      </c>
      <c r="L839" s="5"/>
      <c r="M839" s="5" t="s">
        <v>8</v>
      </c>
      <c r="N839" s="5" t="s">
        <v>80</v>
      </c>
      <c r="O839" s="5" t="str">
        <f>IF(B839="","",IFERROR(LOOKUP(2,1/('Call Log'!$C$2:$C$5000=B839),'Call Log'!$B$2:$B$5000),""))</f>
        <v/>
      </c>
      <c r="P839" s="5">
        <f>IF(B839="","",COUNTIFS('Call Log'!$C$2:$C$5000,B839,'Call Log'!$A$2:$A$5000,"&gt;="&amp;(TODAY()-WEEKDAY(TODAY(),2)+1)))</f>
        <v>0</v>
      </c>
      <c r="Q839" s="5">
        <f>IF(B839="","",COUNTIF('Call Log'!$C$2:$C$5000,B839))</f>
        <v>0</v>
      </c>
      <c r="R839" s="21" t="str">
        <f>IF(B839="","",IFERROR(IF(MAXIFS('Call Log'!$A$2:$A$5000,'Call Log'!$C$2:$C$5000,B839)=0,"",MAXIFS('Call Log'!$A$2:$A$5000,'Call Log'!$C$2:$C$5000,B839)),""))</f>
        <v/>
      </c>
      <c r="S839" s="5"/>
      <c r="T839" s="21"/>
      <c r="U839" s="21"/>
      <c r="V839" s="5"/>
      <c r="W839" s="20"/>
      <c r="X839" s="5"/>
      <c r="Y839" s="5"/>
      <c r="Z839" s="5"/>
      <c r="AA839" s="5"/>
    </row>
    <row r="840" ht="15.0" customHeight="1">
      <c r="A840" s="5" t="s">
        <v>4267</v>
      </c>
      <c r="B840" s="5" t="s">
        <v>4268</v>
      </c>
      <c r="C840" s="5"/>
      <c r="D840" s="5"/>
      <c r="E840" s="5"/>
      <c r="F840" s="20"/>
      <c r="G840" s="20"/>
      <c r="H840" s="5" t="s">
        <v>41</v>
      </c>
      <c r="I840" s="5" t="s">
        <v>1313</v>
      </c>
      <c r="J840" s="5" t="s">
        <v>114</v>
      </c>
      <c r="K840" s="5" t="s">
        <v>4269</v>
      </c>
      <c r="L840" s="5"/>
      <c r="M840" s="5" t="s">
        <v>8</v>
      </c>
      <c r="N840" s="5" t="s">
        <v>80</v>
      </c>
      <c r="O840" s="5" t="str">
        <f>IF(B840="","",IFERROR(LOOKUP(2,1/('Call Log'!$C$2:$C$5000=B840),'Call Log'!$B$2:$B$5000),""))</f>
        <v/>
      </c>
      <c r="P840" s="5">
        <f>IF(B840="","",COUNTIFS('Call Log'!$C$2:$C$5000,B840,'Call Log'!$A$2:$A$5000,"&gt;="&amp;(TODAY()-WEEKDAY(TODAY(),2)+1)))</f>
        <v>0</v>
      </c>
      <c r="Q840" s="5">
        <f>IF(B840="","",COUNTIF('Call Log'!$C$2:$C$5000,B840))</f>
        <v>0</v>
      </c>
      <c r="R840" s="21" t="str">
        <f>IF(B840="","",IFERROR(IF(MAXIFS('Call Log'!$A$2:$A$5000,'Call Log'!$C$2:$C$5000,B840)=0,"",MAXIFS('Call Log'!$A$2:$A$5000,'Call Log'!$C$2:$C$5000,B840)),""))</f>
        <v/>
      </c>
      <c r="S840" s="5"/>
      <c r="T840" s="21"/>
      <c r="U840" s="21"/>
      <c r="V840" s="5"/>
      <c r="W840" s="20"/>
      <c r="X840" s="5"/>
      <c r="Y840" s="5"/>
      <c r="Z840" s="5"/>
      <c r="AA840" s="5"/>
    </row>
    <row r="841" ht="15.0" customHeight="1">
      <c r="A841" s="5" t="s">
        <v>4270</v>
      </c>
      <c r="B841" s="5" t="s">
        <v>4271</v>
      </c>
      <c r="C841" s="5"/>
      <c r="D841" s="5"/>
      <c r="E841" s="5"/>
      <c r="F841" s="20"/>
      <c r="G841" s="20"/>
      <c r="H841" s="5" t="s">
        <v>41</v>
      </c>
      <c r="I841" s="5" t="s">
        <v>667</v>
      </c>
      <c r="J841" s="5" t="s">
        <v>114</v>
      </c>
      <c r="K841" s="5" t="s">
        <v>4272</v>
      </c>
      <c r="L841" s="5"/>
      <c r="M841" s="5" t="s">
        <v>8</v>
      </c>
      <c r="N841" s="5" t="s">
        <v>80</v>
      </c>
      <c r="O841" s="5" t="str">
        <f>IF(B841="","",IFERROR(LOOKUP(2,1/('Call Log'!$C$2:$C$5000=B841),'Call Log'!$B$2:$B$5000),""))</f>
        <v/>
      </c>
      <c r="P841" s="5">
        <f>IF(B841="","",COUNTIFS('Call Log'!$C$2:$C$5000,B841,'Call Log'!$A$2:$A$5000,"&gt;="&amp;(TODAY()-WEEKDAY(TODAY(),2)+1)))</f>
        <v>0</v>
      </c>
      <c r="Q841" s="5">
        <f>IF(B841="","",COUNTIF('Call Log'!$C$2:$C$5000,B841))</f>
        <v>0</v>
      </c>
      <c r="R841" s="21" t="str">
        <f>IF(B841="","",IFERROR(IF(MAXIFS('Call Log'!$A$2:$A$5000,'Call Log'!$C$2:$C$5000,B841)=0,"",MAXIFS('Call Log'!$A$2:$A$5000,'Call Log'!$C$2:$C$5000,B841)),""))</f>
        <v/>
      </c>
      <c r="S841" s="5"/>
      <c r="T841" s="21"/>
      <c r="U841" s="21"/>
      <c r="V841" s="5"/>
      <c r="W841" s="20"/>
      <c r="X841" s="5"/>
      <c r="Y841" s="5"/>
      <c r="Z841" s="5"/>
      <c r="AA841" s="5"/>
    </row>
    <row r="842" ht="15.0" customHeight="1">
      <c r="A842" s="5" t="s">
        <v>4273</v>
      </c>
      <c r="B842" s="5" t="s">
        <v>4274</v>
      </c>
      <c r="C842" s="5"/>
      <c r="D842" s="5"/>
      <c r="E842" s="5"/>
      <c r="F842" s="20"/>
      <c r="G842" s="20"/>
      <c r="H842" s="5" t="s">
        <v>41</v>
      </c>
      <c r="I842" s="5" t="s">
        <v>184</v>
      </c>
      <c r="J842" s="5" t="s">
        <v>114</v>
      </c>
      <c r="K842" s="5" t="s">
        <v>4275</v>
      </c>
      <c r="L842" s="5"/>
      <c r="M842" s="5" t="s">
        <v>8</v>
      </c>
      <c r="N842" s="5" t="s">
        <v>80</v>
      </c>
      <c r="O842" s="5" t="str">
        <f>IF(B842="","",IFERROR(LOOKUP(2,1/('Call Log'!$C$2:$C$5000=B842),'Call Log'!$B$2:$B$5000),""))</f>
        <v/>
      </c>
      <c r="P842" s="5">
        <f>IF(B842="","",COUNTIFS('Call Log'!$C$2:$C$5000,B842,'Call Log'!$A$2:$A$5000,"&gt;="&amp;(TODAY()-WEEKDAY(TODAY(),2)+1)))</f>
        <v>0</v>
      </c>
      <c r="Q842" s="5">
        <f>IF(B842="","",COUNTIF('Call Log'!$C$2:$C$5000,B842))</f>
        <v>0</v>
      </c>
      <c r="R842" s="21" t="str">
        <f>IF(B842="","",IFERROR(IF(MAXIFS('Call Log'!$A$2:$A$5000,'Call Log'!$C$2:$C$5000,B842)=0,"",MAXIFS('Call Log'!$A$2:$A$5000,'Call Log'!$C$2:$C$5000,B842)),""))</f>
        <v/>
      </c>
      <c r="S842" s="5"/>
      <c r="T842" s="21"/>
      <c r="U842" s="21"/>
      <c r="V842" s="5"/>
      <c r="W842" s="20"/>
      <c r="X842" s="5"/>
      <c r="Y842" s="5"/>
      <c r="Z842" s="5"/>
      <c r="AA842" s="5"/>
    </row>
    <row r="843" ht="15.0" customHeight="1">
      <c r="A843" s="5" t="s">
        <v>4276</v>
      </c>
      <c r="B843" s="5" t="s">
        <v>4277</v>
      </c>
      <c r="C843" s="5"/>
      <c r="D843" s="5"/>
      <c r="E843" s="5">
        <v>2.0</v>
      </c>
      <c r="F843" s="20"/>
      <c r="G843" s="20"/>
      <c r="H843" s="5" t="s">
        <v>40</v>
      </c>
      <c r="I843" s="5" t="s">
        <v>370</v>
      </c>
      <c r="J843" s="5" t="s">
        <v>114</v>
      </c>
      <c r="K843" s="5" t="s">
        <v>4278</v>
      </c>
      <c r="L843" s="5"/>
      <c r="M843" s="5" t="s">
        <v>8</v>
      </c>
      <c r="N843" s="5" t="s">
        <v>80</v>
      </c>
      <c r="O843" s="5" t="str">
        <f>IF(B843="","",IFERROR(LOOKUP(2,1/('Call Log'!$C$2:$C$5000=B843),'Call Log'!$B$2:$B$5000),""))</f>
        <v/>
      </c>
      <c r="P843" s="5">
        <f>IF(B843="","",COUNTIFS('Call Log'!$C$2:$C$5000,B843,'Call Log'!$A$2:$A$5000,"&gt;="&amp;(TODAY()-WEEKDAY(TODAY(),2)+1)))</f>
        <v>0</v>
      </c>
      <c r="Q843" s="5">
        <f>IF(B843="","",COUNTIF('Call Log'!$C$2:$C$5000,B843))</f>
        <v>0</v>
      </c>
      <c r="R843" s="21" t="str">
        <f>IF(B843="","",IFERROR(IF(MAXIFS('Call Log'!$A$2:$A$5000,'Call Log'!$C$2:$C$5000,B843)=0,"",MAXIFS('Call Log'!$A$2:$A$5000,'Call Log'!$C$2:$C$5000,B843)),""))</f>
        <v/>
      </c>
      <c r="S843" s="5"/>
      <c r="T843" s="21"/>
      <c r="U843" s="21"/>
      <c r="V843" s="5"/>
      <c r="W843" s="20"/>
      <c r="X843" s="5"/>
      <c r="Y843" s="5"/>
      <c r="Z843" s="5"/>
      <c r="AA843" s="5"/>
    </row>
    <row r="844" ht="15.0" customHeight="1">
      <c r="A844" s="5" t="s">
        <v>4279</v>
      </c>
      <c r="B844" s="5" t="s">
        <v>4280</v>
      </c>
      <c r="C844" s="5"/>
      <c r="D844" s="5"/>
      <c r="E844" s="5"/>
      <c r="F844" s="20"/>
      <c r="G844" s="20"/>
      <c r="H844" s="5" t="s">
        <v>41</v>
      </c>
      <c r="I844" s="5" t="s">
        <v>1320</v>
      </c>
      <c r="J844" s="5" t="s">
        <v>114</v>
      </c>
      <c r="K844" s="5"/>
      <c r="L844" s="5"/>
      <c r="M844" s="5" t="s">
        <v>8</v>
      </c>
      <c r="N844" s="5" t="s">
        <v>80</v>
      </c>
      <c r="O844" s="5" t="str">
        <f>IF(B844="","",IFERROR(LOOKUP(2,1/('Call Log'!$C$2:$C$5000=B844),'Call Log'!$B$2:$B$5000),""))</f>
        <v/>
      </c>
      <c r="P844" s="5">
        <f>IF(B844="","",COUNTIFS('Call Log'!$C$2:$C$5000,B844,'Call Log'!$A$2:$A$5000,"&gt;="&amp;(TODAY()-WEEKDAY(TODAY(),2)+1)))</f>
        <v>0</v>
      </c>
      <c r="Q844" s="5">
        <f>IF(B844="","",COUNTIF('Call Log'!$C$2:$C$5000,B844))</f>
        <v>0</v>
      </c>
      <c r="R844" s="21" t="str">
        <f>IF(B844="","",IFERROR(IF(MAXIFS('Call Log'!$A$2:$A$5000,'Call Log'!$C$2:$C$5000,B844)=0,"",MAXIFS('Call Log'!$A$2:$A$5000,'Call Log'!$C$2:$C$5000,B844)),""))</f>
        <v/>
      </c>
      <c r="S844" s="5"/>
      <c r="T844" s="21"/>
      <c r="U844" s="21"/>
      <c r="V844" s="5"/>
      <c r="W844" s="20"/>
      <c r="X844" s="5"/>
      <c r="Y844" s="5"/>
      <c r="Z844" s="5"/>
      <c r="AA844" s="5"/>
    </row>
    <row r="845" ht="15.0" customHeight="1">
      <c r="A845" s="5" t="s">
        <v>4281</v>
      </c>
      <c r="B845" s="5" t="s">
        <v>4282</v>
      </c>
      <c r="C845" s="5"/>
      <c r="D845" s="5"/>
      <c r="E845" s="5"/>
      <c r="F845" s="20"/>
      <c r="G845" s="20"/>
      <c r="H845" s="5" t="s">
        <v>41</v>
      </c>
      <c r="I845" s="5" t="s">
        <v>667</v>
      </c>
      <c r="J845" s="5" t="s">
        <v>114</v>
      </c>
      <c r="K845" s="5" t="s">
        <v>4283</v>
      </c>
      <c r="L845" s="5"/>
      <c r="M845" s="5" t="s">
        <v>8</v>
      </c>
      <c r="N845" s="5" t="s">
        <v>80</v>
      </c>
      <c r="O845" s="5" t="str">
        <f>IF(B845="","",IFERROR(LOOKUP(2,1/('Call Log'!$C$2:$C$5000=B845),'Call Log'!$B$2:$B$5000),""))</f>
        <v/>
      </c>
      <c r="P845" s="5">
        <f>IF(B845="","",COUNTIFS('Call Log'!$C$2:$C$5000,B845,'Call Log'!$A$2:$A$5000,"&gt;="&amp;(TODAY()-WEEKDAY(TODAY(),2)+1)))</f>
        <v>0</v>
      </c>
      <c r="Q845" s="5">
        <f>IF(B845="","",COUNTIF('Call Log'!$C$2:$C$5000,B845))</f>
        <v>0</v>
      </c>
      <c r="R845" s="21" t="str">
        <f>IF(B845="","",IFERROR(IF(MAXIFS('Call Log'!$A$2:$A$5000,'Call Log'!$C$2:$C$5000,B845)=0,"",MAXIFS('Call Log'!$A$2:$A$5000,'Call Log'!$C$2:$C$5000,B845)),""))</f>
        <v/>
      </c>
      <c r="S845" s="5"/>
      <c r="T845" s="21"/>
      <c r="U845" s="21"/>
      <c r="V845" s="5"/>
      <c r="W845" s="20"/>
      <c r="X845" s="5"/>
      <c r="Y845" s="5"/>
      <c r="Z845" s="5"/>
      <c r="AA845" s="5"/>
    </row>
    <row r="846" ht="15.0" customHeight="1">
      <c r="A846" s="5" t="s">
        <v>4284</v>
      </c>
      <c r="B846" s="5" t="s">
        <v>4285</v>
      </c>
      <c r="C846" s="5"/>
      <c r="D846" s="5"/>
      <c r="E846" s="5"/>
      <c r="F846" s="20"/>
      <c r="G846" s="20"/>
      <c r="H846" s="5" t="s">
        <v>41</v>
      </c>
      <c r="I846" s="5" t="s">
        <v>904</v>
      </c>
      <c r="J846" s="5" t="s">
        <v>114</v>
      </c>
      <c r="K846" s="5" t="s">
        <v>4286</v>
      </c>
      <c r="L846" s="5"/>
      <c r="M846" s="5" t="s">
        <v>8</v>
      </c>
      <c r="N846" s="5" t="s">
        <v>80</v>
      </c>
      <c r="O846" s="5" t="str">
        <f>IF(B846="","",IFERROR(LOOKUP(2,1/('Call Log'!$C$2:$C$5000=B846),'Call Log'!$B$2:$B$5000),""))</f>
        <v/>
      </c>
      <c r="P846" s="5">
        <f>IF(B846="","",COUNTIFS('Call Log'!$C$2:$C$5000,B846,'Call Log'!$A$2:$A$5000,"&gt;="&amp;(TODAY()-WEEKDAY(TODAY(),2)+1)))</f>
        <v>0</v>
      </c>
      <c r="Q846" s="5">
        <f>IF(B846="","",COUNTIF('Call Log'!$C$2:$C$5000,B846))</f>
        <v>0</v>
      </c>
      <c r="R846" s="21" t="str">
        <f>IF(B846="","",IFERROR(IF(MAXIFS('Call Log'!$A$2:$A$5000,'Call Log'!$C$2:$C$5000,B846)=0,"",MAXIFS('Call Log'!$A$2:$A$5000,'Call Log'!$C$2:$C$5000,B846)),""))</f>
        <v/>
      </c>
      <c r="S846" s="5"/>
      <c r="T846" s="21"/>
      <c r="U846" s="21"/>
      <c r="V846" s="5"/>
      <c r="W846" s="20"/>
      <c r="X846" s="5"/>
      <c r="Y846" s="5"/>
      <c r="Z846" s="5"/>
      <c r="AA846" s="5"/>
    </row>
    <row r="847" ht="15.0" customHeight="1">
      <c r="A847" s="5" t="s">
        <v>4287</v>
      </c>
      <c r="B847" s="5" t="s">
        <v>4288</v>
      </c>
      <c r="C847" s="5"/>
      <c r="D847" s="5"/>
      <c r="E847" s="5"/>
      <c r="F847" s="20"/>
      <c r="G847" s="20"/>
      <c r="H847" s="5" t="s">
        <v>41</v>
      </c>
      <c r="I847" s="5" t="s">
        <v>422</v>
      </c>
      <c r="J847" s="5" t="s">
        <v>114</v>
      </c>
      <c r="K847" s="5" t="s">
        <v>4289</v>
      </c>
      <c r="L847" s="5"/>
      <c r="M847" s="5" t="s">
        <v>8</v>
      </c>
      <c r="N847" s="5" t="s">
        <v>80</v>
      </c>
      <c r="O847" s="5" t="str">
        <f>IF(B847="","",IFERROR(LOOKUP(2,1/('Call Log'!$C$2:$C$5000=B847),'Call Log'!$B$2:$B$5000),""))</f>
        <v/>
      </c>
      <c r="P847" s="5">
        <f>IF(B847="","",COUNTIFS('Call Log'!$C$2:$C$5000,B847,'Call Log'!$A$2:$A$5000,"&gt;="&amp;(TODAY()-WEEKDAY(TODAY(),2)+1)))</f>
        <v>0</v>
      </c>
      <c r="Q847" s="5">
        <f>IF(B847="","",COUNTIF('Call Log'!$C$2:$C$5000,B847))</f>
        <v>0</v>
      </c>
      <c r="R847" s="21" t="str">
        <f>IF(B847="","",IFERROR(IF(MAXIFS('Call Log'!$A$2:$A$5000,'Call Log'!$C$2:$C$5000,B847)=0,"",MAXIFS('Call Log'!$A$2:$A$5000,'Call Log'!$C$2:$C$5000,B847)),""))</f>
        <v/>
      </c>
      <c r="S847" s="5"/>
      <c r="T847" s="21"/>
      <c r="U847" s="21"/>
      <c r="V847" s="5"/>
      <c r="W847" s="20"/>
      <c r="X847" s="5"/>
      <c r="Y847" s="5"/>
      <c r="Z847" s="5"/>
      <c r="AA847" s="5"/>
    </row>
    <row r="848" ht="15.0" customHeight="1">
      <c r="A848" s="5" t="s">
        <v>4290</v>
      </c>
      <c r="B848" s="5" t="s">
        <v>4291</v>
      </c>
      <c r="C848" s="5"/>
      <c r="D848" s="5"/>
      <c r="E848" s="5"/>
      <c r="F848" s="20"/>
      <c r="G848" s="20"/>
      <c r="H848" s="5" t="s">
        <v>40</v>
      </c>
      <c r="I848" s="5" t="s">
        <v>1048</v>
      </c>
      <c r="J848" s="5" t="s">
        <v>114</v>
      </c>
      <c r="K848" s="5" t="s">
        <v>4292</v>
      </c>
      <c r="L848" s="5"/>
      <c r="M848" s="5" t="s">
        <v>8</v>
      </c>
      <c r="N848" s="5" t="s">
        <v>80</v>
      </c>
      <c r="O848" s="5" t="str">
        <f>IF(B848="","",IFERROR(LOOKUP(2,1/('Call Log'!$C$2:$C$5000=B848),'Call Log'!$B$2:$B$5000),""))</f>
        <v/>
      </c>
      <c r="P848" s="5">
        <f>IF(B848="","",COUNTIFS('Call Log'!$C$2:$C$5000,B848,'Call Log'!$A$2:$A$5000,"&gt;="&amp;(TODAY()-WEEKDAY(TODAY(),2)+1)))</f>
        <v>0</v>
      </c>
      <c r="Q848" s="5">
        <f>IF(B848="","",COUNTIF('Call Log'!$C$2:$C$5000,B848))</f>
        <v>0</v>
      </c>
      <c r="R848" s="21" t="str">
        <f>IF(B848="","",IFERROR(IF(MAXIFS('Call Log'!$A$2:$A$5000,'Call Log'!$C$2:$C$5000,B848)=0,"",MAXIFS('Call Log'!$A$2:$A$5000,'Call Log'!$C$2:$C$5000,B848)),""))</f>
        <v/>
      </c>
      <c r="S848" s="5"/>
      <c r="T848" s="21"/>
      <c r="U848" s="21"/>
      <c r="V848" s="5"/>
      <c r="W848" s="20"/>
      <c r="X848" s="5"/>
      <c r="Y848" s="5"/>
      <c r="Z848" s="5"/>
      <c r="AA848" s="5"/>
    </row>
    <row r="849" ht="15.0" customHeight="1">
      <c r="A849" s="5" t="s">
        <v>4293</v>
      </c>
      <c r="B849" s="5" t="s">
        <v>4294</v>
      </c>
      <c r="C849" s="5"/>
      <c r="D849" s="5"/>
      <c r="E849" s="5"/>
      <c r="F849" s="20"/>
      <c r="G849" s="20"/>
      <c r="H849" s="5" t="s">
        <v>41</v>
      </c>
      <c r="I849" s="5" t="s">
        <v>4089</v>
      </c>
      <c r="J849" s="5" t="s">
        <v>114</v>
      </c>
      <c r="K849" s="5" t="s">
        <v>4295</v>
      </c>
      <c r="L849" s="5"/>
      <c r="M849" s="5" t="s">
        <v>8</v>
      </c>
      <c r="N849" s="5" t="s">
        <v>80</v>
      </c>
      <c r="O849" s="5" t="str">
        <f>IF(B849="","",IFERROR(LOOKUP(2,1/('Call Log'!$C$2:$C$5000=B849),'Call Log'!$B$2:$B$5000),""))</f>
        <v/>
      </c>
      <c r="P849" s="5">
        <f>IF(B849="","",COUNTIFS('Call Log'!$C$2:$C$5000,B849,'Call Log'!$A$2:$A$5000,"&gt;="&amp;(TODAY()-WEEKDAY(TODAY(),2)+1)))</f>
        <v>0</v>
      </c>
      <c r="Q849" s="5">
        <f>IF(B849="","",COUNTIF('Call Log'!$C$2:$C$5000,B849))</f>
        <v>0</v>
      </c>
      <c r="R849" s="21" t="str">
        <f>IF(B849="","",IFERROR(IF(MAXIFS('Call Log'!$A$2:$A$5000,'Call Log'!$C$2:$C$5000,B849)=0,"",MAXIFS('Call Log'!$A$2:$A$5000,'Call Log'!$C$2:$C$5000,B849)),""))</f>
        <v/>
      </c>
      <c r="S849" s="5"/>
      <c r="T849" s="21"/>
      <c r="U849" s="21"/>
      <c r="V849" s="5"/>
      <c r="W849" s="20"/>
      <c r="X849" s="5"/>
      <c r="Y849" s="5"/>
      <c r="Z849" s="5"/>
      <c r="AA849" s="5"/>
    </row>
    <row r="850" ht="15.0" customHeight="1">
      <c r="A850" s="5" t="s">
        <v>4296</v>
      </c>
      <c r="B850" s="5" t="s">
        <v>4297</v>
      </c>
      <c r="C850" s="5"/>
      <c r="D850" s="5"/>
      <c r="E850" s="5"/>
      <c r="F850" s="20"/>
      <c r="G850" s="20"/>
      <c r="H850" s="5" t="s">
        <v>40</v>
      </c>
      <c r="I850" s="5" t="s">
        <v>198</v>
      </c>
      <c r="J850" s="5" t="s">
        <v>114</v>
      </c>
      <c r="K850" s="5" t="s">
        <v>4298</v>
      </c>
      <c r="L850" s="5"/>
      <c r="M850" s="5" t="s">
        <v>8</v>
      </c>
      <c r="N850" s="5" t="s">
        <v>80</v>
      </c>
      <c r="O850" s="5" t="str">
        <f>IF(B850="","",IFERROR(LOOKUP(2,1/('Call Log'!$C$2:$C$5000=B850),'Call Log'!$B$2:$B$5000),""))</f>
        <v/>
      </c>
      <c r="P850" s="5">
        <f>IF(B850="","",COUNTIFS('Call Log'!$C$2:$C$5000,B850,'Call Log'!$A$2:$A$5000,"&gt;="&amp;(TODAY()-WEEKDAY(TODAY(),2)+1)))</f>
        <v>0</v>
      </c>
      <c r="Q850" s="5">
        <f>IF(B850="","",COUNTIF('Call Log'!$C$2:$C$5000,B850))</f>
        <v>0</v>
      </c>
      <c r="R850" s="21" t="str">
        <f>IF(B850="","",IFERROR(IF(MAXIFS('Call Log'!$A$2:$A$5000,'Call Log'!$C$2:$C$5000,B850)=0,"",MAXIFS('Call Log'!$A$2:$A$5000,'Call Log'!$C$2:$C$5000,B850)),""))</f>
        <v/>
      </c>
      <c r="S850" s="5"/>
      <c r="T850" s="21"/>
      <c r="U850" s="21"/>
      <c r="V850" s="5"/>
      <c r="W850" s="20"/>
      <c r="X850" s="5"/>
      <c r="Y850" s="5"/>
      <c r="Z850" s="5"/>
      <c r="AA850" s="5"/>
    </row>
    <row r="851" ht="15.0" customHeight="1">
      <c r="A851" s="5" t="s">
        <v>4299</v>
      </c>
      <c r="B851" s="5" t="s">
        <v>4300</v>
      </c>
      <c r="C851" s="5"/>
      <c r="D851" s="5"/>
      <c r="E851" s="5"/>
      <c r="F851" s="20"/>
      <c r="G851" s="20"/>
      <c r="H851" s="5" t="s">
        <v>41</v>
      </c>
      <c r="I851" s="5" t="s">
        <v>422</v>
      </c>
      <c r="J851" s="5" t="s">
        <v>114</v>
      </c>
      <c r="K851" s="5" t="s">
        <v>4301</v>
      </c>
      <c r="L851" s="5"/>
      <c r="M851" s="5" t="s">
        <v>8</v>
      </c>
      <c r="N851" s="5" t="s">
        <v>80</v>
      </c>
      <c r="O851" s="5" t="str">
        <f>IF(B851="","",IFERROR(LOOKUP(2,1/('Call Log'!$C$2:$C$5000=B851),'Call Log'!$B$2:$B$5000),""))</f>
        <v/>
      </c>
      <c r="P851" s="5">
        <f>IF(B851="","",COUNTIFS('Call Log'!$C$2:$C$5000,B851,'Call Log'!$A$2:$A$5000,"&gt;="&amp;(TODAY()-WEEKDAY(TODAY(),2)+1)))</f>
        <v>0</v>
      </c>
      <c r="Q851" s="5">
        <f>IF(B851="","",COUNTIF('Call Log'!$C$2:$C$5000,B851))</f>
        <v>0</v>
      </c>
      <c r="R851" s="21" t="str">
        <f>IF(B851="","",IFERROR(IF(MAXIFS('Call Log'!$A$2:$A$5000,'Call Log'!$C$2:$C$5000,B851)=0,"",MAXIFS('Call Log'!$A$2:$A$5000,'Call Log'!$C$2:$C$5000,B851)),""))</f>
        <v/>
      </c>
      <c r="S851" s="5"/>
      <c r="T851" s="21"/>
      <c r="U851" s="21"/>
      <c r="V851" s="5"/>
      <c r="W851" s="20"/>
      <c r="X851" s="5"/>
      <c r="Y851" s="5"/>
      <c r="Z851" s="5"/>
      <c r="AA851" s="5"/>
    </row>
    <row r="852" ht="15.0" customHeight="1">
      <c r="A852" s="5" t="s">
        <v>4302</v>
      </c>
      <c r="B852" s="5" t="s">
        <v>4303</v>
      </c>
      <c r="C852" s="5"/>
      <c r="D852" s="5"/>
      <c r="E852" s="5"/>
      <c r="F852" s="20"/>
      <c r="G852" s="20"/>
      <c r="H852" s="5" t="s">
        <v>41</v>
      </c>
      <c r="I852" s="5" t="s">
        <v>1093</v>
      </c>
      <c r="J852" s="5" t="s">
        <v>114</v>
      </c>
      <c r="K852" s="5" t="s">
        <v>4304</v>
      </c>
      <c r="L852" s="5"/>
      <c r="M852" s="5" t="s">
        <v>8</v>
      </c>
      <c r="N852" s="5" t="s">
        <v>80</v>
      </c>
      <c r="O852" s="5" t="str">
        <f>IF(B852="","",IFERROR(LOOKUP(2,1/('Call Log'!$C$2:$C$5000=B852),'Call Log'!$B$2:$B$5000),""))</f>
        <v/>
      </c>
      <c r="P852" s="5">
        <f>IF(B852="","",COUNTIFS('Call Log'!$C$2:$C$5000,B852,'Call Log'!$A$2:$A$5000,"&gt;="&amp;(TODAY()-WEEKDAY(TODAY(),2)+1)))</f>
        <v>0</v>
      </c>
      <c r="Q852" s="5">
        <f>IF(B852="","",COUNTIF('Call Log'!$C$2:$C$5000,B852))</f>
        <v>0</v>
      </c>
      <c r="R852" s="21" t="str">
        <f>IF(B852="","",IFERROR(IF(MAXIFS('Call Log'!$A$2:$A$5000,'Call Log'!$C$2:$C$5000,B852)=0,"",MAXIFS('Call Log'!$A$2:$A$5000,'Call Log'!$C$2:$C$5000,B852)),""))</f>
        <v/>
      </c>
      <c r="S852" s="5"/>
      <c r="T852" s="21"/>
      <c r="U852" s="21"/>
      <c r="V852" s="5"/>
      <c r="W852" s="20"/>
      <c r="X852" s="5"/>
      <c r="Y852" s="5"/>
      <c r="Z852" s="5"/>
      <c r="AA852" s="5"/>
    </row>
    <row r="853" ht="15.0" customHeight="1">
      <c r="A853" s="5" t="s">
        <v>4305</v>
      </c>
      <c r="B853" s="5" t="s">
        <v>4306</v>
      </c>
      <c r="C853" s="5"/>
      <c r="D853" s="5"/>
      <c r="E853" s="5"/>
      <c r="F853" s="20"/>
      <c r="G853" s="20"/>
      <c r="H853" s="5" t="s">
        <v>40</v>
      </c>
      <c r="I853" s="5" t="s">
        <v>113</v>
      </c>
      <c r="J853" s="5" t="s">
        <v>114</v>
      </c>
      <c r="K853" s="5" t="s">
        <v>4307</v>
      </c>
      <c r="L853" s="5"/>
      <c r="M853" s="5" t="s">
        <v>8</v>
      </c>
      <c r="N853" s="5" t="s">
        <v>80</v>
      </c>
      <c r="O853" s="5" t="str">
        <f>IF(B853="","",IFERROR(LOOKUP(2,1/('Call Log'!$C$2:$C$5000=B853),'Call Log'!$B$2:$B$5000),""))</f>
        <v/>
      </c>
      <c r="P853" s="5">
        <f>IF(B853="","",COUNTIFS('Call Log'!$C$2:$C$5000,B853,'Call Log'!$A$2:$A$5000,"&gt;="&amp;(TODAY()-WEEKDAY(TODAY(),2)+1)))</f>
        <v>0</v>
      </c>
      <c r="Q853" s="5">
        <f>IF(B853="","",COUNTIF('Call Log'!$C$2:$C$5000,B853))</f>
        <v>0</v>
      </c>
      <c r="R853" s="21" t="str">
        <f>IF(B853="","",IFERROR(IF(MAXIFS('Call Log'!$A$2:$A$5000,'Call Log'!$C$2:$C$5000,B853)=0,"",MAXIFS('Call Log'!$A$2:$A$5000,'Call Log'!$C$2:$C$5000,B853)),""))</f>
        <v/>
      </c>
      <c r="S853" s="5"/>
      <c r="T853" s="21"/>
      <c r="U853" s="21"/>
      <c r="V853" s="5"/>
      <c r="W853" s="20"/>
      <c r="X853" s="5"/>
      <c r="Y853" s="5"/>
      <c r="Z853" s="5"/>
      <c r="AA853" s="5"/>
    </row>
    <row r="854" ht="15.0" customHeight="1">
      <c r="A854" s="5" t="s">
        <v>4308</v>
      </c>
      <c r="B854" s="5" t="s">
        <v>4309</v>
      </c>
      <c r="C854" s="5"/>
      <c r="D854" s="5"/>
      <c r="E854" s="5"/>
      <c r="F854" s="20"/>
      <c r="G854" s="20"/>
      <c r="H854" s="5" t="s">
        <v>41</v>
      </c>
      <c r="I854" s="5" t="s">
        <v>218</v>
      </c>
      <c r="J854" s="5" t="s">
        <v>114</v>
      </c>
      <c r="K854" s="5" t="s">
        <v>4310</v>
      </c>
      <c r="L854" s="5"/>
      <c r="M854" s="5" t="s">
        <v>8</v>
      </c>
      <c r="N854" s="5" t="s">
        <v>80</v>
      </c>
      <c r="O854" s="5" t="str">
        <f>IF(B854="","",IFERROR(LOOKUP(2,1/('Call Log'!$C$2:$C$5000=B854),'Call Log'!$B$2:$B$5000),""))</f>
        <v/>
      </c>
      <c r="P854" s="5">
        <f>IF(B854="","",COUNTIFS('Call Log'!$C$2:$C$5000,B854,'Call Log'!$A$2:$A$5000,"&gt;="&amp;(TODAY()-WEEKDAY(TODAY(),2)+1)))</f>
        <v>0</v>
      </c>
      <c r="Q854" s="5">
        <f>IF(B854="","",COUNTIF('Call Log'!$C$2:$C$5000,B854))</f>
        <v>0</v>
      </c>
      <c r="R854" s="21" t="str">
        <f>IF(B854="","",IFERROR(IF(MAXIFS('Call Log'!$A$2:$A$5000,'Call Log'!$C$2:$C$5000,B854)=0,"",MAXIFS('Call Log'!$A$2:$A$5000,'Call Log'!$C$2:$C$5000,B854)),""))</f>
        <v/>
      </c>
      <c r="S854" s="5"/>
      <c r="T854" s="21"/>
      <c r="U854" s="21"/>
      <c r="V854" s="5"/>
      <c r="W854" s="20"/>
      <c r="X854" s="5"/>
      <c r="Y854" s="5"/>
      <c r="Z854" s="5"/>
      <c r="AA854" s="5"/>
    </row>
    <row r="855" ht="15.0" customHeight="1">
      <c r="A855" s="5" t="s">
        <v>4311</v>
      </c>
      <c r="B855" s="5" t="s">
        <v>4312</v>
      </c>
      <c r="C855" s="5"/>
      <c r="D855" s="5"/>
      <c r="E855" s="5"/>
      <c r="F855" s="20"/>
      <c r="G855" s="20"/>
      <c r="H855" s="5" t="s">
        <v>40</v>
      </c>
      <c r="I855" s="5" t="s">
        <v>461</v>
      </c>
      <c r="J855" s="5" t="s">
        <v>114</v>
      </c>
      <c r="K855" s="5" t="s">
        <v>4313</v>
      </c>
      <c r="L855" s="5"/>
      <c r="M855" s="5" t="s">
        <v>8</v>
      </c>
      <c r="N855" s="5" t="s">
        <v>80</v>
      </c>
      <c r="O855" s="5" t="str">
        <f>IF(B855="","",IFERROR(LOOKUP(2,1/('Call Log'!$C$2:$C$5000=B855),'Call Log'!$B$2:$B$5000),""))</f>
        <v/>
      </c>
      <c r="P855" s="5">
        <f>IF(B855="","",COUNTIFS('Call Log'!$C$2:$C$5000,B855,'Call Log'!$A$2:$A$5000,"&gt;="&amp;(TODAY()-WEEKDAY(TODAY(),2)+1)))</f>
        <v>0</v>
      </c>
      <c r="Q855" s="5">
        <f>IF(B855="","",COUNTIF('Call Log'!$C$2:$C$5000,B855))</f>
        <v>0</v>
      </c>
      <c r="R855" s="21" t="str">
        <f>IF(B855="","",IFERROR(IF(MAXIFS('Call Log'!$A$2:$A$5000,'Call Log'!$C$2:$C$5000,B855)=0,"",MAXIFS('Call Log'!$A$2:$A$5000,'Call Log'!$C$2:$C$5000,B855)),""))</f>
        <v/>
      </c>
      <c r="S855" s="5"/>
      <c r="T855" s="21"/>
      <c r="U855" s="21"/>
      <c r="V855" s="5"/>
      <c r="W855" s="20"/>
      <c r="X855" s="5"/>
      <c r="Y855" s="5"/>
      <c r="Z855" s="5"/>
      <c r="AA855" s="5"/>
    </row>
    <row r="856" ht="15.0" customHeight="1">
      <c r="A856" s="5" t="s">
        <v>4314</v>
      </c>
      <c r="B856" s="5" t="s">
        <v>4315</v>
      </c>
      <c r="C856" s="5"/>
      <c r="D856" s="5"/>
      <c r="E856" s="5"/>
      <c r="F856" s="20"/>
      <c r="G856" s="20"/>
      <c r="H856" s="5" t="s">
        <v>40</v>
      </c>
      <c r="I856" s="5" t="s">
        <v>1313</v>
      </c>
      <c r="J856" s="5" t="s">
        <v>114</v>
      </c>
      <c r="K856" s="5" t="s">
        <v>4316</v>
      </c>
      <c r="L856" s="5"/>
      <c r="M856" s="5" t="s">
        <v>8</v>
      </c>
      <c r="N856" s="5" t="s">
        <v>80</v>
      </c>
      <c r="O856" s="5" t="str">
        <f>IF(B856="","",IFERROR(LOOKUP(2,1/('Call Log'!$C$2:$C$5000=B856),'Call Log'!$B$2:$B$5000),""))</f>
        <v/>
      </c>
      <c r="P856" s="5">
        <f>IF(B856="","",COUNTIFS('Call Log'!$C$2:$C$5000,B856,'Call Log'!$A$2:$A$5000,"&gt;="&amp;(TODAY()-WEEKDAY(TODAY(),2)+1)))</f>
        <v>0</v>
      </c>
      <c r="Q856" s="5">
        <f>IF(B856="","",COUNTIF('Call Log'!$C$2:$C$5000,B856))</f>
        <v>0</v>
      </c>
      <c r="R856" s="21" t="str">
        <f>IF(B856="","",IFERROR(IF(MAXIFS('Call Log'!$A$2:$A$5000,'Call Log'!$C$2:$C$5000,B856)=0,"",MAXIFS('Call Log'!$A$2:$A$5000,'Call Log'!$C$2:$C$5000,B856)),""))</f>
        <v/>
      </c>
      <c r="S856" s="5"/>
      <c r="T856" s="21"/>
      <c r="U856" s="21"/>
      <c r="V856" s="5"/>
      <c r="W856" s="20"/>
      <c r="X856" s="5"/>
      <c r="Y856" s="5"/>
      <c r="Z856" s="5"/>
      <c r="AA856" s="5"/>
    </row>
    <row r="857" ht="15.0" customHeight="1">
      <c r="A857" s="5" t="s">
        <v>4317</v>
      </c>
      <c r="B857" s="5" t="s">
        <v>4318</v>
      </c>
      <c r="C857" s="5"/>
      <c r="D857" s="5"/>
      <c r="E857" s="5"/>
      <c r="F857" s="20"/>
      <c r="G857" s="20"/>
      <c r="H857" s="5" t="s">
        <v>40</v>
      </c>
      <c r="I857" s="5" t="s">
        <v>756</v>
      </c>
      <c r="J857" s="5" t="s">
        <v>114</v>
      </c>
      <c r="K857" s="5" t="s">
        <v>4319</v>
      </c>
      <c r="L857" s="5"/>
      <c r="M857" s="5" t="s">
        <v>8</v>
      </c>
      <c r="N857" s="5" t="s">
        <v>80</v>
      </c>
      <c r="O857" s="5" t="str">
        <f>IF(B857="","",IFERROR(LOOKUP(2,1/('Call Log'!$C$2:$C$5000=B857),'Call Log'!$B$2:$B$5000),""))</f>
        <v/>
      </c>
      <c r="P857" s="5">
        <f>IF(B857="","",COUNTIFS('Call Log'!$C$2:$C$5000,B857,'Call Log'!$A$2:$A$5000,"&gt;="&amp;(TODAY()-WEEKDAY(TODAY(),2)+1)))</f>
        <v>0</v>
      </c>
      <c r="Q857" s="5">
        <f>IF(B857="","",COUNTIF('Call Log'!$C$2:$C$5000,B857))</f>
        <v>0</v>
      </c>
      <c r="R857" s="21" t="str">
        <f>IF(B857="","",IFERROR(IF(MAXIFS('Call Log'!$A$2:$A$5000,'Call Log'!$C$2:$C$5000,B857)=0,"",MAXIFS('Call Log'!$A$2:$A$5000,'Call Log'!$C$2:$C$5000,B857)),""))</f>
        <v/>
      </c>
      <c r="S857" s="5"/>
      <c r="T857" s="21"/>
      <c r="U857" s="21"/>
      <c r="V857" s="5"/>
      <c r="W857" s="20"/>
      <c r="X857" s="5"/>
      <c r="Y857" s="5"/>
      <c r="Z857" s="5"/>
      <c r="AA857" s="5"/>
    </row>
    <row r="858" ht="15.0" customHeight="1">
      <c r="A858" s="5" t="s">
        <v>4320</v>
      </c>
      <c r="B858" s="5" t="s">
        <v>4321</v>
      </c>
      <c r="C858" s="5"/>
      <c r="D858" s="5"/>
      <c r="E858" s="5">
        <v>1.0</v>
      </c>
      <c r="F858" s="20"/>
      <c r="G858" s="20"/>
      <c r="H858" s="5" t="s">
        <v>40</v>
      </c>
      <c r="I858" s="5" t="s">
        <v>184</v>
      </c>
      <c r="J858" s="5" t="s">
        <v>114</v>
      </c>
      <c r="K858" s="5" t="s">
        <v>4322</v>
      </c>
      <c r="L858" s="5"/>
      <c r="M858" s="5" t="s">
        <v>8</v>
      </c>
      <c r="N858" s="5" t="s">
        <v>80</v>
      </c>
      <c r="O858" s="5" t="str">
        <f>IF(B858="","",IFERROR(LOOKUP(2,1/('Call Log'!$C$2:$C$5000=B858),'Call Log'!$B$2:$B$5000),""))</f>
        <v/>
      </c>
      <c r="P858" s="5">
        <f>IF(B858="","",COUNTIFS('Call Log'!$C$2:$C$5000,B858,'Call Log'!$A$2:$A$5000,"&gt;="&amp;(TODAY()-WEEKDAY(TODAY(),2)+1)))</f>
        <v>0</v>
      </c>
      <c r="Q858" s="5">
        <f>IF(B858="","",COUNTIF('Call Log'!$C$2:$C$5000,B858))</f>
        <v>0</v>
      </c>
      <c r="R858" s="21" t="str">
        <f>IF(B858="","",IFERROR(IF(MAXIFS('Call Log'!$A$2:$A$5000,'Call Log'!$C$2:$C$5000,B858)=0,"",MAXIFS('Call Log'!$A$2:$A$5000,'Call Log'!$C$2:$C$5000,B858)),""))</f>
        <v/>
      </c>
      <c r="S858" s="5"/>
      <c r="T858" s="21"/>
      <c r="U858" s="21"/>
      <c r="V858" s="5"/>
      <c r="W858" s="20"/>
      <c r="X858" s="5"/>
      <c r="Y858" s="5"/>
      <c r="Z858" s="5"/>
      <c r="AA858" s="5"/>
    </row>
    <row r="859" ht="15.0" customHeight="1">
      <c r="A859" s="5" t="s">
        <v>4323</v>
      </c>
      <c r="B859" s="5" t="s">
        <v>4324</v>
      </c>
      <c r="C859" s="5"/>
      <c r="D859" s="5"/>
      <c r="E859" s="5"/>
      <c r="F859" s="20"/>
      <c r="G859" s="20"/>
      <c r="H859" s="5" t="s">
        <v>41</v>
      </c>
      <c r="I859" s="5" t="s">
        <v>184</v>
      </c>
      <c r="J859" s="5" t="s">
        <v>114</v>
      </c>
      <c r="K859" s="5" t="s">
        <v>4325</v>
      </c>
      <c r="L859" s="5"/>
      <c r="M859" s="5" t="s">
        <v>8</v>
      </c>
      <c r="N859" s="5" t="s">
        <v>80</v>
      </c>
      <c r="O859" s="5" t="str">
        <f>IF(B859="","",IFERROR(LOOKUP(2,1/('Call Log'!$C$2:$C$5000=B859),'Call Log'!$B$2:$B$5000),""))</f>
        <v/>
      </c>
      <c r="P859" s="5">
        <f>IF(B859="","",COUNTIFS('Call Log'!$C$2:$C$5000,B859,'Call Log'!$A$2:$A$5000,"&gt;="&amp;(TODAY()-WEEKDAY(TODAY(),2)+1)))</f>
        <v>0</v>
      </c>
      <c r="Q859" s="5">
        <f>IF(B859="","",COUNTIF('Call Log'!$C$2:$C$5000,B859))</f>
        <v>0</v>
      </c>
      <c r="R859" s="21" t="str">
        <f>IF(B859="","",IFERROR(IF(MAXIFS('Call Log'!$A$2:$A$5000,'Call Log'!$C$2:$C$5000,B859)=0,"",MAXIFS('Call Log'!$A$2:$A$5000,'Call Log'!$C$2:$C$5000,B859)),""))</f>
        <v/>
      </c>
      <c r="S859" s="5"/>
      <c r="T859" s="21"/>
      <c r="U859" s="21"/>
      <c r="V859" s="5"/>
      <c r="W859" s="20"/>
      <c r="X859" s="5"/>
      <c r="Y859" s="5"/>
      <c r="Z859" s="5"/>
      <c r="AA859" s="5"/>
    </row>
    <row r="860" ht="15.0" customHeight="1">
      <c r="A860" s="5" t="s">
        <v>4326</v>
      </c>
      <c r="B860" s="5" t="s">
        <v>4327</v>
      </c>
      <c r="C860" s="5"/>
      <c r="D860" s="5"/>
      <c r="E860" s="5"/>
      <c r="F860" s="20"/>
      <c r="G860" s="20"/>
      <c r="H860" s="5" t="s">
        <v>41</v>
      </c>
      <c r="I860" s="5" t="s">
        <v>904</v>
      </c>
      <c r="J860" s="5" t="s">
        <v>114</v>
      </c>
      <c r="K860" s="5" t="s">
        <v>4328</v>
      </c>
      <c r="L860" s="5"/>
      <c r="M860" s="5" t="s">
        <v>8</v>
      </c>
      <c r="N860" s="5" t="s">
        <v>80</v>
      </c>
      <c r="O860" s="5" t="str">
        <f>IF(B860="","",IFERROR(LOOKUP(2,1/('Call Log'!$C$2:$C$5000=B860),'Call Log'!$B$2:$B$5000),""))</f>
        <v/>
      </c>
      <c r="P860" s="5">
        <f>IF(B860="","",COUNTIFS('Call Log'!$C$2:$C$5000,B860,'Call Log'!$A$2:$A$5000,"&gt;="&amp;(TODAY()-WEEKDAY(TODAY(),2)+1)))</f>
        <v>0</v>
      </c>
      <c r="Q860" s="5">
        <f>IF(B860="","",COUNTIF('Call Log'!$C$2:$C$5000,B860))</f>
        <v>0</v>
      </c>
      <c r="R860" s="21" t="str">
        <f>IF(B860="","",IFERROR(IF(MAXIFS('Call Log'!$A$2:$A$5000,'Call Log'!$C$2:$C$5000,B860)=0,"",MAXIFS('Call Log'!$A$2:$A$5000,'Call Log'!$C$2:$C$5000,B860)),""))</f>
        <v/>
      </c>
      <c r="S860" s="5"/>
      <c r="T860" s="21"/>
      <c r="U860" s="21"/>
      <c r="V860" s="5"/>
      <c r="W860" s="20"/>
      <c r="X860" s="5"/>
      <c r="Y860" s="5"/>
      <c r="Z860" s="5"/>
      <c r="AA860" s="5"/>
    </row>
    <row r="861" ht="15.0" customHeight="1">
      <c r="A861" s="5" t="s">
        <v>4329</v>
      </c>
      <c r="B861" s="5" t="s">
        <v>4330</v>
      </c>
      <c r="C861" s="5"/>
      <c r="D861" s="5"/>
      <c r="E861" s="5"/>
      <c r="F861" s="20"/>
      <c r="G861" s="20"/>
      <c r="H861" s="5" t="s">
        <v>43</v>
      </c>
      <c r="I861" s="5" t="s">
        <v>218</v>
      </c>
      <c r="J861" s="5" t="s">
        <v>114</v>
      </c>
      <c r="K861" s="5" t="s">
        <v>4331</v>
      </c>
      <c r="L861" s="5"/>
      <c r="M861" s="5" t="s">
        <v>8</v>
      </c>
      <c r="N861" s="5" t="s">
        <v>80</v>
      </c>
      <c r="O861" s="5" t="str">
        <f>IF(B861="","",IFERROR(LOOKUP(2,1/('Call Log'!$C$2:$C$5000=B861),'Call Log'!$B$2:$B$5000),""))</f>
        <v/>
      </c>
      <c r="P861" s="5">
        <f>IF(B861="","",COUNTIFS('Call Log'!$C$2:$C$5000,B861,'Call Log'!$A$2:$A$5000,"&gt;="&amp;(TODAY()-WEEKDAY(TODAY(),2)+1)))</f>
        <v>0</v>
      </c>
      <c r="Q861" s="5">
        <f>IF(B861="","",COUNTIF('Call Log'!$C$2:$C$5000,B861))</f>
        <v>0</v>
      </c>
      <c r="R861" s="21" t="str">
        <f>IF(B861="","",IFERROR(IF(MAXIFS('Call Log'!$A$2:$A$5000,'Call Log'!$C$2:$C$5000,B861)=0,"",MAXIFS('Call Log'!$A$2:$A$5000,'Call Log'!$C$2:$C$5000,B861)),""))</f>
        <v/>
      </c>
      <c r="S861" s="5"/>
      <c r="T861" s="21"/>
      <c r="U861" s="21"/>
      <c r="V861" s="5"/>
      <c r="W861" s="20"/>
      <c r="X861" s="5"/>
      <c r="Y861" s="5"/>
      <c r="Z861" s="5"/>
      <c r="AA861" s="5"/>
    </row>
    <row r="862" ht="15.0" customHeight="1">
      <c r="A862" s="5" t="s">
        <v>4332</v>
      </c>
      <c r="B862" s="5" t="s">
        <v>4333</v>
      </c>
      <c r="C862" s="5"/>
      <c r="D862" s="5"/>
      <c r="E862" s="5"/>
      <c r="F862" s="20"/>
      <c r="G862" s="20"/>
      <c r="H862" s="5" t="s">
        <v>41</v>
      </c>
      <c r="I862" s="5" t="s">
        <v>198</v>
      </c>
      <c r="J862" s="5" t="s">
        <v>114</v>
      </c>
      <c r="K862" s="5" t="s">
        <v>4334</v>
      </c>
      <c r="L862" s="5"/>
      <c r="M862" s="5" t="s">
        <v>8</v>
      </c>
      <c r="N862" s="5" t="s">
        <v>80</v>
      </c>
      <c r="O862" s="5" t="str">
        <f>IF(B862="","",IFERROR(LOOKUP(2,1/('Call Log'!$C$2:$C$5000=B862),'Call Log'!$B$2:$B$5000),""))</f>
        <v/>
      </c>
      <c r="P862" s="5">
        <f>IF(B862="","",COUNTIFS('Call Log'!$C$2:$C$5000,B862,'Call Log'!$A$2:$A$5000,"&gt;="&amp;(TODAY()-WEEKDAY(TODAY(),2)+1)))</f>
        <v>0</v>
      </c>
      <c r="Q862" s="5">
        <f>IF(B862="","",COUNTIF('Call Log'!$C$2:$C$5000,B862))</f>
        <v>0</v>
      </c>
      <c r="R862" s="21" t="str">
        <f>IF(B862="","",IFERROR(IF(MAXIFS('Call Log'!$A$2:$A$5000,'Call Log'!$C$2:$C$5000,B862)=0,"",MAXIFS('Call Log'!$A$2:$A$5000,'Call Log'!$C$2:$C$5000,B862)),""))</f>
        <v/>
      </c>
      <c r="S862" s="5"/>
      <c r="T862" s="21"/>
      <c r="U862" s="21"/>
      <c r="V862" s="5"/>
      <c r="W862" s="20"/>
      <c r="X862" s="5"/>
      <c r="Y862" s="5"/>
      <c r="Z862" s="5"/>
      <c r="AA862" s="5"/>
    </row>
    <row r="863" ht="15.0" customHeight="1">
      <c r="A863" s="5" t="s">
        <v>4335</v>
      </c>
      <c r="B863" s="5" t="s">
        <v>4336</v>
      </c>
      <c r="C863" s="5"/>
      <c r="D863" s="5"/>
      <c r="E863" s="5"/>
      <c r="F863" s="20"/>
      <c r="G863" s="20"/>
      <c r="H863" s="5" t="s">
        <v>40</v>
      </c>
      <c r="I863" s="5" t="s">
        <v>231</v>
      </c>
      <c r="J863" s="5" t="s">
        <v>114</v>
      </c>
      <c r="K863" s="5" t="s">
        <v>4337</v>
      </c>
      <c r="L863" s="5"/>
      <c r="M863" s="5" t="s">
        <v>8</v>
      </c>
      <c r="N863" s="5" t="s">
        <v>80</v>
      </c>
      <c r="O863" s="5" t="str">
        <f>IF(B863="","",IFERROR(LOOKUP(2,1/('Call Log'!$C$2:$C$5000=B863),'Call Log'!$B$2:$B$5000),""))</f>
        <v/>
      </c>
      <c r="P863" s="5">
        <f>IF(B863="","",COUNTIFS('Call Log'!$C$2:$C$5000,B863,'Call Log'!$A$2:$A$5000,"&gt;="&amp;(TODAY()-WEEKDAY(TODAY(),2)+1)))</f>
        <v>0</v>
      </c>
      <c r="Q863" s="5">
        <f>IF(B863="","",COUNTIF('Call Log'!$C$2:$C$5000,B863))</f>
        <v>0</v>
      </c>
      <c r="R863" s="21" t="str">
        <f>IF(B863="","",IFERROR(IF(MAXIFS('Call Log'!$A$2:$A$5000,'Call Log'!$C$2:$C$5000,B863)=0,"",MAXIFS('Call Log'!$A$2:$A$5000,'Call Log'!$C$2:$C$5000,B863)),""))</f>
        <v/>
      </c>
      <c r="S863" s="5"/>
      <c r="T863" s="21"/>
      <c r="U863" s="21"/>
      <c r="V863" s="5"/>
      <c r="W863" s="20"/>
      <c r="X863" s="5"/>
      <c r="Y863" s="5"/>
      <c r="Z863" s="5"/>
      <c r="AA863" s="5"/>
    </row>
    <row r="864" ht="15.0" customHeight="1">
      <c r="A864" s="5" t="s">
        <v>4338</v>
      </c>
      <c r="B864" s="5" t="s">
        <v>4339</v>
      </c>
      <c r="C864" s="5"/>
      <c r="D864" s="5"/>
      <c r="E864" s="5"/>
      <c r="F864" s="20"/>
      <c r="G864" s="20"/>
      <c r="H864" s="5" t="s">
        <v>41</v>
      </c>
      <c r="I864" s="5" t="s">
        <v>246</v>
      </c>
      <c r="J864" s="5" t="s">
        <v>114</v>
      </c>
      <c r="K864" s="5" t="s">
        <v>4340</v>
      </c>
      <c r="L864" s="5"/>
      <c r="M864" s="5" t="s">
        <v>8</v>
      </c>
      <c r="N864" s="5" t="s">
        <v>80</v>
      </c>
      <c r="O864" s="5" t="str">
        <f>IF(B864="","",IFERROR(LOOKUP(2,1/('Call Log'!$C$2:$C$5000=B864),'Call Log'!$B$2:$B$5000),""))</f>
        <v/>
      </c>
      <c r="P864" s="5">
        <f>IF(B864="","",COUNTIFS('Call Log'!$C$2:$C$5000,B864,'Call Log'!$A$2:$A$5000,"&gt;="&amp;(TODAY()-WEEKDAY(TODAY(),2)+1)))</f>
        <v>0</v>
      </c>
      <c r="Q864" s="5">
        <f>IF(B864="","",COUNTIF('Call Log'!$C$2:$C$5000,B864))</f>
        <v>0</v>
      </c>
      <c r="R864" s="21" t="str">
        <f>IF(B864="","",IFERROR(IF(MAXIFS('Call Log'!$A$2:$A$5000,'Call Log'!$C$2:$C$5000,B864)=0,"",MAXIFS('Call Log'!$A$2:$A$5000,'Call Log'!$C$2:$C$5000,B864)),""))</f>
        <v/>
      </c>
      <c r="S864" s="5"/>
      <c r="T864" s="21"/>
      <c r="U864" s="21"/>
      <c r="V864" s="5"/>
      <c r="W864" s="20"/>
      <c r="X864" s="5"/>
      <c r="Y864" s="5"/>
      <c r="Z864" s="5"/>
      <c r="AA864" s="5"/>
    </row>
    <row r="865" ht="15.0" customHeight="1">
      <c r="A865" s="5" t="s">
        <v>4341</v>
      </c>
      <c r="B865" s="5" t="s">
        <v>4342</v>
      </c>
      <c r="C865" s="5"/>
      <c r="D865" s="5"/>
      <c r="E865" s="5"/>
      <c r="F865" s="20"/>
      <c r="G865" s="20"/>
      <c r="H865" s="5" t="s">
        <v>40</v>
      </c>
      <c r="I865" s="5" t="s">
        <v>206</v>
      </c>
      <c r="J865" s="5" t="s">
        <v>114</v>
      </c>
      <c r="K865" s="5" t="s">
        <v>4343</v>
      </c>
      <c r="L865" s="5"/>
      <c r="M865" s="5" t="s">
        <v>8</v>
      </c>
      <c r="N865" s="5" t="s">
        <v>80</v>
      </c>
      <c r="O865" s="5" t="str">
        <f>IF(B865="","",IFERROR(LOOKUP(2,1/('Call Log'!$C$2:$C$5000=B865),'Call Log'!$B$2:$B$5000),""))</f>
        <v/>
      </c>
      <c r="P865" s="5">
        <f>IF(B865="","",COUNTIFS('Call Log'!$C$2:$C$5000,B865,'Call Log'!$A$2:$A$5000,"&gt;="&amp;(TODAY()-WEEKDAY(TODAY(),2)+1)))</f>
        <v>0</v>
      </c>
      <c r="Q865" s="5">
        <f>IF(B865="","",COUNTIF('Call Log'!$C$2:$C$5000,B865))</f>
        <v>0</v>
      </c>
      <c r="R865" s="21" t="str">
        <f>IF(B865="","",IFERROR(IF(MAXIFS('Call Log'!$A$2:$A$5000,'Call Log'!$C$2:$C$5000,B865)=0,"",MAXIFS('Call Log'!$A$2:$A$5000,'Call Log'!$C$2:$C$5000,B865)),""))</f>
        <v/>
      </c>
      <c r="S865" s="5"/>
      <c r="T865" s="21"/>
      <c r="U865" s="21"/>
      <c r="V865" s="5"/>
      <c r="W865" s="20"/>
      <c r="X865" s="5"/>
      <c r="Y865" s="5"/>
      <c r="Z865" s="5"/>
      <c r="AA865" s="5" t="s">
        <v>4344</v>
      </c>
    </row>
    <row r="866" ht="15.0" customHeight="1">
      <c r="A866" s="5" t="s">
        <v>4345</v>
      </c>
      <c r="B866" s="5" t="s">
        <v>4346</v>
      </c>
      <c r="C866" s="5"/>
      <c r="D866" s="5"/>
      <c r="E866" s="5"/>
      <c r="F866" s="20"/>
      <c r="G866" s="20"/>
      <c r="H866" s="5" t="s">
        <v>40</v>
      </c>
      <c r="I866" s="5" t="s">
        <v>213</v>
      </c>
      <c r="J866" s="5" t="s">
        <v>114</v>
      </c>
      <c r="K866" s="5" t="s">
        <v>4347</v>
      </c>
      <c r="L866" s="5"/>
      <c r="M866" s="5" t="s">
        <v>8</v>
      </c>
      <c r="N866" s="5" t="s">
        <v>80</v>
      </c>
      <c r="O866" s="5" t="str">
        <f>IF(B866="","",IFERROR(LOOKUP(2,1/('Call Log'!$C$2:$C$5000=B866),'Call Log'!$B$2:$B$5000),""))</f>
        <v/>
      </c>
      <c r="P866" s="5">
        <f>IF(B866="","",COUNTIFS('Call Log'!$C$2:$C$5000,B866,'Call Log'!$A$2:$A$5000,"&gt;="&amp;(TODAY()-WEEKDAY(TODAY(),2)+1)))</f>
        <v>0</v>
      </c>
      <c r="Q866" s="5">
        <f>IF(B866="","",COUNTIF('Call Log'!$C$2:$C$5000,B866))</f>
        <v>0</v>
      </c>
      <c r="R866" s="21" t="str">
        <f>IF(B866="","",IFERROR(IF(MAXIFS('Call Log'!$A$2:$A$5000,'Call Log'!$C$2:$C$5000,B866)=0,"",MAXIFS('Call Log'!$A$2:$A$5000,'Call Log'!$C$2:$C$5000,B866)),""))</f>
        <v/>
      </c>
      <c r="S866" s="5"/>
      <c r="T866" s="21"/>
      <c r="U866" s="21"/>
      <c r="V866" s="5"/>
      <c r="W866" s="20"/>
      <c r="X866" s="5"/>
      <c r="Y866" s="5"/>
      <c r="Z866" s="5"/>
      <c r="AA866" s="5"/>
    </row>
    <row r="867" ht="15.0" customHeight="1">
      <c r="A867" s="5" t="s">
        <v>4348</v>
      </c>
      <c r="B867" s="5" t="s">
        <v>4349</v>
      </c>
      <c r="C867" s="5"/>
      <c r="D867" s="5"/>
      <c r="E867" s="5"/>
      <c r="F867" s="20"/>
      <c r="G867" s="20"/>
      <c r="H867" s="5" t="s">
        <v>40</v>
      </c>
      <c r="I867" s="5" t="s">
        <v>667</v>
      </c>
      <c r="J867" s="5" t="s">
        <v>114</v>
      </c>
      <c r="K867" s="5" t="s">
        <v>4350</v>
      </c>
      <c r="L867" s="5"/>
      <c r="M867" s="5" t="s">
        <v>8</v>
      </c>
      <c r="N867" s="5" t="s">
        <v>80</v>
      </c>
      <c r="O867" s="5" t="str">
        <f>IF(B867="","",IFERROR(LOOKUP(2,1/('Call Log'!$C$2:$C$5000=B867),'Call Log'!$B$2:$B$5000),""))</f>
        <v/>
      </c>
      <c r="P867" s="5">
        <f>IF(B867="","",COUNTIFS('Call Log'!$C$2:$C$5000,B867,'Call Log'!$A$2:$A$5000,"&gt;="&amp;(TODAY()-WEEKDAY(TODAY(),2)+1)))</f>
        <v>0</v>
      </c>
      <c r="Q867" s="5">
        <f>IF(B867="","",COUNTIF('Call Log'!$C$2:$C$5000,B867))</f>
        <v>0</v>
      </c>
      <c r="R867" s="21" t="str">
        <f>IF(B867="","",IFERROR(IF(MAXIFS('Call Log'!$A$2:$A$5000,'Call Log'!$C$2:$C$5000,B867)=0,"",MAXIFS('Call Log'!$A$2:$A$5000,'Call Log'!$C$2:$C$5000,B867)),""))</f>
        <v/>
      </c>
      <c r="S867" s="5"/>
      <c r="T867" s="21"/>
      <c r="U867" s="21"/>
      <c r="V867" s="5"/>
      <c r="W867" s="20"/>
      <c r="X867" s="5"/>
      <c r="Y867" s="5"/>
      <c r="Z867" s="5"/>
      <c r="AA867" s="5"/>
    </row>
    <row r="868" ht="15.0" customHeight="1">
      <c r="A868" s="5" t="s">
        <v>4351</v>
      </c>
      <c r="B868" s="5" t="s">
        <v>4352</v>
      </c>
      <c r="C868" s="5"/>
      <c r="D868" s="5"/>
      <c r="E868" s="5">
        <v>2.0</v>
      </c>
      <c r="F868" s="20"/>
      <c r="G868" s="20"/>
      <c r="H868" s="5" t="s">
        <v>40</v>
      </c>
      <c r="I868" s="5" t="s">
        <v>184</v>
      </c>
      <c r="J868" s="5" t="s">
        <v>114</v>
      </c>
      <c r="K868" s="5" t="s">
        <v>4353</v>
      </c>
      <c r="L868" s="5"/>
      <c r="M868" s="5" t="s">
        <v>8</v>
      </c>
      <c r="N868" s="5" t="s">
        <v>80</v>
      </c>
      <c r="O868" s="5" t="str">
        <f>IF(B868="","",IFERROR(LOOKUP(2,1/('Call Log'!$C$2:$C$5000=B868),'Call Log'!$B$2:$B$5000),""))</f>
        <v/>
      </c>
      <c r="P868" s="5">
        <f>IF(B868="","",COUNTIFS('Call Log'!$C$2:$C$5000,B868,'Call Log'!$A$2:$A$5000,"&gt;="&amp;(TODAY()-WEEKDAY(TODAY(),2)+1)))</f>
        <v>0</v>
      </c>
      <c r="Q868" s="5">
        <f>IF(B868="","",COUNTIF('Call Log'!$C$2:$C$5000,B868))</f>
        <v>0</v>
      </c>
      <c r="R868" s="21" t="str">
        <f>IF(B868="","",IFERROR(IF(MAXIFS('Call Log'!$A$2:$A$5000,'Call Log'!$C$2:$C$5000,B868)=0,"",MAXIFS('Call Log'!$A$2:$A$5000,'Call Log'!$C$2:$C$5000,B868)),""))</f>
        <v/>
      </c>
      <c r="S868" s="5"/>
      <c r="T868" s="21"/>
      <c r="U868" s="21"/>
      <c r="V868" s="5"/>
      <c r="W868" s="20"/>
      <c r="X868" s="5"/>
      <c r="Y868" s="5"/>
      <c r="Z868" s="5"/>
      <c r="AA868" s="5"/>
    </row>
    <row r="869" ht="15.0" customHeight="1">
      <c r="A869" s="5" t="s">
        <v>4354</v>
      </c>
      <c r="B869" s="5" t="s">
        <v>4355</v>
      </c>
      <c r="C869" s="5"/>
      <c r="D869" s="5"/>
      <c r="E869" s="5"/>
      <c r="F869" s="20"/>
      <c r="G869" s="20"/>
      <c r="H869" s="5" t="s">
        <v>40</v>
      </c>
      <c r="I869" s="5" t="s">
        <v>1320</v>
      </c>
      <c r="J869" s="5" t="s">
        <v>114</v>
      </c>
      <c r="K869" s="5" t="s">
        <v>4356</v>
      </c>
      <c r="L869" s="5"/>
      <c r="M869" s="5" t="s">
        <v>8</v>
      </c>
      <c r="N869" s="5" t="s">
        <v>80</v>
      </c>
      <c r="O869" s="5" t="str">
        <f>IF(B869="","",IFERROR(LOOKUP(2,1/('Call Log'!$C$2:$C$5000=B869),'Call Log'!$B$2:$B$5000),""))</f>
        <v/>
      </c>
      <c r="P869" s="5">
        <f>IF(B869="","",COUNTIFS('Call Log'!$C$2:$C$5000,B869,'Call Log'!$A$2:$A$5000,"&gt;="&amp;(TODAY()-WEEKDAY(TODAY(),2)+1)))</f>
        <v>0</v>
      </c>
      <c r="Q869" s="5">
        <f>IF(B869="","",COUNTIF('Call Log'!$C$2:$C$5000,B869))</f>
        <v>0</v>
      </c>
      <c r="R869" s="21" t="str">
        <f>IF(B869="","",IFERROR(IF(MAXIFS('Call Log'!$A$2:$A$5000,'Call Log'!$C$2:$C$5000,B869)=0,"",MAXIFS('Call Log'!$A$2:$A$5000,'Call Log'!$C$2:$C$5000,B869)),""))</f>
        <v/>
      </c>
      <c r="S869" s="5"/>
      <c r="T869" s="21"/>
      <c r="U869" s="21"/>
      <c r="V869" s="5"/>
      <c r="W869" s="20"/>
      <c r="X869" s="5"/>
      <c r="Y869" s="5"/>
      <c r="Z869" s="5"/>
      <c r="AA869" s="5"/>
    </row>
    <row r="870" ht="15.0" customHeight="1">
      <c r="A870" s="5" t="s">
        <v>4357</v>
      </c>
      <c r="B870" s="5" t="s">
        <v>4358</v>
      </c>
      <c r="C870" s="5"/>
      <c r="D870" s="5"/>
      <c r="E870" s="5">
        <v>1.0</v>
      </c>
      <c r="F870" s="20"/>
      <c r="G870" s="20"/>
      <c r="H870" s="5" t="s">
        <v>40</v>
      </c>
      <c r="I870" s="5" t="s">
        <v>370</v>
      </c>
      <c r="J870" s="5" t="s">
        <v>114</v>
      </c>
      <c r="K870" s="5" t="s">
        <v>4359</v>
      </c>
      <c r="L870" s="5"/>
      <c r="M870" s="5" t="s">
        <v>8</v>
      </c>
      <c r="N870" s="5" t="s">
        <v>80</v>
      </c>
      <c r="O870" s="5" t="str">
        <f>IF(B870="","",IFERROR(LOOKUP(2,1/('Call Log'!$C$2:$C$5000=B870),'Call Log'!$B$2:$B$5000),""))</f>
        <v/>
      </c>
      <c r="P870" s="5">
        <f>IF(B870="","",COUNTIFS('Call Log'!$C$2:$C$5000,B870,'Call Log'!$A$2:$A$5000,"&gt;="&amp;(TODAY()-WEEKDAY(TODAY(),2)+1)))</f>
        <v>0</v>
      </c>
      <c r="Q870" s="5">
        <f>IF(B870="","",COUNTIF('Call Log'!$C$2:$C$5000,B870))</f>
        <v>0</v>
      </c>
      <c r="R870" s="21" t="str">
        <f>IF(B870="","",IFERROR(IF(MAXIFS('Call Log'!$A$2:$A$5000,'Call Log'!$C$2:$C$5000,B870)=0,"",MAXIFS('Call Log'!$A$2:$A$5000,'Call Log'!$C$2:$C$5000,B870)),""))</f>
        <v/>
      </c>
      <c r="S870" s="5"/>
      <c r="T870" s="21"/>
      <c r="U870" s="21"/>
      <c r="V870" s="5"/>
      <c r="W870" s="20"/>
      <c r="X870" s="5"/>
      <c r="Y870" s="5"/>
      <c r="Z870" s="5"/>
      <c r="AA870" s="5"/>
    </row>
    <row r="871" ht="15.0" customHeight="1">
      <c r="A871" s="5" t="s">
        <v>4360</v>
      </c>
      <c r="B871" s="5" t="s">
        <v>4361</v>
      </c>
      <c r="C871" s="5"/>
      <c r="D871" s="5"/>
      <c r="E871" s="5"/>
      <c r="F871" s="20"/>
      <c r="G871" s="20"/>
      <c r="H871" s="5" t="s">
        <v>40</v>
      </c>
      <c r="I871" s="5" t="s">
        <v>865</v>
      </c>
      <c r="J871" s="5" t="s">
        <v>114</v>
      </c>
      <c r="K871" s="5" t="s">
        <v>4362</v>
      </c>
      <c r="L871" s="5"/>
      <c r="M871" s="5" t="s">
        <v>8</v>
      </c>
      <c r="N871" s="5" t="s">
        <v>80</v>
      </c>
      <c r="O871" s="5" t="str">
        <f>IF(B871="","",IFERROR(LOOKUP(2,1/('Call Log'!$C$2:$C$5000=B871),'Call Log'!$B$2:$B$5000),""))</f>
        <v/>
      </c>
      <c r="P871" s="5">
        <f>IF(B871="","",COUNTIFS('Call Log'!$C$2:$C$5000,B871,'Call Log'!$A$2:$A$5000,"&gt;="&amp;(TODAY()-WEEKDAY(TODAY(),2)+1)))</f>
        <v>0</v>
      </c>
      <c r="Q871" s="5">
        <f>IF(B871="","",COUNTIF('Call Log'!$C$2:$C$5000,B871))</f>
        <v>0</v>
      </c>
      <c r="R871" s="21" t="str">
        <f>IF(B871="","",IFERROR(IF(MAXIFS('Call Log'!$A$2:$A$5000,'Call Log'!$C$2:$C$5000,B871)=0,"",MAXIFS('Call Log'!$A$2:$A$5000,'Call Log'!$C$2:$C$5000,B871)),""))</f>
        <v/>
      </c>
      <c r="S871" s="5"/>
      <c r="T871" s="21"/>
      <c r="U871" s="21"/>
      <c r="V871" s="5"/>
      <c r="W871" s="20"/>
      <c r="X871" s="5"/>
      <c r="Y871" s="5"/>
      <c r="Z871" s="5"/>
      <c r="AA871" s="5"/>
    </row>
    <row r="872" ht="15.0" customHeight="1">
      <c r="A872" s="5" t="s">
        <v>4363</v>
      </c>
      <c r="B872" s="5" t="s">
        <v>4364</v>
      </c>
      <c r="C872" s="5"/>
      <c r="D872" s="5"/>
      <c r="E872" s="5"/>
      <c r="F872" s="20"/>
      <c r="G872" s="20"/>
      <c r="H872" s="5" t="s">
        <v>41</v>
      </c>
      <c r="I872" s="5" t="s">
        <v>4365</v>
      </c>
      <c r="J872" s="5" t="s">
        <v>114</v>
      </c>
      <c r="K872" s="5" t="s">
        <v>4366</v>
      </c>
      <c r="L872" s="5"/>
      <c r="M872" s="5" t="s">
        <v>8</v>
      </c>
      <c r="N872" s="5" t="s">
        <v>80</v>
      </c>
      <c r="O872" s="5" t="str">
        <f>IF(B872="","",IFERROR(LOOKUP(2,1/('Call Log'!$C$2:$C$5000=B872),'Call Log'!$B$2:$B$5000),""))</f>
        <v/>
      </c>
      <c r="P872" s="5">
        <f>IF(B872="","",COUNTIFS('Call Log'!$C$2:$C$5000,B872,'Call Log'!$A$2:$A$5000,"&gt;="&amp;(TODAY()-WEEKDAY(TODAY(),2)+1)))</f>
        <v>0</v>
      </c>
      <c r="Q872" s="5">
        <f>IF(B872="","",COUNTIF('Call Log'!$C$2:$C$5000,B872))</f>
        <v>0</v>
      </c>
      <c r="R872" s="21" t="str">
        <f>IF(B872="","",IFERROR(IF(MAXIFS('Call Log'!$A$2:$A$5000,'Call Log'!$C$2:$C$5000,B872)=0,"",MAXIFS('Call Log'!$A$2:$A$5000,'Call Log'!$C$2:$C$5000,B872)),""))</f>
        <v/>
      </c>
      <c r="S872" s="5"/>
      <c r="T872" s="21"/>
      <c r="U872" s="21"/>
      <c r="V872" s="5"/>
      <c r="W872" s="20"/>
      <c r="X872" s="5"/>
      <c r="Y872" s="5"/>
      <c r="Z872" s="5"/>
      <c r="AA872" s="5"/>
    </row>
    <row r="873" ht="15.0" customHeight="1">
      <c r="A873" s="5" t="s">
        <v>4367</v>
      </c>
      <c r="B873" s="5" t="s">
        <v>4368</v>
      </c>
      <c r="C873" s="5"/>
      <c r="D873" s="5"/>
      <c r="E873" s="5"/>
      <c r="F873" s="20"/>
      <c r="G873" s="20"/>
      <c r="H873" s="5" t="s">
        <v>41</v>
      </c>
      <c r="I873" s="5" t="s">
        <v>1320</v>
      </c>
      <c r="J873" s="5" t="s">
        <v>114</v>
      </c>
      <c r="K873" s="5" t="s">
        <v>4369</v>
      </c>
      <c r="L873" s="5"/>
      <c r="M873" s="5" t="s">
        <v>8</v>
      </c>
      <c r="N873" s="5" t="s">
        <v>80</v>
      </c>
      <c r="O873" s="5" t="str">
        <f>IF(B873="","",IFERROR(LOOKUP(2,1/('Call Log'!$C$2:$C$5000=B873),'Call Log'!$B$2:$B$5000),""))</f>
        <v/>
      </c>
      <c r="P873" s="5">
        <f>IF(B873="","",COUNTIFS('Call Log'!$C$2:$C$5000,B873,'Call Log'!$A$2:$A$5000,"&gt;="&amp;(TODAY()-WEEKDAY(TODAY(),2)+1)))</f>
        <v>0</v>
      </c>
      <c r="Q873" s="5">
        <f>IF(B873="","",COUNTIF('Call Log'!$C$2:$C$5000,B873))</f>
        <v>0</v>
      </c>
      <c r="R873" s="21" t="str">
        <f>IF(B873="","",IFERROR(IF(MAXIFS('Call Log'!$A$2:$A$5000,'Call Log'!$C$2:$C$5000,B873)=0,"",MAXIFS('Call Log'!$A$2:$A$5000,'Call Log'!$C$2:$C$5000,B873)),""))</f>
        <v/>
      </c>
      <c r="S873" s="5"/>
      <c r="T873" s="21"/>
      <c r="U873" s="21"/>
      <c r="V873" s="5"/>
      <c r="W873" s="20"/>
      <c r="X873" s="5"/>
      <c r="Y873" s="5"/>
      <c r="Z873" s="5"/>
      <c r="AA873" s="5"/>
    </row>
    <row r="874" ht="15.0" customHeight="1">
      <c r="A874" s="5" t="s">
        <v>4370</v>
      </c>
      <c r="B874" s="5" t="s">
        <v>4371</v>
      </c>
      <c r="C874" s="5"/>
      <c r="D874" s="5"/>
      <c r="E874" s="5"/>
      <c r="F874" s="20"/>
      <c r="G874" s="20"/>
      <c r="H874" s="5" t="s">
        <v>41</v>
      </c>
      <c r="I874" s="5" t="s">
        <v>357</v>
      </c>
      <c r="J874" s="5" t="s">
        <v>114</v>
      </c>
      <c r="K874" s="5" t="s">
        <v>4372</v>
      </c>
      <c r="L874" s="5"/>
      <c r="M874" s="5" t="s">
        <v>8</v>
      </c>
      <c r="N874" s="5" t="s">
        <v>80</v>
      </c>
      <c r="O874" s="5" t="str">
        <f>IF(B874="","",IFERROR(LOOKUP(2,1/('Call Log'!$C$2:$C$5000=B874),'Call Log'!$B$2:$B$5000),""))</f>
        <v/>
      </c>
      <c r="P874" s="5">
        <f>IF(B874="","",COUNTIFS('Call Log'!$C$2:$C$5000,B874,'Call Log'!$A$2:$A$5000,"&gt;="&amp;(TODAY()-WEEKDAY(TODAY(),2)+1)))</f>
        <v>0</v>
      </c>
      <c r="Q874" s="5">
        <f>IF(B874="","",COUNTIF('Call Log'!$C$2:$C$5000,B874))</f>
        <v>0</v>
      </c>
      <c r="R874" s="21" t="str">
        <f>IF(B874="","",IFERROR(IF(MAXIFS('Call Log'!$A$2:$A$5000,'Call Log'!$C$2:$C$5000,B874)=0,"",MAXIFS('Call Log'!$A$2:$A$5000,'Call Log'!$C$2:$C$5000,B874)),""))</f>
        <v/>
      </c>
      <c r="S874" s="5"/>
      <c r="T874" s="21"/>
      <c r="U874" s="21"/>
      <c r="V874" s="5"/>
      <c r="W874" s="20"/>
      <c r="X874" s="5"/>
      <c r="Y874" s="5"/>
      <c r="Z874" s="5"/>
      <c r="AA874" s="5"/>
    </row>
    <row r="875" ht="15.0" customHeight="1">
      <c r="A875" s="5" t="s">
        <v>4373</v>
      </c>
      <c r="B875" s="5" t="s">
        <v>4374</v>
      </c>
      <c r="C875" s="5"/>
      <c r="D875" s="5"/>
      <c r="E875" s="5"/>
      <c r="F875" s="20"/>
      <c r="G875" s="20"/>
      <c r="H875" s="5" t="s">
        <v>41</v>
      </c>
      <c r="I875" s="5" t="s">
        <v>206</v>
      </c>
      <c r="J875" s="5" t="s">
        <v>114</v>
      </c>
      <c r="K875" s="5" t="s">
        <v>4375</v>
      </c>
      <c r="L875" s="5"/>
      <c r="M875" s="5" t="s">
        <v>8</v>
      </c>
      <c r="N875" s="5" t="s">
        <v>80</v>
      </c>
      <c r="O875" s="5" t="str">
        <f>IF(B875="","",IFERROR(LOOKUP(2,1/('Call Log'!$C$2:$C$5000=B875),'Call Log'!$B$2:$B$5000),""))</f>
        <v/>
      </c>
      <c r="P875" s="5">
        <f>IF(B875="","",COUNTIFS('Call Log'!$C$2:$C$5000,B875,'Call Log'!$A$2:$A$5000,"&gt;="&amp;(TODAY()-WEEKDAY(TODAY(),2)+1)))</f>
        <v>0</v>
      </c>
      <c r="Q875" s="5">
        <f>IF(B875="","",COUNTIF('Call Log'!$C$2:$C$5000,B875))</f>
        <v>0</v>
      </c>
      <c r="R875" s="21" t="str">
        <f>IF(B875="","",IFERROR(IF(MAXIFS('Call Log'!$A$2:$A$5000,'Call Log'!$C$2:$C$5000,B875)=0,"",MAXIFS('Call Log'!$A$2:$A$5000,'Call Log'!$C$2:$C$5000,B875)),""))</f>
        <v/>
      </c>
      <c r="S875" s="5"/>
      <c r="T875" s="21"/>
      <c r="U875" s="21"/>
      <c r="V875" s="5"/>
      <c r="W875" s="20"/>
      <c r="X875" s="5"/>
      <c r="Y875" s="5"/>
      <c r="Z875" s="5"/>
      <c r="AA875" s="5"/>
    </row>
    <row r="876" ht="15.0" customHeight="1">
      <c r="A876" s="5" t="s">
        <v>4376</v>
      </c>
      <c r="B876" s="5" t="s">
        <v>4377</v>
      </c>
      <c r="C876" s="5"/>
      <c r="D876" s="5"/>
      <c r="E876" s="5"/>
      <c r="F876" s="20"/>
      <c r="G876" s="20"/>
      <c r="H876" s="5" t="s">
        <v>40</v>
      </c>
      <c r="I876" s="5" t="s">
        <v>370</v>
      </c>
      <c r="J876" s="5" t="s">
        <v>114</v>
      </c>
      <c r="K876" s="5" t="s">
        <v>4378</v>
      </c>
      <c r="L876" s="5"/>
      <c r="M876" s="5" t="s">
        <v>8</v>
      </c>
      <c r="N876" s="5" t="s">
        <v>80</v>
      </c>
      <c r="O876" s="5" t="str">
        <f>IF(B876="","",IFERROR(LOOKUP(2,1/('Call Log'!$C$2:$C$5000=B876),'Call Log'!$B$2:$B$5000),""))</f>
        <v/>
      </c>
      <c r="P876" s="5">
        <f>IF(B876="","",COUNTIFS('Call Log'!$C$2:$C$5000,B876,'Call Log'!$A$2:$A$5000,"&gt;="&amp;(TODAY()-WEEKDAY(TODAY(),2)+1)))</f>
        <v>0</v>
      </c>
      <c r="Q876" s="5">
        <f>IF(B876="","",COUNTIF('Call Log'!$C$2:$C$5000,B876))</f>
        <v>0</v>
      </c>
      <c r="R876" s="21" t="str">
        <f>IF(B876="","",IFERROR(IF(MAXIFS('Call Log'!$A$2:$A$5000,'Call Log'!$C$2:$C$5000,B876)=0,"",MAXIFS('Call Log'!$A$2:$A$5000,'Call Log'!$C$2:$C$5000,B876)),""))</f>
        <v/>
      </c>
      <c r="S876" s="5"/>
      <c r="T876" s="21"/>
      <c r="U876" s="21"/>
      <c r="V876" s="5"/>
      <c r="W876" s="20"/>
      <c r="X876" s="5"/>
      <c r="Y876" s="5"/>
      <c r="Z876" s="5"/>
      <c r="AA876" s="5"/>
    </row>
    <row r="877" ht="15.0" customHeight="1">
      <c r="A877" s="5" t="s">
        <v>4379</v>
      </c>
      <c r="B877" s="5" t="s">
        <v>4380</v>
      </c>
      <c r="C877" s="5"/>
      <c r="D877" s="5"/>
      <c r="E877" s="5">
        <v>1.0</v>
      </c>
      <c r="F877" s="20"/>
      <c r="G877" s="20"/>
      <c r="H877" s="5" t="s">
        <v>40</v>
      </c>
      <c r="I877" s="5" t="s">
        <v>154</v>
      </c>
      <c r="J877" s="5" t="s">
        <v>114</v>
      </c>
      <c r="K877" s="5" t="s">
        <v>4381</v>
      </c>
      <c r="L877" s="5"/>
      <c r="M877" s="5" t="s">
        <v>8</v>
      </c>
      <c r="N877" s="5" t="s">
        <v>80</v>
      </c>
      <c r="O877" s="5" t="str">
        <f>IF(B877="","",IFERROR(LOOKUP(2,1/('Call Log'!$C$2:$C$5000=B877),'Call Log'!$B$2:$B$5000),""))</f>
        <v/>
      </c>
      <c r="P877" s="5">
        <f>IF(B877="","",COUNTIFS('Call Log'!$C$2:$C$5000,B877,'Call Log'!$A$2:$A$5000,"&gt;="&amp;(TODAY()-WEEKDAY(TODAY(),2)+1)))</f>
        <v>0</v>
      </c>
      <c r="Q877" s="5">
        <f>IF(B877="","",COUNTIF('Call Log'!$C$2:$C$5000,B877))</f>
        <v>0</v>
      </c>
      <c r="R877" s="21" t="str">
        <f>IF(B877="","",IFERROR(IF(MAXIFS('Call Log'!$A$2:$A$5000,'Call Log'!$C$2:$C$5000,B877)=0,"",MAXIFS('Call Log'!$A$2:$A$5000,'Call Log'!$C$2:$C$5000,B877)),""))</f>
        <v/>
      </c>
      <c r="S877" s="5"/>
      <c r="T877" s="21"/>
      <c r="U877" s="21"/>
      <c r="V877" s="5"/>
      <c r="W877" s="20"/>
      <c r="X877" s="5"/>
      <c r="Y877" s="5"/>
      <c r="Z877" s="5"/>
      <c r="AA877" s="5"/>
    </row>
    <row r="878" ht="15.0" customHeight="1">
      <c r="A878" s="5" t="s">
        <v>4382</v>
      </c>
      <c r="B878" s="5" t="s">
        <v>4383</v>
      </c>
      <c r="C878" s="5"/>
      <c r="D878" s="5"/>
      <c r="E878" s="5"/>
      <c r="F878" s="20"/>
      <c r="G878" s="20"/>
      <c r="H878" s="5" t="s">
        <v>40</v>
      </c>
      <c r="I878" s="5" t="s">
        <v>857</v>
      </c>
      <c r="J878" s="5" t="s">
        <v>114</v>
      </c>
      <c r="K878" s="5" t="s">
        <v>4384</v>
      </c>
      <c r="L878" s="5"/>
      <c r="M878" s="5" t="s">
        <v>8</v>
      </c>
      <c r="N878" s="5" t="s">
        <v>80</v>
      </c>
      <c r="O878" s="5" t="str">
        <f>IF(B878="","",IFERROR(LOOKUP(2,1/('Call Log'!$C$2:$C$5000=B878),'Call Log'!$B$2:$B$5000),""))</f>
        <v/>
      </c>
      <c r="P878" s="5">
        <f>IF(B878="","",COUNTIFS('Call Log'!$C$2:$C$5000,B878,'Call Log'!$A$2:$A$5000,"&gt;="&amp;(TODAY()-WEEKDAY(TODAY(),2)+1)))</f>
        <v>0</v>
      </c>
      <c r="Q878" s="5">
        <f>IF(B878="","",COUNTIF('Call Log'!$C$2:$C$5000,B878))</f>
        <v>0</v>
      </c>
      <c r="R878" s="21" t="str">
        <f>IF(B878="","",IFERROR(IF(MAXIFS('Call Log'!$A$2:$A$5000,'Call Log'!$C$2:$C$5000,B878)=0,"",MAXIFS('Call Log'!$A$2:$A$5000,'Call Log'!$C$2:$C$5000,B878)),""))</f>
        <v/>
      </c>
      <c r="S878" s="5"/>
      <c r="T878" s="21"/>
      <c r="U878" s="21"/>
      <c r="V878" s="5"/>
      <c r="W878" s="20"/>
      <c r="X878" s="5"/>
      <c r="Y878" s="5"/>
      <c r="Z878" s="5"/>
      <c r="AA878" s="5"/>
    </row>
    <row r="879" ht="15.0" customHeight="1">
      <c r="A879" s="5" t="s">
        <v>4385</v>
      </c>
      <c r="B879" s="5" t="s">
        <v>4386</v>
      </c>
      <c r="C879" s="5"/>
      <c r="D879" s="5"/>
      <c r="E879" s="5"/>
      <c r="F879" s="20"/>
      <c r="G879" s="20"/>
      <c r="H879" s="5" t="s">
        <v>41</v>
      </c>
      <c r="I879" s="5" t="s">
        <v>1313</v>
      </c>
      <c r="J879" s="5" t="s">
        <v>114</v>
      </c>
      <c r="K879" s="5" t="s">
        <v>4387</v>
      </c>
      <c r="L879" s="5"/>
      <c r="M879" s="5" t="s">
        <v>8</v>
      </c>
      <c r="N879" s="5" t="s">
        <v>80</v>
      </c>
      <c r="O879" s="5" t="str">
        <f>IF(B879="","",IFERROR(LOOKUP(2,1/('Call Log'!$C$2:$C$5000=B879),'Call Log'!$B$2:$B$5000),""))</f>
        <v/>
      </c>
      <c r="P879" s="5">
        <f>IF(B879="","",COUNTIFS('Call Log'!$C$2:$C$5000,B879,'Call Log'!$A$2:$A$5000,"&gt;="&amp;(TODAY()-WEEKDAY(TODAY(),2)+1)))</f>
        <v>0</v>
      </c>
      <c r="Q879" s="5">
        <f>IF(B879="","",COUNTIF('Call Log'!$C$2:$C$5000,B879))</f>
        <v>0</v>
      </c>
      <c r="R879" s="21" t="str">
        <f>IF(B879="","",IFERROR(IF(MAXIFS('Call Log'!$A$2:$A$5000,'Call Log'!$C$2:$C$5000,B879)=0,"",MAXIFS('Call Log'!$A$2:$A$5000,'Call Log'!$C$2:$C$5000,B879)),""))</f>
        <v/>
      </c>
      <c r="S879" s="5"/>
      <c r="T879" s="21"/>
      <c r="U879" s="21"/>
      <c r="V879" s="5"/>
      <c r="W879" s="20"/>
      <c r="X879" s="5"/>
      <c r="Y879" s="5"/>
      <c r="Z879" s="5"/>
      <c r="AA879" s="5"/>
    </row>
    <row r="880" ht="15.0" customHeight="1">
      <c r="A880" s="5" t="s">
        <v>4388</v>
      </c>
      <c r="B880" s="5" t="s">
        <v>4389</v>
      </c>
      <c r="C880" s="5"/>
      <c r="D880" s="5"/>
      <c r="E880" s="5"/>
      <c r="F880" s="20"/>
      <c r="G880" s="20"/>
      <c r="H880" s="5" t="s">
        <v>41</v>
      </c>
      <c r="I880" s="5" t="s">
        <v>1320</v>
      </c>
      <c r="J880" s="5" t="s">
        <v>114</v>
      </c>
      <c r="K880" s="5" t="s">
        <v>4390</v>
      </c>
      <c r="L880" s="5"/>
      <c r="M880" s="5" t="s">
        <v>8</v>
      </c>
      <c r="N880" s="5" t="s">
        <v>80</v>
      </c>
      <c r="O880" s="5" t="str">
        <f>IF(B880="","",IFERROR(LOOKUP(2,1/('Call Log'!$C$2:$C$5000=B880),'Call Log'!$B$2:$B$5000),""))</f>
        <v/>
      </c>
      <c r="P880" s="5">
        <f>IF(B880="","",COUNTIFS('Call Log'!$C$2:$C$5000,B880,'Call Log'!$A$2:$A$5000,"&gt;="&amp;(TODAY()-WEEKDAY(TODAY(),2)+1)))</f>
        <v>0</v>
      </c>
      <c r="Q880" s="5">
        <f>IF(B880="","",COUNTIF('Call Log'!$C$2:$C$5000,B880))</f>
        <v>0</v>
      </c>
      <c r="R880" s="21" t="str">
        <f>IF(B880="","",IFERROR(IF(MAXIFS('Call Log'!$A$2:$A$5000,'Call Log'!$C$2:$C$5000,B880)=0,"",MAXIFS('Call Log'!$A$2:$A$5000,'Call Log'!$C$2:$C$5000,B880)),""))</f>
        <v/>
      </c>
      <c r="S880" s="5"/>
      <c r="T880" s="21"/>
      <c r="U880" s="21"/>
      <c r="V880" s="5"/>
      <c r="W880" s="20"/>
      <c r="X880" s="5"/>
      <c r="Y880" s="5"/>
      <c r="Z880" s="5"/>
      <c r="AA880" s="5"/>
    </row>
    <row r="881" ht="15.0" customHeight="1">
      <c r="A881" s="5" t="s">
        <v>4391</v>
      </c>
      <c r="B881" s="5" t="s">
        <v>4392</v>
      </c>
      <c r="C881" s="5"/>
      <c r="D881" s="5"/>
      <c r="E881" s="5"/>
      <c r="F881" s="20"/>
      <c r="G881" s="20"/>
      <c r="H881" s="5" t="s">
        <v>41</v>
      </c>
      <c r="I881" s="5" t="s">
        <v>154</v>
      </c>
      <c r="J881" s="5" t="s">
        <v>114</v>
      </c>
      <c r="K881" s="5" t="s">
        <v>4393</v>
      </c>
      <c r="L881" s="5"/>
      <c r="M881" s="5" t="s">
        <v>8</v>
      </c>
      <c r="N881" s="5" t="s">
        <v>80</v>
      </c>
      <c r="O881" s="5" t="str">
        <f>IF(B881="","",IFERROR(LOOKUP(2,1/('Call Log'!$C$2:$C$5000=B881),'Call Log'!$B$2:$B$5000),""))</f>
        <v/>
      </c>
      <c r="P881" s="5">
        <f>IF(B881="","",COUNTIFS('Call Log'!$C$2:$C$5000,B881,'Call Log'!$A$2:$A$5000,"&gt;="&amp;(TODAY()-WEEKDAY(TODAY(),2)+1)))</f>
        <v>0</v>
      </c>
      <c r="Q881" s="5">
        <f>IF(B881="","",COUNTIF('Call Log'!$C$2:$C$5000,B881))</f>
        <v>0</v>
      </c>
      <c r="R881" s="21" t="str">
        <f>IF(B881="","",IFERROR(IF(MAXIFS('Call Log'!$A$2:$A$5000,'Call Log'!$C$2:$C$5000,B881)=0,"",MAXIFS('Call Log'!$A$2:$A$5000,'Call Log'!$C$2:$C$5000,B881)),""))</f>
        <v/>
      </c>
      <c r="S881" s="5"/>
      <c r="T881" s="21"/>
      <c r="U881" s="21"/>
      <c r="V881" s="5"/>
      <c r="W881" s="20"/>
      <c r="X881" s="5"/>
      <c r="Y881" s="5"/>
      <c r="Z881" s="5"/>
      <c r="AA881" s="5"/>
    </row>
    <row r="882" ht="15.0" customHeight="1">
      <c r="A882" s="5" t="s">
        <v>4394</v>
      </c>
      <c r="B882" s="5" t="s">
        <v>4395</v>
      </c>
      <c r="C882" s="5"/>
      <c r="D882" s="5"/>
      <c r="E882" s="5"/>
      <c r="F882" s="20"/>
      <c r="G882" s="20"/>
      <c r="H882" s="5" t="s">
        <v>40</v>
      </c>
      <c r="I882" s="5" t="s">
        <v>3285</v>
      </c>
      <c r="J882" s="5" t="s">
        <v>114</v>
      </c>
      <c r="K882" s="5" t="s">
        <v>4396</v>
      </c>
      <c r="L882" s="5"/>
      <c r="M882" s="5" t="s">
        <v>8</v>
      </c>
      <c r="N882" s="5" t="s">
        <v>80</v>
      </c>
      <c r="O882" s="5" t="str">
        <f>IF(B882="","",IFERROR(LOOKUP(2,1/('Call Log'!$C$2:$C$5000=B882),'Call Log'!$B$2:$B$5000),""))</f>
        <v/>
      </c>
      <c r="P882" s="5">
        <f>IF(B882="","",COUNTIFS('Call Log'!$C$2:$C$5000,B882,'Call Log'!$A$2:$A$5000,"&gt;="&amp;(TODAY()-WEEKDAY(TODAY(),2)+1)))</f>
        <v>0</v>
      </c>
      <c r="Q882" s="5">
        <f>IF(B882="","",COUNTIF('Call Log'!$C$2:$C$5000,B882))</f>
        <v>0</v>
      </c>
      <c r="R882" s="21" t="str">
        <f>IF(B882="","",IFERROR(IF(MAXIFS('Call Log'!$A$2:$A$5000,'Call Log'!$C$2:$C$5000,B882)=0,"",MAXIFS('Call Log'!$A$2:$A$5000,'Call Log'!$C$2:$C$5000,B882)),""))</f>
        <v/>
      </c>
      <c r="S882" s="5"/>
      <c r="T882" s="21"/>
      <c r="U882" s="21"/>
      <c r="V882" s="5"/>
      <c r="W882" s="20"/>
      <c r="X882" s="5"/>
      <c r="Y882" s="5"/>
      <c r="Z882" s="5"/>
      <c r="AA882" s="5"/>
    </row>
    <row r="883" ht="15.0" customHeight="1">
      <c r="A883" s="5" t="s">
        <v>4397</v>
      </c>
      <c r="B883" s="5" t="s">
        <v>4398</v>
      </c>
      <c r="C883" s="5"/>
      <c r="D883" s="5"/>
      <c r="E883" s="5"/>
      <c r="F883" s="20"/>
      <c r="G883" s="20"/>
      <c r="H883" s="5" t="s">
        <v>41</v>
      </c>
      <c r="I883" s="5" t="s">
        <v>357</v>
      </c>
      <c r="J883" s="5" t="s">
        <v>114</v>
      </c>
      <c r="K883" s="5" t="s">
        <v>4399</v>
      </c>
      <c r="L883" s="5"/>
      <c r="M883" s="5" t="s">
        <v>8</v>
      </c>
      <c r="N883" s="5" t="s">
        <v>80</v>
      </c>
      <c r="O883" s="5" t="str">
        <f>IF(B883="","",IFERROR(LOOKUP(2,1/('Call Log'!$C$2:$C$5000=B883),'Call Log'!$B$2:$B$5000),""))</f>
        <v/>
      </c>
      <c r="P883" s="5">
        <f>IF(B883="","",COUNTIFS('Call Log'!$C$2:$C$5000,B883,'Call Log'!$A$2:$A$5000,"&gt;="&amp;(TODAY()-WEEKDAY(TODAY(),2)+1)))</f>
        <v>0</v>
      </c>
      <c r="Q883" s="5">
        <f>IF(B883="","",COUNTIF('Call Log'!$C$2:$C$5000,B883))</f>
        <v>0</v>
      </c>
      <c r="R883" s="21" t="str">
        <f>IF(B883="","",IFERROR(IF(MAXIFS('Call Log'!$A$2:$A$5000,'Call Log'!$C$2:$C$5000,B883)=0,"",MAXIFS('Call Log'!$A$2:$A$5000,'Call Log'!$C$2:$C$5000,B883)),""))</f>
        <v/>
      </c>
      <c r="S883" s="5"/>
      <c r="T883" s="21"/>
      <c r="U883" s="21"/>
      <c r="V883" s="5"/>
      <c r="W883" s="20"/>
      <c r="X883" s="5"/>
      <c r="Y883" s="5"/>
      <c r="Z883" s="5"/>
      <c r="AA883" s="5"/>
    </row>
    <row r="884" ht="15.0" customHeight="1">
      <c r="A884" s="5" t="s">
        <v>4400</v>
      </c>
      <c r="B884" s="5" t="s">
        <v>4401</v>
      </c>
      <c r="C884" s="5"/>
      <c r="D884" s="5"/>
      <c r="E884" s="5"/>
      <c r="F884" s="20"/>
      <c r="G884" s="20"/>
      <c r="H884" s="5" t="s">
        <v>40</v>
      </c>
      <c r="I884" s="5" t="s">
        <v>218</v>
      </c>
      <c r="J884" s="5" t="s">
        <v>114</v>
      </c>
      <c r="K884" s="5" t="s">
        <v>4402</v>
      </c>
      <c r="L884" s="5"/>
      <c r="M884" s="5" t="s">
        <v>8</v>
      </c>
      <c r="N884" s="5" t="s">
        <v>80</v>
      </c>
      <c r="O884" s="5" t="str">
        <f>IF(B884="","",IFERROR(LOOKUP(2,1/('Call Log'!$C$2:$C$5000=B884),'Call Log'!$B$2:$B$5000),""))</f>
        <v/>
      </c>
      <c r="P884" s="5">
        <f>IF(B884="","",COUNTIFS('Call Log'!$C$2:$C$5000,B884,'Call Log'!$A$2:$A$5000,"&gt;="&amp;(TODAY()-WEEKDAY(TODAY(),2)+1)))</f>
        <v>0</v>
      </c>
      <c r="Q884" s="5">
        <f>IF(B884="","",COUNTIF('Call Log'!$C$2:$C$5000,B884))</f>
        <v>0</v>
      </c>
      <c r="R884" s="21" t="str">
        <f>IF(B884="","",IFERROR(IF(MAXIFS('Call Log'!$A$2:$A$5000,'Call Log'!$C$2:$C$5000,B884)=0,"",MAXIFS('Call Log'!$A$2:$A$5000,'Call Log'!$C$2:$C$5000,B884)),""))</f>
        <v/>
      </c>
      <c r="S884" s="5"/>
      <c r="T884" s="21"/>
      <c r="U884" s="21"/>
      <c r="V884" s="5"/>
      <c r="W884" s="20"/>
      <c r="X884" s="5"/>
      <c r="Y884" s="5"/>
      <c r="Z884" s="5"/>
      <c r="AA884" s="5"/>
    </row>
    <row r="885" ht="15.0" customHeight="1">
      <c r="A885" s="5" t="s">
        <v>4403</v>
      </c>
      <c r="B885" s="5" t="s">
        <v>4404</v>
      </c>
      <c r="C885" s="5"/>
      <c r="D885" s="5"/>
      <c r="E885" s="5"/>
      <c r="F885" s="20"/>
      <c r="G885" s="20"/>
      <c r="H885" s="5" t="s">
        <v>40</v>
      </c>
      <c r="I885" s="5" t="s">
        <v>231</v>
      </c>
      <c r="J885" s="5" t="s">
        <v>114</v>
      </c>
      <c r="K885" s="5"/>
      <c r="L885" s="5"/>
      <c r="M885" s="5" t="s">
        <v>8</v>
      </c>
      <c r="N885" s="5" t="s">
        <v>80</v>
      </c>
      <c r="O885" s="5" t="str">
        <f>IF(B885="","",IFERROR(LOOKUP(2,1/('Call Log'!$C$2:$C$5000=B885),'Call Log'!$B$2:$B$5000),""))</f>
        <v/>
      </c>
      <c r="P885" s="5">
        <f>IF(B885="","",COUNTIFS('Call Log'!$C$2:$C$5000,B885,'Call Log'!$A$2:$A$5000,"&gt;="&amp;(TODAY()-WEEKDAY(TODAY(),2)+1)))</f>
        <v>0</v>
      </c>
      <c r="Q885" s="5">
        <f>IF(B885="","",COUNTIF('Call Log'!$C$2:$C$5000,B885))</f>
        <v>0</v>
      </c>
      <c r="R885" s="21" t="str">
        <f>IF(B885="","",IFERROR(IF(MAXIFS('Call Log'!$A$2:$A$5000,'Call Log'!$C$2:$C$5000,B885)=0,"",MAXIFS('Call Log'!$A$2:$A$5000,'Call Log'!$C$2:$C$5000,B885)),""))</f>
        <v/>
      </c>
      <c r="S885" s="5"/>
      <c r="T885" s="21"/>
      <c r="U885" s="21"/>
      <c r="V885" s="5"/>
      <c r="W885" s="20"/>
      <c r="X885" s="5"/>
      <c r="Y885" s="5"/>
      <c r="Z885" s="5"/>
      <c r="AA885" s="5"/>
    </row>
    <row r="886" ht="15.0" customHeight="1">
      <c r="A886" s="5" t="s">
        <v>4405</v>
      </c>
      <c r="B886" s="5" t="s">
        <v>4406</v>
      </c>
      <c r="C886" s="5"/>
      <c r="D886" s="5"/>
      <c r="E886" s="5"/>
      <c r="F886" s="20"/>
      <c r="G886" s="20"/>
      <c r="H886" s="5" t="s">
        <v>40</v>
      </c>
      <c r="I886" s="5" t="s">
        <v>904</v>
      </c>
      <c r="J886" s="5" t="s">
        <v>114</v>
      </c>
      <c r="K886" s="5" t="s">
        <v>4407</v>
      </c>
      <c r="L886" s="5"/>
      <c r="M886" s="5" t="s">
        <v>8</v>
      </c>
      <c r="N886" s="5" t="s">
        <v>80</v>
      </c>
      <c r="O886" s="5" t="str">
        <f>IF(B886="","",IFERROR(LOOKUP(2,1/('Call Log'!$C$2:$C$5000=B886),'Call Log'!$B$2:$B$5000),""))</f>
        <v/>
      </c>
      <c r="P886" s="5">
        <f>IF(B886="","",COUNTIFS('Call Log'!$C$2:$C$5000,B886,'Call Log'!$A$2:$A$5000,"&gt;="&amp;(TODAY()-WEEKDAY(TODAY(),2)+1)))</f>
        <v>0</v>
      </c>
      <c r="Q886" s="5">
        <f>IF(B886="","",COUNTIF('Call Log'!$C$2:$C$5000,B886))</f>
        <v>0</v>
      </c>
      <c r="R886" s="21" t="str">
        <f>IF(B886="","",IFERROR(IF(MAXIFS('Call Log'!$A$2:$A$5000,'Call Log'!$C$2:$C$5000,B886)=0,"",MAXIFS('Call Log'!$A$2:$A$5000,'Call Log'!$C$2:$C$5000,B886)),""))</f>
        <v/>
      </c>
      <c r="S886" s="5"/>
      <c r="T886" s="21"/>
      <c r="U886" s="21"/>
      <c r="V886" s="5"/>
      <c r="W886" s="20"/>
      <c r="X886" s="5"/>
      <c r="Y886" s="5"/>
      <c r="Z886" s="5"/>
      <c r="AA886" s="5"/>
    </row>
    <row r="887" ht="15.0" customHeight="1">
      <c r="A887" s="5" t="s">
        <v>4408</v>
      </c>
      <c r="B887" s="5" t="s">
        <v>4409</v>
      </c>
      <c r="C887" s="5"/>
      <c r="D887" s="5"/>
      <c r="E887" s="5"/>
      <c r="F887" s="20"/>
      <c r="G887" s="20"/>
      <c r="H887" s="5" t="s">
        <v>41</v>
      </c>
      <c r="I887" s="5" t="s">
        <v>594</v>
      </c>
      <c r="J887" s="5" t="s">
        <v>114</v>
      </c>
      <c r="K887" s="5" t="s">
        <v>4410</v>
      </c>
      <c r="L887" s="5"/>
      <c r="M887" s="5" t="s">
        <v>8</v>
      </c>
      <c r="N887" s="5" t="s">
        <v>80</v>
      </c>
      <c r="O887" s="5" t="str">
        <f>IF(B887="","",IFERROR(LOOKUP(2,1/('Call Log'!$C$2:$C$5000=B887),'Call Log'!$B$2:$B$5000),""))</f>
        <v/>
      </c>
      <c r="P887" s="5">
        <f>IF(B887="","",COUNTIFS('Call Log'!$C$2:$C$5000,B887,'Call Log'!$A$2:$A$5000,"&gt;="&amp;(TODAY()-WEEKDAY(TODAY(),2)+1)))</f>
        <v>0</v>
      </c>
      <c r="Q887" s="5">
        <f>IF(B887="","",COUNTIF('Call Log'!$C$2:$C$5000,B887))</f>
        <v>0</v>
      </c>
      <c r="R887" s="21" t="str">
        <f>IF(B887="","",IFERROR(IF(MAXIFS('Call Log'!$A$2:$A$5000,'Call Log'!$C$2:$C$5000,B887)=0,"",MAXIFS('Call Log'!$A$2:$A$5000,'Call Log'!$C$2:$C$5000,B887)),""))</f>
        <v/>
      </c>
      <c r="S887" s="5"/>
      <c r="T887" s="21"/>
      <c r="U887" s="21"/>
      <c r="V887" s="5"/>
      <c r="W887" s="20"/>
      <c r="X887" s="5"/>
      <c r="Y887" s="5"/>
      <c r="Z887" s="5"/>
      <c r="AA887" s="5"/>
    </row>
    <row r="888" ht="15.0" customHeight="1">
      <c r="A888" s="5" t="s">
        <v>4411</v>
      </c>
      <c r="B888" s="5" t="s">
        <v>4412</v>
      </c>
      <c r="C888" s="5"/>
      <c r="D888" s="5"/>
      <c r="E888" s="5"/>
      <c r="F888" s="20"/>
      <c r="G888" s="20"/>
      <c r="H888" s="5" t="s">
        <v>41</v>
      </c>
      <c r="I888" s="5" t="s">
        <v>357</v>
      </c>
      <c r="J888" s="5" t="s">
        <v>114</v>
      </c>
      <c r="K888" s="5" t="s">
        <v>4413</v>
      </c>
      <c r="L888" s="5"/>
      <c r="M888" s="5" t="s">
        <v>8</v>
      </c>
      <c r="N888" s="5" t="s">
        <v>80</v>
      </c>
      <c r="O888" s="5" t="str">
        <f>IF(B888="","",IFERROR(LOOKUP(2,1/('Call Log'!$C$2:$C$5000=B888),'Call Log'!$B$2:$B$5000),""))</f>
        <v/>
      </c>
      <c r="P888" s="5">
        <f>IF(B888="","",COUNTIFS('Call Log'!$C$2:$C$5000,B888,'Call Log'!$A$2:$A$5000,"&gt;="&amp;(TODAY()-WEEKDAY(TODAY(),2)+1)))</f>
        <v>0</v>
      </c>
      <c r="Q888" s="5">
        <f>IF(B888="","",COUNTIF('Call Log'!$C$2:$C$5000,B888))</f>
        <v>0</v>
      </c>
      <c r="R888" s="21" t="str">
        <f>IF(B888="","",IFERROR(IF(MAXIFS('Call Log'!$A$2:$A$5000,'Call Log'!$C$2:$C$5000,B888)=0,"",MAXIFS('Call Log'!$A$2:$A$5000,'Call Log'!$C$2:$C$5000,B888)),""))</f>
        <v/>
      </c>
      <c r="S888" s="5"/>
      <c r="T888" s="21"/>
      <c r="U888" s="21"/>
      <c r="V888" s="5"/>
      <c r="W888" s="20"/>
      <c r="X888" s="5"/>
      <c r="Y888" s="5"/>
      <c r="Z888" s="5"/>
      <c r="AA888" s="5"/>
    </row>
    <row r="889" ht="15.0" customHeight="1">
      <c r="A889" s="5" t="s">
        <v>4414</v>
      </c>
      <c r="B889" s="5" t="s">
        <v>4415</v>
      </c>
      <c r="C889" s="5"/>
      <c r="D889" s="5"/>
      <c r="E889" s="5"/>
      <c r="F889" s="20"/>
      <c r="G889" s="20"/>
      <c r="H889" s="5" t="s">
        <v>40</v>
      </c>
      <c r="I889" s="5" t="s">
        <v>4416</v>
      </c>
      <c r="J889" s="5" t="s">
        <v>114</v>
      </c>
      <c r="K889" s="5" t="s">
        <v>4417</v>
      </c>
      <c r="L889" s="5"/>
      <c r="M889" s="5" t="s">
        <v>8</v>
      </c>
      <c r="N889" s="5" t="s">
        <v>80</v>
      </c>
      <c r="O889" s="5" t="str">
        <f>IF(B889="","",IFERROR(LOOKUP(2,1/('Call Log'!$C$2:$C$5000=B889),'Call Log'!$B$2:$B$5000),""))</f>
        <v/>
      </c>
      <c r="P889" s="5">
        <f>IF(B889="","",COUNTIFS('Call Log'!$C$2:$C$5000,B889,'Call Log'!$A$2:$A$5000,"&gt;="&amp;(TODAY()-WEEKDAY(TODAY(),2)+1)))</f>
        <v>0</v>
      </c>
      <c r="Q889" s="5">
        <f>IF(B889="","",COUNTIF('Call Log'!$C$2:$C$5000,B889))</f>
        <v>0</v>
      </c>
      <c r="R889" s="21" t="str">
        <f>IF(B889="","",IFERROR(IF(MAXIFS('Call Log'!$A$2:$A$5000,'Call Log'!$C$2:$C$5000,B889)=0,"",MAXIFS('Call Log'!$A$2:$A$5000,'Call Log'!$C$2:$C$5000,B889)),""))</f>
        <v/>
      </c>
      <c r="S889" s="5"/>
      <c r="T889" s="21"/>
      <c r="U889" s="21"/>
      <c r="V889" s="5"/>
      <c r="W889" s="20"/>
      <c r="X889" s="5"/>
      <c r="Y889" s="5"/>
      <c r="Z889" s="5"/>
      <c r="AA889" s="5"/>
    </row>
    <row r="890" ht="15.0" customHeight="1">
      <c r="A890" s="5" t="s">
        <v>4418</v>
      </c>
      <c r="B890" s="5" t="s">
        <v>4419</v>
      </c>
      <c r="C890" s="5"/>
      <c r="D890" s="5"/>
      <c r="E890" s="5"/>
      <c r="F890" s="20"/>
      <c r="G890" s="20"/>
      <c r="H890" s="5" t="s">
        <v>40</v>
      </c>
      <c r="I890" s="5" t="s">
        <v>184</v>
      </c>
      <c r="J890" s="5" t="s">
        <v>114</v>
      </c>
      <c r="K890" s="5" t="s">
        <v>4420</v>
      </c>
      <c r="L890" s="5"/>
      <c r="M890" s="5" t="s">
        <v>8</v>
      </c>
      <c r="N890" s="5" t="s">
        <v>80</v>
      </c>
      <c r="O890" s="5" t="str">
        <f>IF(B890="","",IFERROR(LOOKUP(2,1/('Call Log'!$C$2:$C$5000=B890),'Call Log'!$B$2:$B$5000),""))</f>
        <v/>
      </c>
      <c r="P890" s="5">
        <f>IF(B890="","",COUNTIFS('Call Log'!$C$2:$C$5000,B890,'Call Log'!$A$2:$A$5000,"&gt;="&amp;(TODAY()-WEEKDAY(TODAY(),2)+1)))</f>
        <v>0</v>
      </c>
      <c r="Q890" s="5">
        <f>IF(B890="","",COUNTIF('Call Log'!$C$2:$C$5000,B890))</f>
        <v>0</v>
      </c>
      <c r="R890" s="21" t="str">
        <f>IF(B890="","",IFERROR(IF(MAXIFS('Call Log'!$A$2:$A$5000,'Call Log'!$C$2:$C$5000,B890)=0,"",MAXIFS('Call Log'!$A$2:$A$5000,'Call Log'!$C$2:$C$5000,B890)),""))</f>
        <v/>
      </c>
      <c r="S890" s="5"/>
      <c r="T890" s="21"/>
      <c r="U890" s="21"/>
      <c r="V890" s="5"/>
      <c r="W890" s="20"/>
      <c r="X890" s="5"/>
      <c r="Y890" s="5"/>
      <c r="Z890" s="5"/>
      <c r="AA890" s="5"/>
    </row>
    <row r="891" ht="15.0" customHeight="1">
      <c r="A891" s="5" t="s">
        <v>4421</v>
      </c>
      <c r="B891" s="5" t="s">
        <v>4422</v>
      </c>
      <c r="C891" s="5"/>
      <c r="D891" s="5"/>
      <c r="E891" s="5"/>
      <c r="F891" s="20"/>
      <c r="G891" s="20"/>
      <c r="H891" s="5" t="s">
        <v>41</v>
      </c>
      <c r="I891" s="5" t="s">
        <v>667</v>
      </c>
      <c r="J891" s="5" t="s">
        <v>114</v>
      </c>
      <c r="K891" s="5" t="s">
        <v>4423</v>
      </c>
      <c r="L891" s="5"/>
      <c r="M891" s="5" t="s">
        <v>8</v>
      </c>
      <c r="N891" s="5" t="s">
        <v>80</v>
      </c>
      <c r="O891" s="5" t="str">
        <f>IF(B891="","",IFERROR(LOOKUP(2,1/('Call Log'!$C$2:$C$5000=B891),'Call Log'!$B$2:$B$5000),""))</f>
        <v/>
      </c>
      <c r="P891" s="5">
        <f>IF(B891="","",COUNTIFS('Call Log'!$C$2:$C$5000,B891,'Call Log'!$A$2:$A$5000,"&gt;="&amp;(TODAY()-WEEKDAY(TODAY(),2)+1)))</f>
        <v>0</v>
      </c>
      <c r="Q891" s="5">
        <f>IF(B891="","",COUNTIF('Call Log'!$C$2:$C$5000,B891))</f>
        <v>0</v>
      </c>
      <c r="R891" s="21" t="str">
        <f>IF(B891="","",IFERROR(IF(MAXIFS('Call Log'!$A$2:$A$5000,'Call Log'!$C$2:$C$5000,B891)=0,"",MAXIFS('Call Log'!$A$2:$A$5000,'Call Log'!$C$2:$C$5000,B891)),""))</f>
        <v/>
      </c>
      <c r="S891" s="5"/>
      <c r="T891" s="21"/>
      <c r="U891" s="21"/>
      <c r="V891" s="5"/>
      <c r="W891" s="20"/>
      <c r="X891" s="5"/>
      <c r="Y891" s="5"/>
      <c r="Z891" s="5"/>
      <c r="AA891" s="5"/>
    </row>
    <row r="892" ht="15.0" customHeight="1">
      <c r="A892" s="5" t="s">
        <v>4424</v>
      </c>
      <c r="B892" s="5" t="s">
        <v>4425</v>
      </c>
      <c r="C892" s="5"/>
      <c r="D892" s="5"/>
      <c r="E892" s="5"/>
      <c r="F892" s="20"/>
      <c r="G892" s="20"/>
      <c r="H892" s="5" t="s">
        <v>41</v>
      </c>
      <c r="I892" s="5" t="s">
        <v>1093</v>
      </c>
      <c r="J892" s="5" t="s">
        <v>114</v>
      </c>
      <c r="K892" s="5" t="s">
        <v>4426</v>
      </c>
      <c r="L892" s="5"/>
      <c r="M892" s="5" t="s">
        <v>8</v>
      </c>
      <c r="N892" s="5" t="s">
        <v>80</v>
      </c>
      <c r="O892" s="5" t="str">
        <f>IF(B892="","",IFERROR(LOOKUP(2,1/('Call Log'!$C$2:$C$5000=B892),'Call Log'!$B$2:$B$5000),""))</f>
        <v/>
      </c>
      <c r="P892" s="5">
        <f>IF(B892="","",COUNTIFS('Call Log'!$C$2:$C$5000,B892,'Call Log'!$A$2:$A$5000,"&gt;="&amp;(TODAY()-WEEKDAY(TODAY(),2)+1)))</f>
        <v>0</v>
      </c>
      <c r="Q892" s="5">
        <f>IF(B892="","",COUNTIF('Call Log'!$C$2:$C$5000,B892))</f>
        <v>0</v>
      </c>
      <c r="R892" s="21" t="str">
        <f>IF(B892="","",IFERROR(IF(MAXIFS('Call Log'!$A$2:$A$5000,'Call Log'!$C$2:$C$5000,B892)=0,"",MAXIFS('Call Log'!$A$2:$A$5000,'Call Log'!$C$2:$C$5000,B892)),""))</f>
        <v/>
      </c>
      <c r="S892" s="5"/>
      <c r="T892" s="21"/>
      <c r="U892" s="21"/>
      <c r="V892" s="5"/>
      <c r="W892" s="20"/>
      <c r="X892" s="5"/>
      <c r="Y892" s="5"/>
      <c r="Z892" s="5"/>
      <c r="AA892" s="5" t="s">
        <v>4427</v>
      </c>
    </row>
    <row r="893" ht="15.0" customHeight="1">
      <c r="A893" s="5" t="s">
        <v>4428</v>
      </c>
      <c r="B893" s="5" t="s">
        <v>4429</v>
      </c>
      <c r="C893" s="5"/>
      <c r="D893" s="5"/>
      <c r="E893" s="5"/>
      <c r="F893" s="20"/>
      <c r="G893" s="20"/>
      <c r="H893" s="5" t="s">
        <v>40</v>
      </c>
      <c r="I893" s="5" t="s">
        <v>1320</v>
      </c>
      <c r="J893" s="5" t="s">
        <v>114</v>
      </c>
      <c r="K893" s="5" t="s">
        <v>4430</v>
      </c>
      <c r="L893" s="5"/>
      <c r="M893" s="5" t="s">
        <v>8</v>
      </c>
      <c r="N893" s="5" t="s">
        <v>80</v>
      </c>
      <c r="O893" s="5" t="str">
        <f>IF(B893="","",IFERROR(LOOKUP(2,1/('Call Log'!$C$2:$C$5000=B893),'Call Log'!$B$2:$B$5000),""))</f>
        <v/>
      </c>
      <c r="P893" s="5">
        <f>IF(B893="","",COUNTIFS('Call Log'!$C$2:$C$5000,B893,'Call Log'!$A$2:$A$5000,"&gt;="&amp;(TODAY()-WEEKDAY(TODAY(),2)+1)))</f>
        <v>0</v>
      </c>
      <c r="Q893" s="5">
        <f>IF(B893="","",COUNTIF('Call Log'!$C$2:$C$5000,B893))</f>
        <v>0</v>
      </c>
      <c r="R893" s="21" t="str">
        <f>IF(B893="","",IFERROR(IF(MAXIFS('Call Log'!$A$2:$A$5000,'Call Log'!$C$2:$C$5000,B893)=0,"",MAXIFS('Call Log'!$A$2:$A$5000,'Call Log'!$C$2:$C$5000,B893)),""))</f>
        <v/>
      </c>
      <c r="S893" s="5"/>
      <c r="T893" s="21"/>
      <c r="U893" s="21"/>
      <c r="V893" s="5"/>
      <c r="W893" s="20"/>
      <c r="X893" s="5"/>
      <c r="Y893" s="5"/>
      <c r="Z893" s="5"/>
      <c r="AA893" s="5"/>
    </row>
    <row r="894" ht="15.0" customHeight="1">
      <c r="A894" s="5" t="s">
        <v>4431</v>
      </c>
      <c r="B894" s="5" t="s">
        <v>4432</v>
      </c>
      <c r="C894" s="5"/>
      <c r="D894" s="5"/>
      <c r="E894" s="5"/>
      <c r="F894" s="20"/>
      <c r="G894" s="20"/>
      <c r="H894" s="5" t="s">
        <v>41</v>
      </c>
      <c r="I894" s="5" t="s">
        <v>865</v>
      </c>
      <c r="J894" s="5" t="s">
        <v>114</v>
      </c>
      <c r="K894" s="5"/>
      <c r="L894" s="5"/>
      <c r="M894" s="5" t="s">
        <v>8</v>
      </c>
      <c r="N894" s="5" t="s">
        <v>80</v>
      </c>
      <c r="O894" s="5" t="str">
        <f>IF(B894="","",IFERROR(LOOKUP(2,1/('Call Log'!$C$2:$C$5000=B894),'Call Log'!$B$2:$B$5000),""))</f>
        <v/>
      </c>
      <c r="P894" s="5">
        <f>IF(B894="","",COUNTIFS('Call Log'!$C$2:$C$5000,B894,'Call Log'!$A$2:$A$5000,"&gt;="&amp;(TODAY()-WEEKDAY(TODAY(),2)+1)))</f>
        <v>0</v>
      </c>
      <c r="Q894" s="5">
        <f>IF(B894="","",COUNTIF('Call Log'!$C$2:$C$5000,B894))</f>
        <v>0</v>
      </c>
      <c r="R894" s="21" t="str">
        <f>IF(B894="","",IFERROR(IF(MAXIFS('Call Log'!$A$2:$A$5000,'Call Log'!$C$2:$C$5000,B894)=0,"",MAXIFS('Call Log'!$A$2:$A$5000,'Call Log'!$C$2:$C$5000,B894)),""))</f>
        <v/>
      </c>
      <c r="S894" s="5"/>
      <c r="T894" s="21"/>
      <c r="U894" s="21"/>
      <c r="V894" s="5"/>
      <c r="W894" s="20"/>
      <c r="X894" s="5"/>
      <c r="Y894" s="5"/>
      <c r="Z894" s="5"/>
      <c r="AA894" s="5"/>
    </row>
    <row r="895" ht="15.0" customHeight="1">
      <c r="A895" s="5" t="s">
        <v>4433</v>
      </c>
      <c r="B895" s="5" t="s">
        <v>4434</v>
      </c>
      <c r="C895" s="5"/>
      <c r="D895" s="5"/>
      <c r="E895" s="5"/>
      <c r="F895" s="20"/>
      <c r="G895" s="20"/>
      <c r="H895" s="5" t="s">
        <v>41</v>
      </c>
      <c r="I895" s="5" t="s">
        <v>198</v>
      </c>
      <c r="J895" s="5" t="s">
        <v>114</v>
      </c>
      <c r="K895" s="5" t="s">
        <v>4435</v>
      </c>
      <c r="L895" s="5"/>
      <c r="M895" s="5" t="s">
        <v>8</v>
      </c>
      <c r="N895" s="5" t="s">
        <v>80</v>
      </c>
      <c r="O895" s="5" t="str">
        <f>IF(B895="","",IFERROR(LOOKUP(2,1/('Call Log'!$C$2:$C$5000=B895),'Call Log'!$B$2:$B$5000),""))</f>
        <v/>
      </c>
      <c r="P895" s="5">
        <f>IF(B895="","",COUNTIFS('Call Log'!$C$2:$C$5000,B895,'Call Log'!$A$2:$A$5000,"&gt;="&amp;(TODAY()-WEEKDAY(TODAY(),2)+1)))</f>
        <v>0</v>
      </c>
      <c r="Q895" s="5">
        <f>IF(B895="","",COUNTIF('Call Log'!$C$2:$C$5000,B895))</f>
        <v>0</v>
      </c>
      <c r="R895" s="21" t="str">
        <f>IF(B895="","",IFERROR(IF(MAXIFS('Call Log'!$A$2:$A$5000,'Call Log'!$C$2:$C$5000,B895)=0,"",MAXIFS('Call Log'!$A$2:$A$5000,'Call Log'!$C$2:$C$5000,B895)),""))</f>
        <v/>
      </c>
      <c r="S895" s="5"/>
      <c r="T895" s="21"/>
      <c r="U895" s="21"/>
      <c r="V895" s="5"/>
      <c r="W895" s="20"/>
      <c r="X895" s="5"/>
      <c r="Y895" s="5"/>
      <c r="Z895" s="5"/>
      <c r="AA895" s="5"/>
    </row>
    <row r="896" ht="15.0" customHeight="1">
      <c r="A896" s="5" t="s">
        <v>4436</v>
      </c>
      <c r="B896" s="5" t="s">
        <v>4437</v>
      </c>
      <c r="C896" s="5"/>
      <c r="D896" s="5"/>
      <c r="E896" s="5"/>
      <c r="F896" s="20"/>
      <c r="G896" s="20"/>
      <c r="H896" s="5" t="s">
        <v>40</v>
      </c>
      <c r="I896" s="5" t="s">
        <v>231</v>
      </c>
      <c r="J896" s="5" t="s">
        <v>114</v>
      </c>
      <c r="K896" s="5" t="s">
        <v>4438</v>
      </c>
      <c r="L896" s="5"/>
      <c r="M896" s="5" t="s">
        <v>8</v>
      </c>
      <c r="N896" s="5" t="s">
        <v>80</v>
      </c>
      <c r="O896" s="5" t="str">
        <f>IF(B896="","",IFERROR(LOOKUP(2,1/('Call Log'!$C$2:$C$5000=B896),'Call Log'!$B$2:$B$5000),""))</f>
        <v/>
      </c>
      <c r="P896" s="5">
        <f>IF(B896="","",COUNTIFS('Call Log'!$C$2:$C$5000,B896,'Call Log'!$A$2:$A$5000,"&gt;="&amp;(TODAY()-WEEKDAY(TODAY(),2)+1)))</f>
        <v>0</v>
      </c>
      <c r="Q896" s="5">
        <f>IF(B896="","",COUNTIF('Call Log'!$C$2:$C$5000,B896))</f>
        <v>0</v>
      </c>
      <c r="R896" s="21" t="str">
        <f>IF(B896="","",IFERROR(IF(MAXIFS('Call Log'!$A$2:$A$5000,'Call Log'!$C$2:$C$5000,B896)=0,"",MAXIFS('Call Log'!$A$2:$A$5000,'Call Log'!$C$2:$C$5000,B896)),""))</f>
        <v/>
      </c>
      <c r="S896" s="5"/>
      <c r="T896" s="21"/>
      <c r="U896" s="21"/>
      <c r="V896" s="5"/>
      <c r="W896" s="20"/>
      <c r="X896" s="5"/>
      <c r="Y896" s="5"/>
      <c r="Z896" s="5"/>
      <c r="AA896" s="5"/>
    </row>
    <row r="897" ht="15.0" customHeight="1">
      <c r="A897" s="5" t="s">
        <v>4439</v>
      </c>
      <c r="B897" s="5" t="s">
        <v>4440</v>
      </c>
      <c r="C897" s="5"/>
      <c r="D897" s="5"/>
      <c r="E897" s="5"/>
      <c r="F897" s="20"/>
      <c r="G897" s="20"/>
      <c r="H897" s="5" t="s">
        <v>41</v>
      </c>
      <c r="I897" s="5" t="s">
        <v>4365</v>
      </c>
      <c r="J897" s="5" t="s">
        <v>114</v>
      </c>
      <c r="K897" s="5" t="s">
        <v>4441</v>
      </c>
      <c r="L897" s="5"/>
      <c r="M897" s="5" t="s">
        <v>8</v>
      </c>
      <c r="N897" s="5" t="s">
        <v>80</v>
      </c>
      <c r="O897" s="5" t="str">
        <f>IF(B897="","",IFERROR(LOOKUP(2,1/('Call Log'!$C$2:$C$5000=B897),'Call Log'!$B$2:$B$5000),""))</f>
        <v/>
      </c>
      <c r="P897" s="5">
        <f>IF(B897="","",COUNTIFS('Call Log'!$C$2:$C$5000,B897,'Call Log'!$A$2:$A$5000,"&gt;="&amp;(TODAY()-WEEKDAY(TODAY(),2)+1)))</f>
        <v>0</v>
      </c>
      <c r="Q897" s="5">
        <f>IF(B897="","",COUNTIF('Call Log'!$C$2:$C$5000,B897))</f>
        <v>0</v>
      </c>
      <c r="R897" s="21" t="str">
        <f>IF(B897="","",IFERROR(IF(MAXIFS('Call Log'!$A$2:$A$5000,'Call Log'!$C$2:$C$5000,B897)=0,"",MAXIFS('Call Log'!$A$2:$A$5000,'Call Log'!$C$2:$C$5000,B897)),""))</f>
        <v/>
      </c>
      <c r="S897" s="5"/>
      <c r="T897" s="21"/>
      <c r="U897" s="21"/>
      <c r="V897" s="5"/>
      <c r="W897" s="20"/>
      <c r="X897" s="5"/>
      <c r="Y897" s="5"/>
      <c r="Z897" s="5"/>
      <c r="AA897" s="5" t="s">
        <v>3711</v>
      </c>
    </row>
    <row r="898" ht="15.0" customHeight="1">
      <c r="A898" s="5" t="s">
        <v>4442</v>
      </c>
      <c r="B898" s="5" t="s">
        <v>4443</v>
      </c>
      <c r="C898" s="5"/>
      <c r="D898" s="5"/>
      <c r="E898" s="5"/>
      <c r="F898" s="20"/>
      <c r="G898" s="20"/>
      <c r="H898" s="5" t="s">
        <v>40</v>
      </c>
      <c r="I898" s="5" t="s">
        <v>218</v>
      </c>
      <c r="J898" s="5" t="s">
        <v>114</v>
      </c>
      <c r="K898" s="5" t="s">
        <v>4444</v>
      </c>
      <c r="L898" s="5"/>
      <c r="M898" s="5" t="s">
        <v>8</v>
      </c>
      <c r="N898" s="5" t="s">
        <v>80</v>
      </c>
      <c r="O898" s="5" t="str">
        <f>IF(B898="","",IFERROR(LOOKUP(2,1/('Call Log'!$C$2:$C$5000=B898),'Call Log'!$B$2:$B$5000),""))</f>
        <v/>
      </c>
      <c r="P898" s="5">
        <f>IF(B898="","",COUNTIFS('Call Log'!$C$2:$C$5000,B898,'Call Log'!$A$2:$A$5000,"&gt;="&amp;(TODAY()-WEEKDAY(TODAY(),2)+1)))</f>
        <v>0</v>
      </c>
      <c r="Q898" s="5">
        <f>IF(B898="","",COUNTIF('Call Log'!$C$2:$C$5000,B898))</f>
        <v>0</v>
      </c>
      <c r="R898" s="21" t="str">
        <f>IF(B898="","",IFERROR(IF(MAXIFS('Call Log'!$A$2:$A$5000,'Call Log'!$C$2:$C$5000,B898)=0,"",MAXIFS('Call Log'!$A$2:$A$5000,'Call Log'!$C$2:$C$5000,B898)),""))</f>
        <v/>
      </c>
      <c r="S898" s="5"/>
      <c r="T898" s="21"/>
      <c r="U898" s="21"/>
      <c r="V898" s="5"/>
      <c r="W898" s="20"/>
      <c r="X898" s="5"/>
      <c r="Y898" s="5"/>
      <c r="Z898" s="5"/>
      <c r="AA898" s="5"/>
    </row>
    <row r="899" ht="15.0" customHeight="1">
      <c r="A899" s="5" t="s">
        <v>4445</v>
      </c>
      <c r="B899" s="5" t="s">
        <v>4446</v>
      </c>
      <c r="C899" s="5"/>
      <c r="D899" s="5"/>
      <c r="E899" s="5"/>
      <c r="F899" s="20"/>
      <c r="G899" s="20"/>
      <c r="H899" s="5" t="s">
        <v>40</v>
      </c>
      <c r="I899" s="5" t="s">
        <v>122</v>
      </c>
      <c r="J899" s="5" t="s">
        <v>114</v>
      </c>
      <c r="K899" s="5" t="s">
        <v>4447</v>
      </c>
      <c r="L899" s="5"/>
      <c r="M899" s="5" t="s">
        <v>8</v>
      </c>
      <c r="N899" s="5" t="s">
        <v>80</v>
      </c>
      <c r="O899" s="5" t="str">
        <f>IF(B899="","",IFERROR(LOOKUP(2,1/('Call Log'!$C$2:$C$5000=B899),'Call Log'!$B$2:$B$5000),""))</f>
        <v/>
      </c>
      <c r="P899" s="5">
        <f>IF(B899="","",COUNTIFS('Call Log'!$C$2:$C$5000,B899,'Call Log'!$A$2:$A$5000,"&gt;="&amp;(TODAY()-WEEKDAY(TODAY(),2)+1)))</f>
        <v>0</v>
      </c>
      <c r="Q899" s="5">
        <f>IF(B899="","",COUNTIF('Call Log'!$C$2:$C$5000,B899))</f>
        <v>0</v>
      </c>
      <c r="R899" s="21" t="str">
        <f>IF(B899="","",IFERROR(IF(MAXIFS('Call Log'!$A$2:$A$5000,'Call Log'!$C$2:$C$5000,B899)=0,"",MAXIFS('Call Log'!$A$2:$A$5000,'Call Log'!$C$2:$C$5000,B899)),""))</f>
        <v/>
      </c>
      <c r="S899" s="5"/>
      <c r="T899" s="21"/>
      <c r="U899" s="21"/>
      <c r="V899" s="5"/>
      <c r="W899" s="20"/>
      <c r="X899" s="5"/>
      <c r="Y899" s="5"/>
      <c r="Z899" s="5"/>
      <c r="AA899" s="5"/>
    </row>
    <row r="900" ht="15.0" customHeight="1">
      <c r="A900" s="5" t="s">
        <v>4448</v>
      </c>
      <c r="B900" s="5" t="s">
        <v>4449</v>
      </c>
      <c r="C900" s="5"/>
      <c r="D900" s="5"/>
      <c r="E900" s="5">
        <v>2.0</v>
      </c>
      <c r="F900" s="20"/>
      <c r="G900" s="20"/>
      <c r="H900" s="5" t="s">
        <v>40</v>
      </c>
      <c r="I900" s="5" t="s">
        <v>154</v>
      </c>
      <c r="J900" s="5" t="s">
        <v>114</v>
      </c>
      <c r="K900" s="5" t="s">
        <v>4450</v>
      </c>
      <c r="L900" s="5"/>
      <c r="M900" s="5" t="s">
        <v>8</v>
      </c>
      <c r="N900" s="5" t="s">
        <v>80</v>
      </c>
      <c r="O900" s="5" t="str">
        <f>IF(B900="","",IFERROR(LOOKUP(2,1/('Call Log'!$C$2:$C$5000=B900),'Call Log'!$B$2:$B$5000),""))</f>
        <v/>
      </c>
      <c r="P900" s="5">
        <f>IF(B900="","",COUNTIFS('Call Log'!$C$2:$C$5000,B900,'Call Log'!$A$2:$A$5000,"&gt;="&amp;(TODAY()-WEEKDAY(TODAY(),2)+1)))</f>
        <v>0</v>
      </c>
      <c r="Q900" s="5">
        <f>IF(B900="","",COUNTIF('Call Log'!$C$2:$C$5000,B900))</f>
        <v>0</v>
      </c>
      <c r="R900" s="21" t="str">
        <f>IF(B900="","",IFERROR(IF(MAXIFS('Call Log'!$A$2:$A$5000,'Call Log'!$C$2:$C$5000,B900)=0,"",MAXIFS('Call Log'!$A$2:$A$5000,'Call Log'!$C$2:$C$5000,B900)),""))</f>
        <v/>
      </c>
      <c r="S900" s="5"/>
      <c r="T900" s="21"/>
      <c r="U900" s="21"/>
      <c r="V900" s="5"/>
      <c r="W900" s="20"/>
      <c r="X900" s="5"/>
      <c r="Y900" s="5"/>
      <c r="Z900" s="5"/>
      <c r="AA900" s="5"/>
    </row>
    <row r="901" ht="15.0" customHeight="1">
      <c r="A901" s="5" t="s">
        <v>4451</v>
      </c>
      <c r="B901" s="5" t="s">
        <v>4452</v>
      </c>
      <c r="C901" s="5"/>
      <c r="D901" s="5"/>
      <c r="E901" s="5">
        <v>2.0</v>
      </c>
      <c r="F901" s="20"/>
      <c r="G901" s="20"/>
      <c r="H901" s="5" t="s">
        <v>40</v>
      </c>
      <c r="I901" s="5" t="s">
        <v>904</v>
      </c>
      <c r="J901" s="5" t="s">
        <v>114</v>
      </c>
      <c r="K901" s="5" t="s">
        <v>4453</v>
      </c>
      <c r="L901" s="5"/>
      <c r="M901" s="5" t="s">
        <v>8</v>
      </c>
      <c r="N901" s="5" t="s">
        <v>80</v>
      </c>
      <c r="O901" s="5" t="str">
        <f>IF(B901="","",IFERROR(LOOKUP(2,1/('Call Log'!$C$2:$C$5000=B901),'Call Log'!$B$2:$B$5000),""))</f>
        <v/>
      </c>
      <c r="P901" s="5">
        <f>IF(B901="","",COUNTIFS('Call Log'!$C$2:$C$5000,B901,'Call Log'!$A$2:$A$5000,"&gt;="&amp;(TODAY()-WEEKDAY(TODAY(),2)+1)))</f>
        <v>0</v>
      </c>
      <c r="Q901" s="5">
        <f>IF(B901="","",COUNTIF('Call Log'!$C$2:$C$5000,B901))</f>
        <v>0</v>
      </c>
      <c r="R901" s="21" t="str">
        <f>IF(B901="","",IFERROR(IF(MAXIFS('Call Log'!$A$2:$A$5000,'Call Log'!$C$2:$C$5000,B901)=0,"",MAXIFS('Call Log'!$A$2:$A$5000,'Call Log'!$C$2:$C$5000,B901)),""))</f>
        <v/>
      </c>
      <c r="S901" s="5"/>
      <c r="T901" s="21"/>
      <c r="U901" s="21"/>
      <c r="V901" s="5"/>
      <c r="W901" s="20"/>
      <c r="X901" s="5"/>
      <c r="Y901" s="5"/>
      <c r="Z901" s="5"/>
      <c r="AA901" s="5"/>
    </row>
    <row r="902" ht="15.0" customHeight="1">
      <c r="A902" s="5" t="s">
        <v>4454</v>
      </c>
      <c r="B902" s="5" t="s">
        <v>4455</v>
      </c>
      <c r="C902" s="5"/>
      <c r="D902" s="5"/>
      <c r="E902" s="5">
        <v>1.0</v>
      </c>
      <c r="F902" s="20"/>
      <c r="G902" s="20"/>
      <c r="H902" s="5" t="s">
        <v>40</v>
      </c>
      <c r="I902" s="5" t="s">
        <v>904</v>
      </c>
      <c r="J902" s="5" t="s">
        <v>114</v>
      </c>
      <c r="K902" s="5" t="s">
        <v>4456</v>
      </c>
      <c r="L902" s="5"/>
      <c r="M902" s="5" t="s">
        <v>8</v>
      </c>
      <c r="N902" s="5" t="s">
        <v>80</v>
      </c>
      <c r="O902" s="5" t="str">
        <f>IF(B902="","",IFERROR(LOOKUP(2,1/('Call Log'!$C$2:$C$5000=B902),'Call Log'!$B$2:$B$5000),""))</f>
        <v/>
      </c>
      <c r="P902" s="5">
        <f>IF(B902="","",COUNTIFS('Call Log'!$C$2:$C$5000,B902,'Call Log'!$A$2:$A$5000,"&gt;="&amp;(TODAY()-WEEKDAY(TODAY(),2)+1)))</f>
        <v>0</v>
      </c>
      <c r="Q902" s="5">
        <f>IF(B902="","",COUNTIF('Call Log'!$C$2:$C$5000,B902))</f>
        <v>0</v>
      </c>
      <c r="R902" s="21" t="str">
        <f>IF(B902="","",IFERROR(IF(MAXIFS('Call Log'!$A$2:$A$5000,'Call Log'!$C$2:$C$5000,B902)=0,"",MAXIFS('Call Log'!$A$2:$A$5000,'Call Log'!$C$2:$C$5000,B902)),""))</f>
        <v/>
      </c>
      <c r="S902" s="5"/>
      <c r="T902" s="21"/>
      <c r="U902" s="21"/>
      <c r="V902" s="5"/>
      <c r="W902" s="20"/>
      <c r="X902" s="5"/>
      <c r="Y902" s="5"/>
      <c r="Z902" s="5"/>
      <c r="AA902" s="5"/>
    </row>
    <row r="903" ht="15.0" customHeight="1">
      <c r="A903" s="5" t="s">
        <v>4457</v>
      </c>
      <c r="B903" s="5" t="s">
        <v>4458</v>
      </c>
      <c r="C903" s="5"/>
      <c r="D903" s="5"/>
      <c r="E903" s="5">
        <v>2.0</v>
      </c>
      <c r="F903" s="20"/>
      <c r="G903" s="20"/>
      <c r="H903" s="5" t="s">
        <v>40</v>
      </c>
      <c r="I903" s="5" t="s">
        <v>246</v>
      </c>
      <c r="J903" s="5" t="s">
        <v>114</v>
      </c>
      <c r="K903" s="5" t="s">
        <v>4459</v>
      </c>
      <c r="L903" s="5"/>
      <c r="M903" s="5" t="s">
        <v>8</v>
      </c>
      <c r="N903" s="5" t="s">
        <v>80</v>
      </c>
      <c r="O903" s="5" t="str">
        <f>IF(B903="","",IFERROR(LOOKUP(2,1/('Call Log'!$C$2:$C$5000=B903),'Call Log'!$B$2:$B$5000),""))</f>
        <v/>
      </c>
      <c r="P903" s="5">
        <f>IF(B903="","",COUNTIFS('Call Log'!$C$2:$C$5000,B903,'Call Log'!$A$2:$A$5000,"&gt;="&amp;(TODAY()-WEEKDAY(TODAY(),2)+1)))</f>
        <v>0</v>
      </c>
      <c r="Q903" s="5">
        <f>IF(B903="","",COUNTIF('Call Log'!$C$2:$C$5000,B903))</f>
        <v>0</v>
      </c>
      <c r="R903" s="21" t="str">
        <f>IF(B903="","",IFERROR(IF(MAXIFS('Call Log'!$A$2:$A$5000,'Call Log'!$C$2:$C$5000,B903)=0,"",MAXIFS('Call Log'!$A$2:$A$5000,'Call Log'!$C$2:$C$5000,B903)),""))</f>
        <v/>
      </c>
      <c r="S903" s="5"/>
      <c r="T903" s="21"/>
      <c r="U903" s="21"/>
      <c r="V903" s="5"/>
      <c r="W903" s="20"/>
      <c r="X903" s="5"/>
      <c r="Y903" s="5"/>
      <c r="Z903" s="5"/>
      <c r="AA903" s="5"/>
    </row>
    <row r="904" ht="15.0" customHeight="1">
      <c r="A904" s="5" t="s">
        <v>4460</v>
      </c>
      <c r="B904" s="5" t="s">
        <v>4461</v>
      </c>
      <c r="C904" s="5"/>
      <c r="D904" s="5"/>
      <c r="E904" s="5"/>
      <c r="F904" s="20"/>
      <c r="G904" s="20"/>
      <c r="H904" s="5" t="s">
        <v>41</v>
      </c>
      <c r="I904" s="5" t="s">
        <v>857</v>
      </c>
      <c r="J904" s="5" t="s">
        <v>114</v>
      </c>
      <c r="K904" s="5" t="s">
        <v>4462</v>
      </c>
      <c r="L904" s="5"/>
      <c r="M904" s="5" t="s">
        <v>8</v>
      </c>
      <c r="N904" s="5" t="s">
        <v>80</v>
      </c>
      <c r="O904" s="5" t="str">
        <f>IF(B904="","",IFERROR(LOOKUP(2,1/('Call Log'!$C$2:$C$5000=B904),'Call Log'!$B$2:$B$5000),""))</f>
        <v/>
      </c>
      <c r="P904" s="5">
        <f>IF(B904="","",COUNTIFS('Call Log'!$C$2:$C$5000,B904,'Call Log'!$A$2:$A$5000,"&gt;="&amp;(TODAY()-WEEKDAY(TODAY(),2)+1)))</f>
        <v>0</v>
      </c>
      <c r="Q904" s="5">
        <f>IF(B904="","",COUNTIF('Call Log'!$C$2:$C$5000,B904))</f>
        <v>0</v>
      </c>
      <c r="R904" s="21" t="str">
        <f>IF(B904="","",IFERROR(IF(MAXIFS('Call Log'!$A$2:$A$5000,'Call Log'!$C$2:$C$5000,B904)=0,"",MAXIFS('Call Log'!$A$2:$A$5000,'Call Log'!$C$2:$C$5000,B904)),""))</f>
        <v/>
      </c>
      <c r="S904" s="5"/>
      <c r="T904" s="21"/>
      <c r="U904" s="21"/>
      <c r="V904" s="5"/>
      <c r="W904" s="20"/>
      <c r="X904" s="5"/>
      <c r="Y904" s="5"/>
      <c r="Z904" s="5"/>
      <c r="AA904" s="5"/>
    </row>
    <row r="905" ht="15.0" customHeight="1">
      <c r="A905" s="5" t="s">
        <v>4463</v>
      </c>
      <c r="B905" s="5" t="s">
        <v>4464</v>
      </c>
      <c r="C905" s="5"/>
      <c r="D905" s="5"/>
      <c r="E905" s="5"/>
      <c r="F905" s="20"/>
      <c r="G905" s="20"/>
      <c r="H905" s="5" t="s">
        <v>40</v>
      </c>
      <c r="I905" s="5" t="s">
        <v>865</v>
      </c>
      <c r="J905" s="5" t="s">
        <v>114</v>
      </c>
      <c r="K905" s="5" t="s">
        <v>4465</v>
      </c>
      <c r="L905" s="5"/>
      <c r="M905" s="5" t="s">
        <v>8</v>
      </c>
      <c r="N905" s="5" t="s">
        <v>80</v>
      </c>
      <c r="O905" s="5" t="str">
        <f>IF(B905="","",IFERROR(LOOKUP(2,1/('Call Log'!$C$2:$C$5000=B905),'Call Log'!$B$2:$B$5000),""))</f>
        <v/>
      </c>
      <c r="P905" s="5">
        <f>IF(B905="","",COUNTIFS('Call Log'!$C$2:$C$5000,B905,'Call Log'!$A$2:$A$5000,"&gt;="&amp;(TODAY()-WEEKDAY(TODAY(),2)+1)))</f>
        <v>0</v>
      </c>
      <c r="Q905" s="5">
        <f>IF(B905="","",COUNTIF('Call Log'!$C$2:$C$5000,B905))</f>
        <v>0</v>
      </c>
      <c r="R905" s="21" t="str">
        <f>IF(B905="","",IFERROR(IF(MAXIFS('Call Log'!$A$2:$A$5000,'Call Log'!$C$2:$C$5000,B905)=0,"",MAXIFS('Call Log'!$A$2:$A$5000,'Call Log'!$C$2:$C$5000,B905)),""))</f>
        <v/>
      </c>
      <c r="S905" s="5"/>
      <c r="T905" s="21"/>
      <c r="U905" s="21"/>
      <c r="V905" s="5"/>
      <c r="W905" s="20"/>
      <c r="X905" s="5"/>
      <c r="Y905" s="5"/>
      <c r="Z905" s="5"/>
      <c r="AA905" s="5"/>
    </row>
    <row r="906" ht="15.0" customHeight="1">
      <c r="A906" s="5" t="s">
        <v>4466</v>
      </c>
      <c r="B906" s="5" t="s">
        <v>4467</v>
      </c>
      <c r="C906" s="5"/>
      <c r="D906" s="5"/>
      <c r="E906" s="5"/>
      <c r="F906" s="20"/>
      <c r="G906" s="20"/>
      <c r="H906" s="5" t="s">
        <v>40</v>
      </c>
      <c r="I906" s="5" t="s">
        <v>4416</v>
      </c>
      <c r="J906" s="5" t="s">
        <v>114</v>
      </c>
      <c r="K906" s="5" t="s">
        <v>4417</v>
      </c>
      <c r="L906" s="5"/>
      <c r="M906" s="5" t="s">
        <v>8</v>
      </c>
      <c r="N906" s="5" t="s">
        <v>80</v>
      </c>
      <c r="O906" s="5" t="str">
        <f>IF(B906="","",IFERROR(LOOKUP(2,1/('Call Log'!$C$2:$C$5000=B906),'Call Log'!$B$2:$B$5000),""))</f>
        <v/>
      </c>
      <c r="P906" s="5">
        <f>IF(B906="","",COUNTIFS('Call Log'!$C$2:$C$5000,B906,'Call Log'!$A$2:$A$5000,"&gt;="&amp;(TODAY()-WEEKDAY(TODAY(),2)+1)))</f>
        <v>0</v>
      </c>
      <c r="Q906" s="5">
        <f>IF(B906="","",COUNTIF('Call Log'!$C$2:$C$5000,B906))</f>
        <v>0</v>
      </c>
      <c r="R906" s="21" t="str">
        <f>IF(B906="","",IFERROR(IF(MAXIFS('Call Log'!$A$2:$A$5000,'Call Log'!$C$2:$C$5000,B906)=0,"",MAXIFS('Call Log'!$A$2:$A$5000,'Call Log'!$C$2:$C$5000,B906)),""))</f>
        <v/>
      </c>
      <c r="S906" s="5"/>
      <c r="T906" s="21"/>
      <c r="U906" s="21"/>
      <c r="V906" s="5"/>
      <c r="W906" s="20"/>
      <c r="X906" s="5"/>
      <c r="Y906" s="5"/>
      <c r="Z906" s="5"/>
      <c r="AA906" s="5"/>
    </row>
    <row r="907" ht="15.0" customHeight="1">
      <c r="A907" s="5" t="s">
        <v>4468</v>
      </c>
      <c r="B907" s="5" t="s">
        <v>4469</v>
      </c>
      <c r="C907" s="5"/>
      <c r="D907" s="5"/>
      <c r="E907" s="5"/>
      <c r="F907" s="20"/>
      <c r="G907" s="20"/>
      <c r="H907" s="5" t="s">
        <v>40</v>
      </c>
      <c r="I907" s="5" t="s">
        <v>1093</v>
      </c>
      <c r="J907" s="5" t="s">
        <v>114</v>
      </c>
      <c r="K907" s="5" t="s">
        <v>4470</v>
      </c>
      <c r="L907" s="5"/>
      <c r="M907" s="5" t="s">
        <v>8</v>
      </c>
      <c r="N907" s="5" t="s">
        <v>80</v>
      </c>
      <c r="O907" s="5" t="str">
        <f>IF(B907="","",IFERROR(LOOKUP(2,1/('Call Log'!$C$2:$C$5000=B907),'Call Log'!$B$2:$B$5000),""))</f>
        <v/>
      </c>
      <c r="P907" s="5">
        <f>IF(B907="","",COUNTIFS('Call Log'!$C$2:$C$5000,B907,'Call Log'!$A$2:$A$5000,"&gt;="&amp;(TODAY()-WEEKDAY(TODAY(),2)+1)))</f>
        <v>0</v>
      </c>
      <c r="Q907" s="5">
        <f>IF(B907="","",COUNTIF('Call Log'!$C$2:$C$5000,B907))</f>
        <v>0</v>
      </c>
      <c r="R907" s="21" t="str">
        <f>IF(B907="","",IFERROR(IF(MAXIFS('Call Log'!$A$2:$A$5000,'Call Log'!$C$2:$C$5000,B907)=0,"",MAXIFS('Call Log'!$A$2:$A$5000,'Call Log'!$C$2:$C$5000,B907)),""))</f>
        <v/>
      </c>
      <c r="S907" s="5"/>
      <c r="T907" s="21"/>
      <c r="U907" s="21"/>
      <c r="V907" s="5"/>
      <c r="W907" s="20"/>
      <c r="X907" s="5"/>
      <c r="Y907" s="5"/>
      <c r="Z907" s="5"/>
      <c r="AA907" s="5"/>
    </row>
    <row r="908" ht="15.0" customHeight="1">
      <c r="A908" s="22"/>
      <c r="B908" s="22"/>
      <c r="C908" s="22"/>
      <c r="D908" s="22"/>
      <c r="E908" s="22"/>
      <c r="F908" s="23"/>
      <c r="G908" s="23"/>
      <c r="H908" s="22"/>
      <c r="I908" s="22"/>
      <c r="J908" s="22"/>
      <c r="K908" s="22"/>
      <c r="L908" s="22"/>
      <c r="M908" s="22"/>
      <c r="N908" s="22"/>
      <c r="O908" s="22" t="str">
        <f>IF(B908="","",IFERROR(LOOKUP(2,1/('Call Log'!$C$2:$C$5000=B908),'Call Log'!$B$2:$B$5000),""))</f>
        <v/>
      </c>
      <c r="P908" s="22" t="str">
        <f>IF(B908="","",COUNTIFS('Call Log'!$C$2:$C$5000,B908,'Call Log'!$A$2:$A$5000,"&gt;="&amp;(TODAY()-WEEKDAY(TODAY(),2)+1)))</f>
        <v/>
      </c>
      <c r="Q908" s="22" t="str">
        <f>IF(B908="","",COUNTIF('Call Log'!$C$2:$C$5000,B908))</f>
        <v/>
      </c>
      <c r="R908" s="24" t="str">
        <f>IF(B908="","",IFERROR(IF(MAXIFS('Call Log'!$A$2:$A$5000,'Call Log'!$C$2:$C$5000,B908)=0,"",MAXIFS('Call Log'!$A$2:$A$5000,'Call Log'!$C$2:$C$5000,B908)),""))</f>
        <v/>
      </c>
      <c r="S908" s="22"/>
      <c r="T908" s="24"/>
      <c r="U908" s="24"/>
      <c r="V908" s="22"/>
      <c r="W908" s="23"/>
      <c r="X908" s="22"/>
      <c r="Y908" s="22"/>
      <c r="Z908" s="22"/>
      <c r="AA908" s="22"/>
    </row>
    <row r="909" ht="15.0" customHeight="1">
      <c r="A909" s="22"/>
      <c r="B909" s="22"/>
      <c r="C909" s="22"/>
      <c r="D909" s="22"/>
      <c r="E909" s="22"/>
      <c r="F909" s="23"/>
      <c r="G909" s="23"/>
      <c r="H909" s="22"/>
      <c r="I909" s="22"/>
      <c r="J909" s="22"/>
      <c r="K909" s="22"/>
      <c r="L909" s="22"/>
      <c r="M909" s="22"/>
      <c r="N909" s="22"/>
      <c r="O909" s="22" t="str">
        <f>IF(B909="","",IFERROR(LOOKUP(2,1/('Call Log'!$C$2:$C$5000=B909),'Call Log'!$B$2:$B$5000),""))</f>
        <v/>
      </c>
      <c r="P909" s="22" t="str">
        <f>IF(B909="","",COUNTIFS('Call Log'!$C$2:$C$5000,B909,'Call Log'!$A$2:$A$5000,"&gt;="&amp;(TODAY()-WEEKDAY(TODAY(),2)+1)))</f>
        <v/>
      </c>
      <c r="Q909" s="22" t="str">
        <f>IF(B909="","",COUNTIF('Call Log'!$C$2:$C$5000,B909))</f>
        <v/>
      </c>
      <c r="R909" s="24" t="str">
        <f>IF(B909="","",IFERROR(IF(MAXIFS('Call Log'!$A$2:$A$5000,'Call Log'!$C$2:$C$5000,B909)=0,"",MAXIFS('Call Log'!$A$2:$A$5000,'Call Log'!$C$2:$C$5000,B909)),""))</f>
        <v/>
      </c>
      <c r="S909" s="22"/>
      <c r="T909" s="24"/>
      <c r="U909" s="24"/>
      <c r="V909" s="22"/>
      <c r="W909" s="23"/>
      <c r="X909" s="22"/>
      <c r="Y909" s="22"/>
      <c r="Z909" s="22"/>
      <c r="AA909" s="22"/>
    </row>
    <row r="910" ht="15.0" customHeight="1">
      <c r="A910" s="22"/>
      <c r="B910" s="22"/>
      <c r="C910" s="22"/>
      <c r="D910" s="22"/>
      <c r="E910" s="22"/>
      <c r="F910" s="23"/>
      <c r="G910" s="23"/>
      <c r="H910" s="22"/>
      <c r="I910" s="22"/>
      <c r="J910" s="22"/>
      <c r="K910" s="22"/>
      <c r="L910" s="22"/>
      <c r="M910" s="22"/>
      <c r="N910" s="22"/>
      <c r="O910" s="22" t="str">
        <f>IF(B910="","",IFERROR(LOOKUP(2,1/('Call Log'!$C$2:$C$5000=B910),'Call Log'!$B$2:$B$5000),""))</f>
        <v/>
      </c>
      <c r="P910" s="22" t="str">
        <f>IF(B910="","",COUNTIFS('Call Log'!$C$2:$C$5000,B910,'Call Log'!$A$2:$A$5000,"&gt;="&amp;(TODAY()-WEEKDAY(TODAY(),2)+1)))</f>
        <v/>
      </c>
      <c r="Q910" s="22" t="str">
        <f>IF(B910="","",COUNTIF('Call Log'!$C$2:$C$5000,B910))</f>
        <v/>
      </c>
      <c r="R910" s="24" t="str">
        <f>IF(B910="","",IFERROR(IF(MAXIFS('Call Log'!$A$2:$A$5000,'Call Log'!$C$2:$C$5000,B910)=0,"",MAXIFS('Call Log'!$A$2:$A$5000,'Call Log'!$C$2:$C$5000,B910)),""))</f>
        <v/>
      </c>
      <c r="S910" s="22"/>
      <c r="T910" s="24"/>
      <c r="U910" s="24"/>
      <c r="V910" s="22"/>
      <c r="W910" s="23"/>
      <c r="X910" s="22"/>
      <c r="Y910" s="22"/>
      <c r="Z910" s="22"/>
      <c r="AA910" s="22"/>
    </row>
    <row r="911" ht="15.0" customHeight="1">
      <c r="A911" s="22"/>
      <c r="B911" s="22"/>
      <c r="C911" s="22"/>
      <c r="D911" s="22"/>
      <c r="E911" s="22"/>
      <c r="F911" s="23"/>
      <c r="G911" s="23"/>
      <c r="H911" s="22"/>
      <c r="I911" s="22"/>
      <c r="J911" s="22"/>
      <c r="K911" s="22"/>
      <c r="L911" s="22"/>
      <c r="M911" s="22"/>
      <c r="N911" s="22"/>
      <c r="O911" s="22" t="str">
        <f>IF(B911="","",IFERROR(LOOKUP(2,1/('Call Log'!$C$2:$C$5000=B911),'Call Log'!$B$2:$B$5000),""))</f>
        <v/>
      </c>
      <c r="P911" s="22" t="str">
        <f>IF(B911="","",COUNTIFS('Call Log'!$C$2:$C$5000,B911,'Call Log'!$A$2:$A$5000,"&gt;="&amp;(TODAY()-WEEKDAY(TODAY(),2)+1)))</f>
        <v/>
      </c>
      <c r="Q911" s="22" t="str">
        <f>IF(B911="","",COUNTIF('Call Log'!$C$2:$C$5000,B911))</f>
        <v/>
      </c>
      <c r="R911" s="24" t="str">
        <f>IF(B911="","",IFERROR(IF(MAXIFS('Call Log'!$A$2:$A$5000,'Call Log'!$C$2:$C$5000,B911)=0,"",MAXIFS('Call Log'!$A$2:$A$5000,'Call Log'!$C$2:$C$5000,B911)),""))</f>
        <v/>
      </c>
      <c r="S911" s="22"/>
      <c r="T911" s="24"/>
      <c r="U911" s="24"/>
      <c r="V911" s="22"/>
      <c r="W911" s="23"/>
      <c r="X911" s="22"/>
      <c r="Y911" s="22"/>
      <c r="Z911" s="22"/>
      <c r="AA911" s="22"/>
    </row>
    <row r="912" ht="15.0" customHeight="1">
      <c r="A912" s="22"/>
      <c r="B912" s="22"/>
      <c r="C912" s="22"/>
      <c r="D912" s="22"/>
      <c r="E912" s="22"/>
      <c r="F912" s="23"/>
      <c r="G912" s="23"/>
      <c r="H912" s="22"/>
      <c r="I912" s="22"/>
      <c r="J912" s="22"/>
      <c r="K912" s="22"/>
      <c r="L912" s="22"/>
      <c r="M912" s="22"/>
      <c r="N912" s="22"/>
      <c r="O912" s="22" t="str">
        <f>IF(B912="","",IFERROR(LOOKUP(2,1/('Call Log'!$C$2:$C$5000=B912),'Call Log'!$B$2:$B$5000),""))</f>
        <v/>
      </c>
      <c r="P912" s="22" t="str">
        <f>IF(B912="","",COUNTIFS('Call Log'!$C$2:$C$5000,B912,'Call Log'!$A$2:$A$5000,"&gt;="&amp;(TODAY()-WEEKDAY(TODAY(),2)+1)))</f>
        <v/>
      </c>
      <c r="Q912" s="22" t="str">
        <f>IF(B912="","",COUNTIF('Call Log'!$C$2:$C$5000,B912))</f>
        <v/>
      </c>
      <c r="R912" s="24" t="str">
        <f>IF(B912="","",IFERROR(IF(MAXIFS('Call Log'!$A$2:$A$5000,'Call Log'!$C$2:$C$5000,B912)=0,"",MAXIFS('Call Log'!$A$2:$A$5000,'Call Log'!$C$2:$C$5000,B912)),""))</f>
        <v/>
      </c>
      <c r="S912" s="22"/>
      <c r="T912" s="24"/>
      <c r="U912" s="24"/>
      <c r="V912" s="22"/>
      <c r="W912" s="23"/>
      <c r="X912" s="22"/>
      <c r="Y912" s="22"/>
      <c r="Z912" s="22"/>
      <c r="AA912" s="22"/>
    </row>
    <row r="913" ht="15.0" customHeight="1">
      <c r="A913" s="22"/>
      <c r="B913" s="22"/>
      <c r="C913" s="22"/>
      <c r="D913" s="22"/>
      <c r="E913" s="22"/>
      <c r="F913" s="23"/>
      <c r="G913" s="23"/>
      <c r="H913" s="22"/>
      <c r="I913" s="22"/>
      <c r="J913" s="22"/>
      <c r="K913" s="22"/>
      <c r="L913" s="22"/>
      <c r="M913" s="22"/>
      <c r="N913" s="22"/>
      <c r="O913" s="22" t="str">
        <f>IF(B913="","",IFERROR(LOOKUP(2,1/('Call Log'!$C$2:$C$5000=B913),'Call Log'!$B$2:$B$5000),""))</f>
        <v/>
      </c>
      <c r="P913" s="22" t="str">
        <f>IF(B913="","",COUNTIFS('Call Log'!$C$2:$C$5000,B913,'Call Log'!$A$2:$A$5000,"&gt;="&amp;(TODAY()-WEEKDAY(TODAY(),2)+1)))</f>
        <v/>
      </c>
      <c r="Q913" s="22" t="str">
        <f>IF(B913="","",COUNTIF('Call Log'!$C$2:$C$5000,B913))</f>
        <v/>
      </c>
      <c r="R913" s="24" t="str">
        <f>IF(B913="","",IFERROR(IF(MAXIFS('Call Log'!$A$2:$A$5000,'Call Log'!$C$2:$C$5000,B913)=0,"",MAXIFS('Call Log'!$A$2:$A$5000,'Call Log'!$C$2:$C$5000,B913)),""))</f>
        <v/>
      </c>
      <c r="S913" s="22"/>
      <c r="T913" s="24"/>
      <c r="U913" s="24"/>
      <c r="V913" s="22"/>
      <c r="W913" s="23"/>
      <c r="X913" s="22"/>
      <c r="Y913" s="22"/>
      <c r="Z913" s="22"/>
      <c r="AA913" s="22"/>
    </row>
    <row r="914" ht="15.0" customHeight="1">
      <c r="A914" s="22"/>
      <c r="B914" s="22"/>
      <c r="C914" s="22"/>
      <c r="D914" s="22"/>
      <c r="E914" s="22"/>
      <c r="F914" s="23"/>
      <c r="G914" s="23"/>
      <c r="H914" s="22"/>
      <c r="I914" s="22"/>
      <c r="J914" s="22"/>
      <c r="K914" s="22"/>
      <c r="L914" s="22"/>
      <c r="M914" s="22"/>
      <c r="N914" s="22"/>
      <c r="O914" s="22" t="str">
        <f>IF(B914="","",IFERROR(LOOKUP(2,1/('Call Log'!$C$2:$C$5000=B914),'Call Log'!$B$2:$B$5000),""))</f>
        <v/>
      </c>
      <c r="P914" s="22" t="str">
        <f>IF(B914="","",COUNTIFS('Call Log'!$C$2:$C$5000,B914,'Call Log'!$A$2:$A$5000,"&gt;="&amp;(TODAY()-WEEKDAY(TODAY(),2)+1)))</f>
        <v/>
      </c>
      <c r="Q914" s="22" t="str">
        <f>IF(B914="","",COUNTIF('Call Log'!$C$2:$C$5000,B914))</f>
        <v/>
      </c>
      <c r="R914" s="24" t="str">
        <f>IF(B914="","",IFERROR(IF(MAXIFS('Call Log'!$A$2:$A$5000,'Call Log'!$C$2:$C$5000,B914)=0,"",MAXIFS('Call Log'!$A$2:$A$5000,'Call Log'!$C$2:$C$5000,B914)),""))</f>
        <v/>
      </c>
      <c r="S914" s="22"/>
      <c r="T914" s="24"/>
      <c r="U914" s="24"/>
      <c r="V914" s="22"/>
      <c r="W914" s="23"/>
      <c r="X914" s="22"/>
      <c r="Y914" s="22"/>
      <c r="Z914" s="22"/>
      <c r="AA914" s="22"/>
    </row>
    <row r="915" ht="15.0" customHeight="1">
      <c r="A915" s="22"/>
      <c r="B915" s="22"/>
      <c r="C915" s="22"/>
      <c r="D915" s="22"/>
      <c r="E915" s="22"/>
      <c r="F915" s="23"/>
      <c r="G915" s="23"/>
      <c r="H915" s="22"/>
      <c r="I915" s="22"/>
      <c r="J915" s="22"/>
      <c r="K915" s="22"/>
      <c r="L915" s="22"/>
      <c r="M915" s="22"/>
      <c r="N915" s="22"/>
      <c r="O915" s="22" t="str">
        <f>IF(B915="","",IFERROR(LOOKUP(2,1/('Call Log'!$C$2:$C$5000=B915),'Call Log'!$B$2:$B$5000),""))</f>
        <v/>
      </c>
      <c r="P915" s="22" t="str">
        <f>IF(B915="","",COUNTIFS('Call Log'!$C$2:$C$5000,B915,'Call Log'!$A$2:$A$5000,"&gt;="&amp;(TODAY()-WEEKDAY(TODAY(),2)+1)))</f>
        <v/>
      </c>
      <c r="Q915" s="22" t="str">
        <f>IF(B915="","",COUNTIF('Call Log'!$C$2:$C$5000,B915))</f>
        <v/>
      </c>
      <c r="R915" s="24" t="str">
        <f>IF(B915="","",IFERROR(IF(MAXIFS('Call Log'!$A$2:$A$5000,'Call Log'!$C$2:$C$5000,B915)=0,"",MAXIFS('Call Log'!$A$2:$A$5000,'Call Log'!$C$2:$C$5000,B915)),""))</f>
        <v/>
      </c>
      <c r="S915" s="22"/>
      <c r="T915" s="24"/>
      <c r="U915" s="24"/>
      <c r="V915" s="22"/>
      <c r="W915" s="23"/>
      <c r="X915" s="22"/>
      <c r="Y915" s="22"/>
      <c r="Z915" s="22"/>
      <c r="AA915" s="22"/>
    </row>
    <row r="916" ht="15.0" customHeight="1">
      <c r="A916" s="22"/>
      <c r="B916" s="22"/>
      <c r="C916" s="22"/>
      <c r="D916" s="22"/>
      <c r="E916" s="22"/>
      <c r="F916" s="23"/>
      <c r="G916" s="23"/>
      <c r="H916" s="22"/>
      <c r="I916" s="22"/>
      <c r="J916" s="22"/>
      <c r="K916" s="22"/>
      <c r="L916" s="22"/>
      <c r="M916" s="22"/>
      <c r="N916" s="22"/>
      <c r="O916" s="22" t="str">
        <f>IF(B916="","",IFERROR(LOOKUP(2,1/('Call Log'!$C$2:$C$5000=B916),'Call Log'!$B$2:$B$5000),""))</f>
        <v/>
      </c>
      <c r="P916" s="22" t="str">
        <f>IF(B916="","",COUNTIFS('Call Log'!$C$2:$C$5000,B916,'Call Log'!$A$2:$A$5000,"&gt;="&amp;(TODAY()-WEEKDAY(TODAY(),2)+1)))</f>
        <v/>
      </c>
      <c r="Q916" s="22" t="str">
        <f>IF(B916="","",COUNTIF('Call Log'!$C$2:$C$5000,B916))</f>
        <v/>
      </c>
      <c r="R916" s="24" t="str">
        <f>IF(B916="","",IFERROR(IF(MAXIFS('Call Log'!$A$2:$A$5000,'Call Log'!$C$2:$C$5000,B916)=0,"",MAXIFS('Call Log'!$A$2:$A$5000,'Call Log'!$C$2:$C$5000,B916)),""))</f>
        <v/>
      </c>
      <c r="S916" s="22"/>
      <c r="T916" s="24"/>
      <c r="U916" s="24"/>
      <c r="V916" s="22"/>
      <c r="W916" s="23"/>
      <c r="X916" s="22"/>
      <c r="Y916" s="22"/>
      <c r="Z916" s="22"/>
      <c r="AA916" s="22"/>
    </row>
    <row r="917" ht="15.0" customHeight="1">
      <c r="A917" s="22"/>
      <c r="B917" s="22"/>
      <c r="C917" s="22"/>
      <c r="D917" s="22"/>
      <c r="E917" s="22"/>
      <c r="F917" s="23"/>
      <c r="G917" s="23"/>
      <c r="H917" s="22"/>
      <c r="I917" s="22"/>
      <c r="J917" s="22"/>
      <c r="K917" s="22"/>
      <c r="L917" s="22"/>
      <c r="M917" s="22"/>
      <c r="N917" s="22"/>
      <c r="O917" s="22" t="str">
        <f>IF(B917="","",IFERROR(LOOKUP(2,1/('Call Log'!$C$2:$C$5000=B917),'Call Log'!$B$2:$B$5000),""))</f>
        <v/>
      </c>
      <c r="P917" s="22" t="str">
        <f>IF(B917="","",COUNTIFS('Call Log'!$C$2:$C$5000,B917,'Call Log'!$A$2:$A$5000,"&gt;="&amp;(TODAY()-WEEKDAY(TODAY(),2)+1)))</f>
        <v/>
      </c>
      <c r="Q917" s="22" t="str">
        <f>IF(B917="","",COUNTIF('Call Log'!$C$2:$C$5000,B917))</f>
        <v/>
      </c>
      <c r="R917" s="24" t="str">
        <f>IF(B917="","",IFERROR(IF(MAXIFS('Call Log'!$A$2:$A$5000,'Call Log'!$C$2:$C$5000,B917)=0,"",MAXIFS('Call Log'!$A$2:$A$5000,'Call Log'!$C$2:$C$5000,B917)),""))</f>
        <v/>
      </c>
      <c r="S917" s="22"/>
      <c r="T917" s="24"/>
      <c r="U917" s="24"/>
      <c r="V917" s="22"/>
      <c r="W917" s="23"/>
      <c r="X917" s="22"/>
      <c r="Y917" s="22"/>
      <c r="Z917" s="22"/>
      <c r="AA917" s="22"/>
    </row>
    <row r="918" ht="15.0" customHeight="1">
      <c r="A918" s="22"/>
      <c r="B918" s="22"/>
      <c r="C918" s="22"/>
      <c r="D918" s="22"/>
      <c r="E918" s="22"/>
      <c r="F918" s="23"/>
      <c r="G918" s="23"/>
      <c r="H918" s="22"/>
      <c r="I918" s="22"/>
      <c r="J918" s="22"/>
      <c r="K918" s="22"/>
      <c r="L918" s="22"/>
      <c r="M918" s="22"/>
      <c r="N918" s="22"/>
      <c r="O918" s="22" t="str">
        <f>IF(B918="","",IFERROR(LOOKUP(2,1/('Call Log'!$C$2:$C$5000=B918),'Call Log'!$B$2:$B$5000),""))</f>
        <v/>
      </c>
      <c r="P918" s="22" t="str">
        <f>IF(B918="","",COUNTIFS('Call Log'!$C$2:$C$5000,B918,'Call Log'!$A$2:$A$5000,"&gt;="&amp;(TODAY()-WEEKDAY(TODAY(),2)+1)))</f>
        <v/>
      </c>
      <c r="Q918" s="22" t="str">
        <f>IF(B918="","",COUNTIF('Call Log'!$C$2:$C$5000,B918))</f>
        <v/>
      </c>
      <c r="R918" s="24" t="str">
        <f>IF(B918="","",IFERROR(IF(MAXIFS('Call Log'!$A$2:$A$5000,'Call Log'!$C$2:$C$5000,B918)=0,"",MAXIFS('Call Log'!$A$2:$A$5000,'Call Log'!$C$2:$C$5000,B918)),""))</f>
        <v/>
      </c>
      <c r="S918" s="22"/>
      <c r="T918" s="24"/>
      <c r="U918" s="24"/>
      <c r="V918" s="22"/>
      <c r="W918" s="23"/>
      <c r="X918" s="22"/>
      <c r="Y918" s="22"/>
      <c r="Z918" s="22"/>
      <c r="AA918" s="22"/>
    </row>
    <row r="919" ht="15.0" customHeight="1">
      <c r="A919" s="22"/>
      <c r="B919" s="22"/>
      <c r="C919" s="22"/>
      <c r="D919" s="22"/>
      <c r="E919" s="22"/>
      <c r="F919" s="23"/>
      <c r="G919" s="23"/>
      <c r="H919" s="22"/>
      <c r="I919" s="22"/>
      <c r="J919" s="22"/>
      <c r="K919" s="22"/>
      <c r="L919" s="22"/>
      <c r="M919" s="22"/>
      <c r="N919" s="22"/>
      <c r="O919" s="22" t="str">
        <f>IF(B919="","",IFERROR(LOOKUP(2,1/('Call Log'!$C$2:$C$5000=B919),'Call Log'!$B$2:$B$5000),""))</f>
        <v/>
      </c>
      <c r="P919" s="22" t="str">
        <f>IF(B919="","",COUNTIFS('Call Log'!$C$2:$C$5000,B919,'Call Log'!$A$2:$A$5000,"&gt;="&amp;(TODAY()-WEEKDAY(TODAY(),2)+1)))</f>
        <v/>
      </c>
      <c r="Q919" s="22" t="str">
        <f>IF(B919="","",COUNTIF('Call Log'!$C$2:$C$5000,B919))</f>
        <v/>
      </c>
      <c r="R919" s="24" t="str">
        <f>IF(B919="","",IFERROR(IF(MAXIFS('Call Log'!$A$2:$A$5000,'Call Log'!$C$2:$C$5000,B919)=0,"",MAXIFS('Call Log'!$A$2:$A$5000,'Call Log'!$C$2:$C$5000,B919)),""))</f>
        <v/>
      </c>
      <c r="S919" s="22"/>
      <c r="T919" s="24"/>
      <c r="U919" s="24"/>
      <c r="V919" s="22"/>
      <c r="W919" s="23"/>
      <c r="X919" s="22"/>
      <c r="Y919" s="22"/>
      <c r="Z919" s="22"/>
      <c r="AA919" s="22"/>
    </row>
    <row r="920" ht="15.0" customHeight="1">
      <c r="A920" s="22"/>
      <c r="B920" s="22"/>
      <c r="C920" s="22"/>
      <c r="D920" s="22"/>
      <c r="E920" s="22"/>
      <c r="F920" s="23"/>
      <c r="G920" s="23"/>
      <c r="H920" s="22"/>
      <c r="I920" s="22"/>
      <c r="J920" s="22"/>
      <c r="K920" s="22"/>
      <c r="L920" s="22"/>
      <c r="M920" s="22"/>
      <c r="N920" s="22"/>
      <c r="O920" s="22" t="str">
        <f>IF(B920="","",IFERROR(LOOKUP(2,1/('Call Log'!$C$2:$C$5000=B920),'Call Log'!$B$2:$B$5000),""))</f>
        <v/>
      </c>
      <c r="P920" s="22" t="str">
        <f>IF(B920="","",COUNTIFS('Call Log'!$C$2:$C$5000,B920,'Call Log'!$A$2:$A$5000,"&gt;="&amp;(TODAY()-WEEKDAY(TODAY(),2)+1)))</f>
        <v/>
      </c>
      <c r="Q920" s="22" t="str">
        <f>IF(B920="","",COUNTIF('Call Log'!$C$2:$C$5000,B920))</f>
        <v/>
      </c>
      <c r="R920" s="24" t="str">
        <f>IF(B920="","",IFERROR(IF(MAXIFS('Call Log'!$A$2:$A$5000,'Call Log'!$C$2:$C$5000,B920)=0,"",MAXIFS('Call Log'!$A$2:$A$5000,'Call Log'!$C$2:$C$5000,B920)),""))</f>
        <v/>
      </c>
      <c r="S920" s="22"/>
      <c r="T920" s="24"/>
      <c r="U920" s="24"/>
      <c r="V920" s="22"/>
      <c r="W920" s="23"/>
      <c r="X920" s="22"/>
      <c r="Y920" s="22"/>
      <c r="Z920" s="22"/>
      <c r="AA920" s="22"/>
    </row>
    <row r="921" ht="15.0" customHeight="1">
      <c r="A921" s="22"/>
      <c r="B921" s="22"/>
      <c r="C921" s="22"/>
      <c r="D921" s="22"/>
      <c r="E921" s="22"/>
      <c r="F921" s="23"/>
      <c r="G921" s="23"/>
      <c r="H921" s="22"/>
      <c r="I921" s="22"/>
      <c r="J921" s="22"/>
      <c r="K921" s="22"/>
      <c r="L921" s="22"/>
      <c r="M921" s="22"/>
      <c r="N921" s="22"/>
      <c r="O921" s="22" t="str">
        <f>IF(B921="","",IFERROR(LOOKUP(2,1/('Call Log'!$C$2:$C$5000=B921),'Call Log'!$B$2:$B$5000),""))</f>
        <v/>
      </c>
      <c r="P921" s="22" t="str">
        <f>IF(B921="","",COUNTIFS('Call Log'!$C$2:$C$5000,B921,'Call Log'!$A$2:$A$5000,"&gt;="&amp;(TODAY()-WEEKDAY(TODAY(),2)+1)))</f>
        <v/>
      </c>
      <c r="Q921" s="22" t="str">
        <f>IF(B921="","",COUNTIF('Call Log'!$C$2:$C$5000,B921))</f>
        <v/>
      </c>
      <c r="R921" s="24" t="str">
        <f>IF(B921="","",IFERROR(IF(MAXIFS('Call Log'!$A$2:$A$5000,'Call Log'!$C$2:$C$5000,B921)=0,"",MAXIFS('Call Log'!$A$2:$A$5000,'Call Log'!$C$2:$C$5000,B921)),""))</f>
        <v/>
      </c>
      <c r="S921" s="22"/>
      <c r="T921" s="24"/>
      <c r="U921" s="24"/>
      <c r="V921" s="22"/>
      <c r="W921" s="23"/>
      <c r="X921" s="22"/>
      <c r="Y921" s="22"/>
      <c r="Z921" s="22"/>
      <c r="AA921" s="22"/>
    </row>
    <row r="922" ht="15.0" customHeight="1">
      <c r="A922" s="22"/>
      <c r="B922" s="22"/>
      <c r="C922" s="22"/>
      <c r="D922" s="22"/>
      <c r="E922" s="22"/>
      <c r="F922" s="23"/>
      <c r="G922" s="23"/>
      <c r="H922" s="22"/>
      <c r="I922" s="22"/>
      <c r="J922" s="22"/>
      <c r="K922" s="22"/>
      <c r="L922" s="22"/>
      <c r="M922" s="22"/>
      <c r="N922" s="22"/>
      <c r="O922" s="22" t="str">
        <f>IF(B922="","",IFERROR(LOOKUP(2,1/('Call Log'!$C$2:$C$5000=B922),'Call Log'!$B$2:$B$5000),""))</f>
        <v/>
      </c>
      <c r="P922" s="22" t="str">
        <f>IF(B922="","",COUNTIFS('Call Log'!$C$2:$C$5000,B922,'Call Log'!$A$2:$A$5000,"&gt;="&amp;(TODAY()-WEEKDAY(TODAY(),2)+1)))</f>
        <v/>
      </c>
      <c r="Q922" s="22" t="str">
        <f>IF(B922="","",COUNTIF('Call Log'!$C$2:$C$5000,B922))</f>
        <v/>
      </c>
      <c r="R922" s="24" t="str">
        <f>IF(B922="","",IFERROR(IF(MAXIFS('Call Log'!$A$2:$A$5000,'Call Log'!$C$2:$C$5000,B922)=0,"",MAXIFS('Call Log'!$A$2:$A$5000,'Call Log'!$C$2:$C$5000,B922)),""))</f>
        <v/>
      </c>
      <c r="S922" s="22"/>
      <c r="T922" s="24"/>
      <c r="U922" s="24"/>
      <c r="V922" s="22"/>
      <c r="W922" s="23"/>
      <c r="X922" s="22"/>
      <c r="Y922" s="22"/>
      <c r="Z922" s="22"/>
      <c r="AA922" s="22"/>
    </row>
    <row r="923" ht="15.0" customHeight="1">
      <c r="A923" s="22"/>
      <c r="B923" s="22"/>
      <c r="C923" s="22"/>
      <c r="D923" s="22"/>
      <c r="E923" s="22"/>
      <c r="F923" s="23"/>
      <c r="G923" s="23"/>
      <c r="H923" s="22"/>
      <c r="I923" s="22"/>
      <c r="J923" s="22"/>
      <c r="K923" s="22"/>
      <c r="L923" s="22"/>
      <c r="M923" s="22"/>
      <c r="N923" s="22"/>
      <c r="O923" s="22" t="str">
        <f>IF(B923="","",IFERROR(LOOKUP(2,1/('Call Log'!$C$2:$C$5000=B923),'Call Log'!$B$2:$B$5000),""))</f>
        <v/>
      </c>
      <c r="P923" s="22" t="str">
        <f>IF(B923="","",COUNTIFS('Call Log'!$C$2:$C$5000,B923,'Call Log'!$A$2:$A$5000,"&gt;="&amp;(TODAY()-WEEKDAY(TODAY(),2)+1)))</f>
        <v/>
      </c>
      <c r="Q923" s="22" t="str">
        <f>IF(B923="","",COUNTIF('Call Log'!$C$2:$C$5000,B923))</f>
        <v/>
      </c>
      <c r="R923" s="24" t="str">
        <f>IF(B923="","",IFERROR(IF(MAXIFS('Call Log'!$A$2:$A$5000,'Call Log'!$C$2:$C$5000,B923)=0,"",MAXIFS('Call Log'!$A$2:$A$5000,'Call Log'!$C$2:$C$5000,B923)),""))</f>
        <v/>
      </c>
      <c r="S923" s="22"/>
      <c r="T923" s="24"/>
      <c r="U923" s="24"/>
      <c r="V923" s="22"/>
      <c r="W923" s="23"/>
      <c r="X923" s="22"/>
      <c r="Y923" s="22"/>
      <c r="Z923" s="22"/>
      <c r="AA923" s="22"/>
    </row>
    <row r="924" ht="15.0" customHeight="1">
      <c r="A924" s="22"/>
      <c r="B924" s="22"/>
      <c r="C924" s="22"/>
      <c r="D924" s="22"/>
      <c r="E924" s="22"/>
      <c r="F924" s="23"/>
      <c r="G924" s="23"/>
      <c r="H924" s="22"/>
      <c r="I924" s="22"/>
      <c r="J924" s="22"/>
      <c r="K924" s="22"/>
      <c r="L924" s="22"/>
      <c r="M924" s="22"/>
      <c r="N924" s="22"/>
      <c r="O924" s="22" t="str">
        <f>IF(B924="","",IFERROR(LOOKUP(2,1/('Call Log'!$C$2:$C$5000=B924),'Call Log'!$B$2:$B$5000),""))</f>
        <v/>
      </c>
      <c r="P924" s="22" t="str">
        <f>IF(B924="","",COUNTIFS('Call Log'!$C$2:$C$5000,B924,'Call Log'!$A$2:$A$5000,"&gt;="&amp;(TODAY()-WEEKDAY(TODAY(),2)+1)))</f>
        <v/>
      </c>
      <c r="Q924" s="22" t="str">
        <f>IF(B924="","",COUNTIF('Call Log'!$C$2:$C$5000,B924))</f>
        <v/>
      </c>
      <c r="R924" s="24" t="str">
        <f>IF(B924="","",IFERROR(IF(MAXIFS('Call Log'!$A$2:$A$5000,'Call Log'!$C$2:$C$5000,B924)=0,"",MAXIFS('Call Log'!$A$2:$A$5000,'Call Log'!$C$2:$C$5000,B924)),""))</f>
        <v/>
      </c>
      <c r="S924" s="22"/>
      <c r="T924" s="24"/>
      <c r="U924" s="24"/>
      <c r="V924" s="22"/>
      <c r="W924" s="23"/>
      <c r="X924" s="22"/>
      <c r="Y924" s="22"/>
      <c r="Z924" s="22"/>
      <c r="AA924" s="22"/>
    </row>
    <row r="925" ht="15.0" customHeight="1">
      <c r="A925" s="22"/>
      <c r="B925" s="22"/>
      <c r="C925" s="22"/>
      <c r="D925" s="22"/>
      <c r="E925" s="22"/>
      <c r="F925" s="23"/>
      <c r="G925" s="23"/>
      <c r="H925" s="22"/>
      <c r="I925" s="22"/>
      <c r="J925" s="22"/>
      <c r="K925" s="22"/>
      <c r="L925" s="22"/>
      <c r="M925" s="22"/>
      <c r="N925" s="22"/>
      <c r="O925" s="22" t="str">
        <f>IF(B925="","",IFERROR(LOOKUP(2,1/('Call Log'!$C$2:$C$5000=B925),'Call Log'!$B$2:$B$5000),""))</f>
        <v/>
      </c>
      <c r="P925" s="22" t="str">
        <f>IF(B925="","",COUNTIFS('Call Log'!$C$2:$C$5000,B925,'Call Log'!$A$2:$A$5000,"&gt;="&amp;(TODAY()-WEEKDAY(TODAY(),2)+1)))</f>
        <v/>
      </c>
      <c r="Q925" s="22" t="str">
        <f>IF(B925="","",COUNTIF('Call Log'!$C$2:$C$5000,B925))</f>
        <v/>
      </c>
      <c r="R925" s="24" t="str">
        <f>IF(B925="","",IFERROR(IF(MAXIFS('Call Log'!$A$2:$A$5000,'Call Log'!$C$2:$C$5000,B925)=0,"",MAXIFS('Call Log'!$A$2:$A$5000,'Call Log'!$C$2:$C$5000,B925)),""))</f>
        <v/>
      </c>
      <c r="S925" s="22"/>
      <c r="T925" s="24"/>
      <c r="U925" s="24"/>
      <c r="V925" s="22"/>
      <c r="W925" s="23"/>
      <c r="X925" s="22"/>
      <c r="Y925" s="22"/>
      <c r="Z925" s="22"/>
      <c r="AA925" s="22"/>
    </row>
    <row r="926" ht="15.0" customHeight="1">
      <c r="A926" s="22"/>
      <c r="B926" s="22"/>
      <c r="C926" s="22"/>
      <c r="D926" s="22"/>
      <c r="E926" s="22"/>
      <c r="F926" s="23"/>
      <c r="G926" s="23"/>
      <c r="H926" s="22"/>
      <c r="I926" s="22"/>
      <c r="J926" s="22"/>
      <c r="K926" s="22"/>
      <c r="L926" s="22"/>
      <c r="M926" s="22"/>
      <c r="N926" s="22"/>
      <c r="O926" s="22" t="str">
        <f>IF(B926="","",IFERROR(LOOKUP(2,1/('Call Log'!$C$2:$C$5000=B926),'Call Log'!$B$2:$B$5000),""))</f>
        <v/>
      </c>
      <c r="P926" s="22" t="str">
        <f>IF(B926="","",COUNTIFS('Call Log'!$C$2:$C$5000,B926,'Call Log'!$A$2:$A$5000,"&gt;="&amp;(TODAY()-WEEKDAY(TODAY(),2)+1)))</f>
        <v/>
      </c>
      <c r="Q926" s="22" t="str">
        <f>IF(B926="","",COUNTIF('Call Log'!$C$2:$C$5000,B926))</f>
        <v/>
      </c>
      <c r="R926" s="24" t="str">
        <f>IF(B926="","",IFERROR(IF(MAXIFS('Call Log'!$A$2:$A$5000,'Call Log'!$C$2:$C$5000,B926)=0,"",MAXIFS('Call Log'!$A$2:$A$5000,'Call Log'!$C$2:$C$5000,B926)),""))</f>
        <v/>
      </c>
      <c r="S926" s="22"/>
      <c r="T926" s="24"/>
      <c r="U926" s="24"/>
      <c r="V926" s="22"/>
      <c r="W926" s="23"/>
      <c r="X926" s="22"/>
      <c r="Y926" s="22"/>
      <c r="Z926" s="22"/>
      <c r="AA926" s="22"/>
    </row>
    <row r="927" ht="15.0" customHeight="1">
      <c r="A927" s="22"/>
      <c r="B927" s="22"/>
      <c r="C927" s="22"/>
      <c r="D927" s="22"/>
      <c r="E927" s="22"/>
      <c r="F927" s="23"/>
      <c r="G927" s="23"/>
      <c r="H927" s="22"/>
      <c r="I927" s="22"/>
      <c r="J927" s="22"/>
      <c r="K927" s="22"/>
      <c r="L927" s="22"/>
      <c r="M927" s="22"/>
      <c r="N927" s="22"/>
      <c r="O927" s="22" t="str">
        <f>IF(B927="","",IFERROR(LOOKUP(2,1/('Call Log'!$C$2:$C$5000=B927),'Call Log'!$B$2:$B$5000),""))</f>
        <v/>
      </c>
      <c r="P927" s="22" t="str">
        <f>IF(B927="","",COUNTIFS('Call Log'!$C$2:$C$5000,B927,'Call Log'!$A$2:$A$5000,"&gt;="&amp;(TODAY()-WEEKDAY(TODAY(),2)+1)))</f>
        <v/>
      </c>
      <c r="Q927" s="22" t="str">
        <f>IF(B927="","",COUNTIF('Call Log'!$C$2:$C$5000,B927))</f>
        <v/>
      </c>
      <c r="R927" s="24" t="str">
        <f>IF(B927="","",IFERROR(IF(MAXIFS('Call Log'!$A$2:$A$5000,'Call Log'!$C$2:$C$5000,B927)=0,"",MAXIFS('Call Log'!$A$2:$A$5000,'Call Log'!$C$2:$C$5000,B927)),""))</f>
        <v/>
      </c>
      <c r="S927" s="22"/>
      <c r="T927" s="24"/>
      <c r="U927" s="24"/>
      <c r="V927" s="22"/>
      <c r="W927" s="23"/>
      <c r="X927" s="22"/>
      <c r="Y927" s="22"/>
      <c r="Z927" s="22"/>
      <c r="AA927" s="22"/>
    </row>
    <row r="928" ht="15.0" customHeight="1">
      <c r="A928" s="22"/>
      <c r="B928" s="22"/>
      <c r="C928" s="22"/>
      <c r="D928" s="22"/>
      <c r="E928" s="22"/>
      <c r="F928" s="23"/>
      <c r="G928" s="23"/>
      <c r="H928" s="22"/>
      <c r="I928" s="22"/>
      <c r="J928" s="22"/>
      <c r="K928" s="22"/>
      <c r="L928" s="22"/>
      <c r="M928" s="22"/>
      <c r="N928" s="22"/>
      <c r="O928" s="22" t="str">
        <f>IF(B928="","",IFERROR(LOOKUP(2,1/('Call Log'!$C$2:$C$5000=B928),'Call Log'!$B$2:$B$5000),""))</f>
        <v/>
      </c>
      <c r="P928" s="22" t="str">
        <f>IF(B928="","",COUNTIFS('Call Log'!$C$2:$C$5000,B928,'Call Log'!$A$2:$A$5000,"&gt;="&amp;(TODAY()-WEEKDAY(TODAY(),2)+1)))</f>
        <v/>
      </c>
      <c r="Q928" s="22" t="str">
        <f>IF(B928="","",COUNTIF('Call Log'!$C$2:$C$5000,B928))</f>
        <v/>
      </c>
      <c r="R928" s="24" t="str">
        <f>IF(B928="","",IFERROR(IF(MAXIFS('Call Log'!$A$2:$A$5000,'Call Log'!$C$2:$C$5000,B928)=0,"",MAXIFS('Call Log'!$A$2:$A$5000,'Call Log'!$C$2:$C$5000,B928)),""))</f>
        <v/>
      </c>
      <c r="S928" s="22"/>
      <c r="T928" s="24"/>
      <c r="U928" s="24"/>
      <c r="V928" s="22"/>
      <c r="W928" s="23"/>
      <c r="X928" s="22"/>
      <c r="Y928" s="22"/>
      <c r="Z928" s="22"/>
      <c r="AA928" s="22"/>
    </row>
    <row r="929" ht="15.0" customHeight="1">
      <c r="A929" s="22"/>
      <c r="B929" s="22"/>
      <c r="C929" s="22"/>
      <c r="D929" s="22"/>
      <c r="E929" s="22"/>
      <c r="F929" s="23"/>
      <c r="G929" s="23"/>
      <c r="H929" s="22"/>
      <c r="I929" s="22"/>
      <c r="J929" s="22"/>
      <c r="K929" s="22"/>
      <c r="L929" s="22"/>
      <c r="M929" s="22"/>
      <c r="N929" s="22"/>
      <c r="O929" s="22" t="str">
        <f>IF(B929="","",IFERROR(LOOKUP(2,1/('Call Log'!$C$2:$C$5000=B929),'Call Log'!$B$2:$B$5000),""))</f>
        <v/>
      </c>
      <c r="P929" s="22" t="str">
        <f>IF(B929="","",COUNTIFS('Call Log'!$C$2:$C$5000,B929,'Call Log'!$A$2:$A$5000,"&gt;="&amp;(TODAY()-WEEKDAY(TODAY(),2)+1)))</f>
        <v/>
      </c>
      <c r="Q929" s="22" t="str">
        <f>IF(B929="","",COUNTIF('Call Log'!$C$2:$C$5000,B929))</f>
        <v/>
      </c>
      <c r="R929" s="24" t="str">
        <f>IF(B929="","",IFERROR(IF(MAXIFS('Call Log'!$A$2:$A$5000,'Call Log'!$C$2:$C$5000,B929)=0,"",MAXIFS('Call Log'!$A$2:$A$5000,'Call Log'!$C$2:$C$5000,B929)),""))</f>
        <v/>
      </c>
      <c r="S929" s="22"/>
      <c r="T929" s="24"/>
      <c r="U929" s="24"/>
      <c r="V929" s="22"/>
      <c r="W929" s="23"/>
      <c r="X929" s="22"/>
      <c r="Y929" s="22"/>
      <c r="Z929" s="22"/>
      <c r="AA929" s="22"/>
    </row>
    <row r="930" ht="15.0" customHeight="1">
      <c r="A930" s="22"/>
      <c r="B930" s="22"/>
      <c r="C930" s="22"/>
      <c r="D930" s="22"/>
      <c r="E930" s="22"/>
      <c r="F930" s="23"/>
      <c r="G930" s="23"/>
      <c r="H930" s="22"/>
      <c r="I930" s="22"/>
      <c r="J930" s="22"/>
      <c r="K930" s="22"/>
      <c r="L930" s="22"/>
      <c r="M930" s="22"/>
      <c r="N930" s="22"/>
      <c r="O930" s="22" t="str">
        <f>IF(B930="","",IFERROR(LOOKUP(2,1/('Call Log'!$C$2:$C$5000=B930),'Call Log'!$B$2:$B$5000),""))</f>
        <v/>
      </c>
      <c r="P930" s="22" t="str">
        <f>IF(B930="","",COUNTIFS('Call Log'!$C$2:$C$5000,B930,'Call Log'!$A$2:$A$5000,"&gt;="&amp;(TODAY()-WEEKDAY(TODAY(),2)+1)))</f>
        <v/>
      </c>
      <c r="Q930" s="22" t="str">
        <f>IF(B930="","",COUNTIF('Call Log'!$C$2:$C$5000,B930))</f>
        <v/>
      </c>
      <c r="R930" s="24" t="str">
        <f>IF(B930="","",IFERROR(IF(MAXIFS('Call Log'!$A$2:$A$5000,'Call Log'!$C$2:$C$5000,B930)=0,"",MAXIFS('Call Log'!$A$2:$A$5000,'Call Log'!$C$2:$C$5000,B930)),""))</f>
        <v/>
      </c>
      <c r="S930" s="22"/>
      <c r="T930" s="24"/>
      <c r="U930" s="24"/>
      <c r="V930" s="22"/>
      <c r="W930" s="23"/>
      <c r="X930" s="22"/>
      <c r="Y930" s="22"/>
      <c r="Z930" s="22"/>
      <c r="AA930" s="22"/>
    </row>
    <row r="931" ht="15.0" customHeight="1">
      <c r="A931" s="22"/>
      <c r="B931" s="22"/>
      <c r="C931" s="22"/>
      <c r="D931" s="22"/>
      <c r="E931" s="22"/>
      <c r="F931" s="23"/>
      <c r="G931" s="23"/>
      <c r="H931" s="22"/>
      <c r="I931" s="22"/>
      <c r="J931" s="22"/>
      <c r="K931" s="22"/>
      <c r="L931" s="22"/>
      <c r="M931" s="22"/>
      <c r="N931" s="22"/>
      <c r="O931" s="22" t="str">
        <f>IF(B931="","",IFERROR(LOOKUP(2,1/('Call Log'!$C$2:$C$5000=B931),'Call Log'!$B$2:$B$5000),""))</f>
        <v/>
      </c>
      <c r="P931" s="22" t="str">
        <f>IF(B931="","",COUNTIFS('Call Log'!$C$2:$C$5000,B931,'Call Log'!$A$2:$A$5000,"&gt;="&amp;(TODAY()-WEEKDAY(TODAY(),2)+1)))</f>
        <v/>
      </c>
      <c r="Q931" s="22" t="str">
        <f>IF(B931="","",COUNTIF('Call Log'!$C$2:$C$5000,B931))</f>
        <v/>
      </c>
      <c r="R931" s="24" t="str">
        <f>IF(B931="","",IFERROR(IF(MAXIFS('Call Log'!$A$2:$A$5000,'Call Log'!$C$2:$C$5000,B931)=0,"",MAXIFS('Call Log'!$A$2:$A$5000,'Call Log'!$C$2:$C$5000,B931)),""))</f>
        <v/>
      </c>
      <c r="S931" s="22"/>
      <c r="T931" s="24"/>
      <c r="U931" s="24"/>
      <c r="V931" s="22"/>
      <c r="W931" s="23"/>
      <c r="X931" s="22"/>
      <c r="Y931" s="22"/>
      <c r="Z931" s="22"/>
      <c r="AA931" s="22"/>
    </row>
    <row r="932" ht="15.0" customHeight="1">
      <c r="A932" s="22"/>
      <c r="B932" s="22"/>
      <c r="C932" s="22"/>
      <c r="D932" s="22"/>
      <c r="E932" s="22"/>
      <c r="F932" s="23"/>
      <c r="G932" s="23"/>
      <c r="H932" s="22"/>
      <c r="I932" s="22"/>
      <c r="J932" s="22"/>
      <c r="K932" s="22"/>
      <c r="L932" s="22"/>
      <c r="M932" s="22"/>
      <c r="N932" s="22"/>
      <c r="O932" s="22" t="str">
        <f>IF(B932="","",IFERROR(LOOKUP(2,1/('Call Log'!$C$2:$C$5000=B932),'Call Log'!$B$2:$B$5000),""))</f>
        <v/>
      </c>
      <c r="P932" s="22" t="str">
        <f>IF(B932="","",COUNTIFS('Call Log'!$C$2:$C$5000,B932,'Call Log'!$A$2:$A$5000,"&gt;="&amp;(TODAY()-WEEKDAY(TODAY(),2)+1)))</f>
        <v/>
      </c>
      <c r="Q932" s="22" t="str">
        <f>IF(B932="","",COUNTIF('Call Log'!$C$2:$C$5000,B932))</f>
        <v/>
      </c>
      <c r="R932" s="24" t="str">
        <f>IF(B932="","",IFERROR(IF(MAXIFS('Call Log'!$A$2:$A$5000,'Call Log'!$C$2:$C$5000,B932)=0,"",MAXIFS('Call Log'!$A$2:$A$5000,'Call Log'!$C$2:$C$5000,B932)),""))</f>
        <v/>
      </c>
      <c r="S932" s="22"/>
      <c r="T932" s="24"/>
      <c r="U932" s="24"/>
      <c r="V932" s="22"/>
      <c r="W932" s="23"/>
      <c r="X932" s="22"/>
      <c r="Y932" s="22"/>
      <c r="Z932" s="22"/>
      <c r="AA932" s="22"/>
    </row>
    <row r="933" ht="15.0" customHeight="1">
      <c r="A933" s="22"/>
      <c r="B933" s="22"/>
      <c r="C933" s="22"/>
      <c r="D933" s="22"/>
      <c r="E933" s="22"/>
      <c r="F933" s="23"/>
      <c r="G933" s="23"/>
      <c r="H933" s="22"/>
      <c r="I933" s="22"/>
      <c r="J933" s="22"/>
      <c r="K933" s="22"/>
      <c r="L933" s="22"/>
      <c r="M933" s="22"/>
      <c r="N933" s="22"/>
      <c r="O933" s="22" t="str">
        <f>IF(B933="","",IFERROR(LOOKUP(2,1/('Call Log'!$C$2:$C$5000=B933),'Call Log'!$B$2:$B$5000),""))</f>
        <v/>
      </c>
      <c r="P933" s="22" t="str">
        <f>IF(B933="","",COUNTIFS('Call Log'!$C$2:$C$5000,B933,'Call Log'!$A$2:$A$5000,"&gt;="&amp;(TODAY()-WEEKDAY(TODAY(),2)+1)))</f>
        <v/>
      </c>
      <c r="Q933" s="22" t="str">
        <f>IF(B933="","",COUNTIF('Call Log'!$C$2:$C$5000,B933))</f>
        <v/>
      </c>
      <c r="R933" s="24" t="str">
        <f>IF(B933="","",IFERROR(IF(MAXIFS('Call Log'!$A$2:$A$5000,'Call Log'!$C$2:$C$5000,B933)=0,"",MAXIFS('Call Log'!$A$2:$A$5000,'Call Log'!$C$2:$C$5000,B933)),""))</f>
        <v/>
      </c>
      <c r="S933" s="22"/>
      <c r="T933" s="24"/>
      <c r="U933" s="24"/>
      <c r="V933" s="22"/>
      <c r="W933" s="23"/>
      <c r="X933" s="22"/>
      <c r="Y933" s="22"/>
      <c r="Z933" s="22"/>
      <c r="AA933" s="22"/>
    </row>
    <row r="934" ht="15.0" customHeight="1">
      <c r="A934" s="22"/>
      <c r="B934" s="22"/>
      <c r="C934" s="22"/>
      <c r="D934" s="22"/>
      <c r="E934" s="22"/>
      <c r="F934" s="23"/>
      <c r="G934" s="23"/>
      <c r="H934" s="22"/>
      <c r="I934" s="22"/>
      <c r="J934" s="22"/>
      <c r="K934" s="22"/>
      <c r="L934" s="22"/>
      <c r="M934" s="22"/>
      <c r="N934" s="22"/>
      <c r="O934" s="22" t="str">
        <f>IF(B934="","",IFERROR(LOOKUP(2,1/('Call Log'!$C$2:$C$5000=B934),'Call Log'!$B$2:$B$5000),""))</f>
        <v/>
      </c>
      <c r="P934" s="22" t="str">
        <f>IF(B934="","",COUNTIFS('Call Log'!$C$2:$C$5000,B934,'Call Log'!$A$2:$A$5000,"&gt;="&amp;(TODAY()-WEEKDAY(TODAY(),2)+1)))</f>
        <v/>
      </c>
      <c r="Q934" s="22" t="str">
        <f>IF(B934="","",COUNTIF('Call Log'!$C$2:$C$5000,B934))</f>
        <v/>
      </c>
      <c r="R934" s="24" t="str">
        <f>IF(B934="","",IFERROR(IF(MAXIFS('Call Log'!$A$2:$A$5000,'Call Log'!$C$2:$C$5000,B934)=0,"",MAXIFS('Call Log'!$A$2:$A$5000,'Call Log'!$C$2:$C$5000,B934)),""))</f>
        <v/>
      </c>
      <c r="S934" s="22"/>
      <c r="T934" s="24"/>
      <c r="U934" s="24"/>
      <c r="V934" s="22"/>
      <c r="W934" s="23"/>
      <c r="X934" s="22"/>
      <c r="Y934" s="22"/>
      <c r="Z934" s="22"/>
      <c r="AA934" s="22"/>
    </row>
    <row r="935" ht="15.0" customHeight="1">
      <c r="A935" s="22"/>
      <c r="B935" s="22"/>
      <c r="C935" s="22"/>
      <c r="D935" s="22"/>
      <c r="E935" s="22"/>
      <c r="F935" s="23"/>
      <c r="G935" s="23"/>
      <c r="H935" s="22"/>
      <c r="I935" s="22"/>
      <c r="J935" s="22"/>
      <c r="K935" s="22"/>
      <c r="L935" s="22"/>
      <c r="M935" s="22"/>
      <c r="N935" s="22"/>
      <c r="O935" s="22" t="str">
        <f>IF(B935="","",IFERROR(LOOKUP(2,1/('Call Log'!$C$2:$C$5000=B935),'Call Log'!$B$2:$B$5000),""))</f>
        <v/>
      </c>
      <c r="P935" s="22" t="str">
        <f>IF(B935="","",COUNTIFS('Call Log'!$C$2:$C$5000,B935,'Call Log'!$A$2:$A$5000,"&gt;="&amp;(TODAY()-WEEKDAY(TODAY(),2)+1)))</f>
        <v/>
      </c>
      <c r="Q935" s="22" t="str">
        <f>IF(B935="","",COUNTIF('Call Log'!$C$2:$C$5000,B935))</f>
        <v/>
      </c>
      <c r="R935" s="24" t="str">
        <f>IF(B935="","",IFERROR(IF(MAXIFS('Call Log'!$A$2:$A$5000,'Call Log'!$C$2:$C$5000,B935)=0,"",MAXIFS('Call Log'!$A$2:$A$5000,'Call Log'!$C$2:$C$5000,B935)),""))</f>
        <v/>
      </c>
      <c r="S935" s="22"/>
      <c r="T935" s="24"/>
      <c r="U935" s="24"/>
      <c r="V935" s="22"/>
      <c r="W935" s="23"/>
      <c r="X935" s="22"/>
      <c r="Y935" s="22"/>
      <c r="Z935" s="22"/>
      <c r="AA935" s="22"/>
    </row>
    <row r="936" ht="15.0" customHeight="1">
      <c r="A936" s="22"/>
      <c r="B936" s="22"/>
      <c r="C936" s="22"/>
      <c r="D936" s="22"/>
      <c r="E936" s="22"/>
      <c r="F936" s="23"/>
      <c r="G936" s="23"/>
      <c r="H936" s="22"/>
      <c r="I936" s="22"/>
      <c r="J936" s="22"/>
      <c r="K936" s="22"/>
      <c r="L936" s="22"/>
      <c r="M936" s="22"/>
      <c r="N936" s="22"/>
      <c r="O936" s="22" t="str">
        <f>IF(B936="","",IFERROR(LOOKUP(2,1/('Call Log'!$C$2:$C$5000=B936),'Call Log'!$B$2:$B$5000),""))</f>
        <v/>
      </c>
      <c r="P936" s="22" t="str">
        <f>IF(B936="","",COUNTIFS('Call Log'!$C$2:$C$5000,B936,'Call Log'!$A$2:$A$5000,"&gt;="&amp;(TODAY()-WEEKDAY(TODAY(),2)+1)))</f>
        <v/>
      </c>
      <c r="Q936" s="22" t="str">
        <f>IF(B936="","",COUNTIF('Call Log'!$C$2:$C$5000,B936))</f>
        <v/>
      </c>
      <c r="R936" s="24" t="str">
        <f>IF(B936="","",IFERROR(IF(MAXIFS('Call Log'!$A$2:$A$5000,'Call Log'!$C$2:$C$5000,B936)=0,"",MAXIFS('Call Log'!$A$2:$A$5000,'Call Log'!$C$2:$C$5000,B936)),""))</f>
        <v/>
      </c>
      <c r="S936" s="22"/>
      <c r="T936" s="24"/>
      <c r="U936" s="24"/>
      <c r="V936" s="22"/>
      <c r="W936" s="23"/>
      <c r="X936" s="22"/>
      <c r="Y936" s="22"/>
      <c r="Z936" s="22"/>
      <c r="AA936" s="22"/>
    </row>
    <row r="937" ht="15.0" customHeight="1">
      <c r="A937" s="22"/>
      <c r="B937" s="22"/>
      <c r="C937" s="22"/>
      <c r="D937" s="22"/>
      <c r="E937" s="22"/>
      <c r="F937" s="23"/>
      <c r="G937" s="23"/>
      <c r="H937" s="22"/>
      <c r="I937" s="22"/>
      <c r="J937" s="22"/>
      <c r="K937" s="22"/>
      <c r="L937" s="22"/>
      <c r="M937" s="22"/>
      <c r="N937" s="22"/>
      <c r="O937" s="22" t="str">
        <f>IF(B937="","",IFERROR(LOOKUP(2,1/('Call Log'!$C$2:$C$5000=B937),'Call Log'!$B$2:$B$5000),""))</f>
        <v/>
      </c>
      <c r="P937" s="22" t="str">
        <f>IF(B937="","",COUNTIFS('Call Log'!$C$2:$C$5000,B937,'Call Log'!$A$2:$A$5000,"&gt;="&amp;(TODAY()-WEEKDAY(TODAY(),2)+1)))</f>
        <v/>
      </c>
      <c r="Q937" s="22" t="str">
        <f>IF(B937="","",COUNTIF('Call Log'!$C$2:$C$5000,B937))</f>
        <v/>
      </c>
      <c r="R937" s="24" t="str">
        <f>IF(B937="","",IFERROR(IF(MAXIFS('Call Log'!$A$2:$A$5000,'Call Log'!$C$2:$C$5000,B937)=0,"",MAXIFS('Call Log'!$A$2:$A$5000,'Call Log'!$C$2:$C$5000,B937)),""))</f>
        <v/>
      </c>
      <c r="S937" s="22"/>
      <c r="T937" s="24"/>
      <c r="U937" s="24"/>
      <c r="V937" s="22"/>
      <c r="W937" s="23"/>
      <c r="X937" s="22"/>
      <c r="Y937" s="22"/>
      <c r="Z937" s="22"/>
      <c r="AA937" s="22"/>
    </row>
    <row r="938" ht="15.0" customHeight="1">
      <c r="A938" s="22"/>
      <c r="B938" s="22"/>
      <c r="C938" s="22"/>
      <c r="D938" s="22"/>
      <c r="E938" s="22"/>
      <c r="F938" s="23"/>
      <c r="G938" s="23"/>
      <c r="H938" s="22"/>
      <c r="I938" s="22"/>
      <c r="J938" s="22"/>
      <c r="K938" s="22"/>
      <c r="L938" s="22"/>
      <c r="M938" s="22"/>
      <c r="N938" s="22"/>
      <c r="O938" s="22" t="str">
        <f>IF(B938="","",IFERROR(LOOKUP(2,1/('Call Log'!$C$2:$C$5000=B938),'Call Log'!$B$2:$B$5000),""))</f>
        <v/>
      </c>
      <c r="P938" s="22" t="str">
        <f>IF(B938="","",COUNTIFS('Call Log'!$C$2:$C$5000,B938,'Call Log'!$A$2:$A$5000,"&gt;="&amp;(TODAY()-WEEKDAY(TODAY(),2)+1)))</f>
        <v/>
      </c>
      <c r="Q938" s="22" t="str">
        <f>IF(B938="","",COUNTIF('Call Log'!$C$2:$C$5000,B938))</f>
        <v/>
      </c>
      <c r="R938" s="24" t="str">
        <f>IF(B938="","",IFERROR(IF(MAXIFS('Call Log'!$A$2:$A$5000,'Call Log'!$C$2:$C$5000,B938)=0,"",MAXIFS('Call Log'!$A$2:$A$5000,'Call Log'!$C$2:$C$5000,B938)),""))</f>
        <v/>
      </c>
      <c r="S938" s="22"/>
      <c r="T938" s="24"/>
      <c r="U938" s="24"/>
      <c r="V938" s="22"/>
      <c r="W938" s="23"/>
      <c r="X938" s="22"/>
      <c r="Y938" s="22"/>
      <c r="Z938" s="22"/>
      <c r="AA938" s="22"/>
    </row>
    <row r="939" ht="15.0" customHeight="1">
      <c r="A939" s="22"/>
      <c r="B939" s="22"/>
      <c r="C939" s="22"/>
      <c r="D939" s="22"/>
      <c r="E939" s="22"/>
      <c r="F939" s="23"/>
      <c r="G939" s="23"/>
      <c r="H939" s="22"/>
      <c r="I939" s="22"/>
      <c r="J939" s="22"/>
      <c r="K939" s="22"/>
      <c r="L939" s="22"/>
      <c r="M939" s="22"/>
      <c r="N939" s="22"/>
      <c r="O939" s="22" t="str">
        <f>IF(B939="","",IFERROR(LOOKUP(2,1/('Call Log'!$C$2:$C$5000=B939),'Call Log'!$B$2:$B$5000),""))</f>
        <v/>
      </c>
      <c r="P939" s="22" t="str">
        <f>IF(B939="","",COUNTIFS('Call Log'!$C$2:$C$5000,B939,'Call Log'!$A$2:$A$5000,"&gt;="&amp;(TODAY()-WEEKDAY(TODAY(),2)+1)))</f>
        <v/>
      </c>
      <c r="Q939" s="22" t="str">
        <f>IF(B939="","",COUNTIF('Call Log'!$C$2:$C$5000,B939))</f>
        <v/>
      </c>
      <c r="R939" s="24" t="str">
        <f>IF(B939="","",IFERROR(IF(MAXIFS('Call Log'!$A$2:$A$5000,'Call Log'!$C$2:$C$5000,B939)=0,"",MAXIFS('Call Log'!$A$2:$A$5000,'Call Log'!$C$2:$C$5000,B939)),""))</f>
        <v/>
      </c>
      <c r="S939" s="22"/>
      <c r="T939" s="24"/>
      <c r="U939" s="24"/>
      <c r="V939" s="22"/>
      <c r="W939" s="23"/>
      <c r="X939" s="22"/>
      <c r="Y939" s="22"/>
      <c r="Z939" s="22"/>
      <c r="AA939" s="22"/>
    </row>
    <row r="940" ht="15.0" customHeight="1">
      <c r="A940" s="22"/>
      <c r="B940" s="22"/>
      <c r="C940" s="22"/>
      <c r="D940" s="22"/>
      <c r="E940" s="22"/>
      <c r="F940" s="23"/>
      <c r="G940" s="23"/>
      <c r="H940" s="22"/>
      <c r="I940" s="22"/>
      <c r="J940" s="22"/>
      <c r="K940" s="22"/>
      <c r="L940" s="22"/>
      <c r="M940" s="22"/>
      <c r="N940" s="22"/>
      <c r="O940" s="22" t="str">
        <f>IF(B940="","",IFERROR(LOOKUP(2,1/('Call Log'!$C$2:$C$5000=B940),'Call Log'!$B$2:$B$5000),""))</f>
        <v/>
      </c>
      <c r="P940" s="22" t="str">
        <f>IF(B940="","",COUNTIFS('Call Log'!$C$2:$C$5000,B940,'Call Log'!$A$2:$A$5000,"&gt;="&amp;(TODAY()-WEEKDAY(TODAY(),2)+1)))</f>
        <v/>
      </c>
      <c r="Q940" s="22" t="str">
        <f>IF(B940="","",COUNTIF('Call Log'!$C$2:$C$5000,B940))</f>
        <v/>
      </c>
      <c r="R940" s="24" t="str">
        <f>IF(B940="","",IFERROR(IF(MAXIFS('Call Log'!$A$2:$A$5000,'Call Log'!$C$2:$C$5000,B940)=0,"",MAXIFS('Call Log'!$A$2:$A$5000,'Call Log'!$C$2:$C$5000,B940)),""))</f>
        <v/>
      </c>
      <c r="S940" s="22"/>
      <c r="T940" s="24"/>
      <c r="U940" s="24"/>
      <c r="V940" s="22"/>
      <c r="W940" s="23"/>
      <c r="X940" s="22"/>
      <c r="Y940" s="22"/>
      <c r="Z940" s="22"/>
      <c r="AA940" s="22"/>
    </row>
    <row r="941" ht="15.0" customHeight="1">
      <c r="A941" s="22"/>
      <c r="B941" s="22"/>
      <c r="C941" s="22"/>
      <c r="D941" s="22"/>
      <c r="E941" s="22"/>
      <c r="F941" s="23"/>
      <c r="G941" s="23"/>
      <c r="H941" s="22"/>
      <c r="I941" s="22"/>
      <c r="J941" s="22"/>
      <c r="K941" s="22"/>
      <c r="L941" s="22"/>
      <c r="M941" s="22"/>
      <c r="N941" s="22"/>
      <c r="O941" s="22" t="str">
        <f>IF(B941="","",IFERROR(LOOKUP(2,1/('Call Log'!$C$2:$C$5000=B941),'Call Log'!$B$2:$B$5000),""))</f>
        <v/>
      </c>
      <c r="P941" s="22" t="str">
        <f>IF(B941="","",COUNTIFS('Call Log'!$C$2:$C$5000,B941,'Call Log'!$A$2:$A$5000,"&gt;="&amp;(TODAY()-WEEKDAY(TODAY(),2)+1)))</f>
        <v/>
      </c>
      <c r="Q941" s="22" t="str">
        <f>IF(B941="","",COUNTIF('Call Log'!$C$2:$C$5000,B941))</f>
        <v/>
      </c>
      <c r="R941" s="24" t="str">
        <f>IF(B941="","",IFERROR(IF(MAXIFS('Call Log'!$A$2:$A$5000,'Call Log'!$C$2:$C$5000,B941)=0,"",MAXIFS('Call Log'!$A$2:$A$5000,'Call Log'!$C$2:$C$5000,B941)),""))</f>
        <v/>
      </c>
      <c r="S941" s="22"/>
      <c r="T941" s="24"/>
      <c r="U941" s="24"/>
      <c r="V941" s="22"/>
      <c r="W941" s="23"/>
      <c r="X941" s="22"/>
      <c r="Y941" s="22"/>
      <c r="Z941" s="22"/>
      <c r="AA941" s="22"/>
    </row>
    <row r="942" ht="15.0" customHeight="1">
      <c r="A942" s="22"/>
      <c r="B942" s="22"/>
      <c r="C942" s="22"/>
      <c r="D942" s="22"/>
      <c r="E942" s="22"/>
      <c r="F942" s="23"/>
      <c r="G942" s="23"/>
      <c r="H942" s="22"/>
      <c r="I942" s="22"/>
      <c r="J942" s="22"/>
      <c r="K942" s="22"/>
      <c r="L942" s="22"/>
      <c r="M942" s="22"/>
      <c r="N942" s="22"/>
      <c r="O942" s="22" t="str">
        <f>IF(B942="","",IFERROR(LOOKUP(2,1/('Call Log'!$C$2:$C$5000=B942),'Call Log'!$B$2:$B$5000),""))</f>
        <v/>
      </c>
      <c r="P942" s="22" t="str">
        <f>IF(B942="","",COUNTIFS('Call Log'!$C$2:$C$5000,B942,'Call Log'!$A$2:$A$5000,"&gt;="&amp;(TODAY()-WEEKDAY(TODAY(),2)+1)))</f>
        <v/>
      </c>
      <c r="Q942" s="22" t="str">
        <f>IF(B942="","",COUNTIF('Call Log'!$C$2:$C$5000,B942))</f>
        <v/>
      </c>
      <c r="R942" s="24" t="str">
        <f>IF(B942="","",IFERROR(IF(MAXIFS('Call Log'!$A$2:$A$5000,'Call Log'!$C$2:$C$5000,B942)=0,"",MAXIFS('Call Log'!$A$2:$A$5000,'Call Log'!$C$2:$C$5000,B942)),""))</f>
        <v/>
      </c>
      <c r="S942" s="22"/>
      <c r="T942" s="24"/>
      <c r="U942" s="24"/>
      <c r="V942" s="22"/>
      <c r="W942" s="23"/>
      <c r="X942" s="22"/>
      <c r="Y942" s="22"/>
      <c r="Z942" s="22"/>
      <c r="AA942" s="22"/>
    </row>
    <row r="943" ht="15.0" customHeight="1">
      <c r="A943" s="22"/>
      <c r="B943" s="22"/>
      <c r="C943" s="22"/>
      <c r="D943" s="22"/>
      <c r="E943" s="22"/>
      <c r="F943" s="23"/>
      <c r="G943" s="23"/>
      <c r="H943" s="22"/>
      <c r="I943" s="22"/>
      <c r="J943" s="22"/>
      <c r="K943" s="22"/>
      <c r="L943" s="22"/>
      <c r="M943" s="22"/>
      <c r="N943" s="22"/>
      <c r="O943" s="22" t="str">
        <f>IF(B943="","",IFERROR(LOOKUP(2,1/('Call Log'!$C$2:$C$5000=B943),'Call Log'!$B$2:$B$5000),""))</f>
        <v/>
      </c>
      <c r="P943" s="22" t="str">
        <f>IF(B943="","",COUNTIFS('Call Log'!$C$2:$C$5000,B943,'Call Log'!$A$2:$A$5000,"&gt;="&amp;(TODAY()-WEEKDAY(TODAY(),2)+1)))</f>
        <v/>
      </c>
      <c r="Q943" s="22" t="str">
        <f>IF(B943="","",COUNTIF('Call Log'!$C$2:$C$5000,B943))</f>
        <v/>
      </c>
      <c r="R943" s="24" t="str">
        <f>IF(B943="","",IFERROR(IF(MAXIFS('Call Log'!$A$2:$A$5000,'Call Log'!$C$2:$C$5000,B943)=0,"",MAXIFS('Call Log'!$A$2:$A$5000,'Call Log'!$C$2:$C$5000,B943)),""))</f>
        <v/>
      </c>
      <c r="S943" s="22"/>
      <c r="T943" s="24"/>
      <c r="U943" s="24"/>
      <c r="V943" s="22"/>
      <c r="W943" s="23"/>
      <c r="X943" s="22"/>
      <c r="Y943" s="22"/>
      <c r="Z943" s="22"/>
      <c r="AA943" s="22"/>
    </row>
    <row r="944" ht="15.0" customHeight="1">
      <c r="A944" s="22"/>
      <c r="B944" s="22"/>
      <c r="C944" s="22"/>
      <c r="D944" s="22"/>
      <c r="E944" s="22"/>
      <c r="F944" s="23"/>
      <c r="G944" s="23"/>
      <c r="H944" s="22"/>
      <c r="I944" s="22"/>
      <c r="J944" s="22"/>
      <c r="K944" s="22"/>
      <c r="L944" s="22"/>
      <c r="M944" s="22"/>
      <c r="N944" s="22"/>
      <c r="O944" s="22" t="str">
        <f>IF(B944="","",IFERROR(LOOKUP(2,1/('Call Log'!$C$2:$C$5000=B944),'Call Log'!$B$2:$B$5000),""))</f>
        <v/>
      </c>
      <c r="P944" s="22" t="str">
        <f>IF(B944="","",COUNTIFS('Call Log'!$C$2:$C$5000,B944,'Call Log'!$A$2:$A$5000,"&gt;="&amp;(TODAY()-WEEKDAY(TODAY(),2)+1)))</f>
        <v/>
      </c>
      <c r="Q944" s="22" t="str">
        <f>IF(B944="","",COUNTIF('Call Log'!$C$2:$C$5000,B944))</f>
        <v/>
      </c>
      <c r="R944" s="24" t="str">
        <f>IF(B944="","",IFERROR(IF(MAXIFS('Call Log'!$A$2:$A$5000,'Call Log'!$C$2:$C$5000,B944)=0,"",MAXIFS('Call Log'!$A$2:$A$5000,'Call Log'!$C$2:$C$5000,B944)),""))</f>
        <v/>
      </c>
      <c r="S944" s="22"/>
      <c r="T944" s="24"/>
      <c r="U944" s="24"/>
      <c r="V944" s="22"/>
      <c r="W944" s="23"/>
      <c r="X944" s="22"/>
      <c r="Y944" s="22"/>
      <c r="Z944" s="22"/>
      <c r="AA944" s="22"/>
    </row>
    <row r="945" ht="15.0" customHeight="1">
      <c r="A945" s="22"/>
      <c r="B945" s="22"/>
      <c r="C945" s="22"/>
      <c r="D945" s="22"/>
      <c r="E945" s="22"/>
      <c r="F945" s="23"/>
      <c r="G945" s="23"/>
      <c r="H945" s="22"/>
      <c r="I945" s="22"/>
      <c r="J945" s="22"/>
      <c r="K945" s="22"/>
      <c r="L945" s="22"/>
      <c r="M945" s="22"/>
      <c r="N945" s="22"/>
      <c r="O945" s="22" t="str">
        <f>IF(B945="","",IFERROR(LOOKUP(2,1/('Call Log'!$C$2:$C$5000=B945),'Call Log'!$B$2:$B$5000),""))</f>
        <v/>
      </c>
      <c r="P945" s="22" t="str">
        <f>IF(B945="","",COUNTIFS('Call Log'!$C$2:$C$5000,B945,'Call Log'!$A$2:$A$5000,"&gt;="&amp;(TODAY()-WEEKDAY(TODAY(),2)+1)))</f>
        <v/>
      </c>
      <c r="Q945" s="22" t="str">
        <f>IF(B945="","",COUNTIF('Call Log'!$C$2:$C$5000,B945))</f>
        <v/>
      </c>
      <c r="R945" s="24" t="str">
        <f>IF(B945="","",IFERROR(IF(MAXIFS('Call Log'!$A$2:$A$5000,'Call Log'!$C$2:$C$5000,B945)=0,"",MAXIFS('Call Log'!$A$2:$A$5000,'Call Log'!$C$2:$C$5000,B945)),""))</f>
        <v/>
      </c>
      <c r="S945" s="22"/>
      <c r="T945" s="24"/>
      <c r="U945" s="24"/>
      <c r="V945" s="22"/>
      <c r="W945" s="23"/>
      <c r="X945" s="22"/>
      <c r="Y945" s="22"/>
      <c r="Z945" s="22"/>
      <c r="AA945" s="22"/>
    </row>
    <row r="946" ht="15.0" customHeight="1">
      <c r="A946" s="22"/>
      <c r="B946" s="22"/>
      <c r="C946" s="22"/>
      <c r="D946" s="22"/>
      <c r="E946" s="22"/>
      <c r="F946" s="23"/>
      <c r="G946" s="23"/>
      <c r="H946" s="22"/>
      <c r="I946" s="22"/>
      <c r="J946" s="22"/>
      <c r="K946" s="22"/>
      <c r="L946" s="22"/>
      <c r="M946" s="22"/>
      <c r="N946" s="22"/>
      <c r="O946" s="22" t="str">
        <f>IF(B946="","",IFERROR(LOOKUP(2,1/('Call Log'!$C$2:$C$5000=B946),'Call Log'!$B$2:$B$5000),""))</f>
        <v/>
      </c>
      <c r="P946" s="22" t="str">
        <f>IF(B946="","",COUNTIFS('Call Log'!$C$2:$C$5000,B946,'Call Log'!$A$2:$A$5000,"&gt;="&amp;(TODAY()-WEEKDAY(TODAY(),2)+1)))</f>
        <v/>
      </c>
      <c r="Q946" s="22" t="str">
        <f>IF(B946="","",COUNTIF('Call Log'!$C$2:$C$5000,B946))</f>
        <v/>
      </c>
      <c r="R946" s="24" t="str">
        <f>IF(B946="","",IFERROR(IF(MAXIFS('Call Log'!$A$2:$A$5000,'Call Log'!$C$2:$C$5000,B946)=0,"",MAXIFS('Call Log'!$A$2:$A$5000,'Call Log'!$C$2:$C$5000,B946)),""))</f>
        <v/>
      </c>
      <c r="S946" s="22"/>
      <c r="T946" s="24"/>
      <c r="U946" s="24"/>
      <c r="V946" s="22"/>
      <c r="W946" s="23"/>
      <c r="X946" s="22"/>
      <c r="Y946" s="22"/>
      <c r="Z946" s="22"/>
      <c r="AA946" s="22"/>
    </row>
    <row r="947" ht="15.0" customHeight="1">
      <c r="A947" s="22"/>
      <c r="B947" s="22"/>
      <c r="C947" s="22"/>
      <c r="D947" s="22"/>
      <c r="E947" s="22"/>
      <c r="F947" s="23"/>
      <c r="G947" s="23"/>
      <c r="H947" s="22"/>
      <c r="I947" s="22"/>
      <c r="J947" s="22"/>
      <c r="K947" s="22"/>
      <c r="L947" s="22"/>
      <c r="M947" s="22"/>
      <c r="N947" s="22"/>
      <c r="O947" s="22" t="str">
        <f>IF(B947="","",IFERROR(LOOKUP(2,1/('Call Log'!$C$2:$C$5000=B947),'Call Log'!$B$2:$B$5000),""))</f>
        <v/>
      </c>
      <c r="P947" s="22" t="str">
        <f>IF(B947="","",COUNTIFS('Call Log'!$C$2:$C$5000,B947,'Call Log'!$A$2:$A$5000,"&gt;="&amp;(TODAY()-WEEKDAY(TODAY(),2)+1)))</f>
        <v/>
      </c>
      <c r="Q947" s="22" t="str">
        <f>IF(B947="","",COUNTIF('Call Log'!$C$2:$C$5000,B947))</f>
        <v/>
      </c>
      <c r="R947" s="24" t="str">
        <f>IF(B947="","",IFERROR(IF(MAXIFS('Call Log'!$A$2:$A$5000,'Call Log'!$C$2:$C$5000,B947)=0,"",MAXIFS('Call Log'!$A$2:$A$5000,'Call Log'!$C$2:$C$5000,B947)),""))</f>
        <v/>
      </c>
      <c r="S947" s="22"/>
      <c r="T947" s="24"/>
      <c r="U947" s="24"/>
      <c r="V947" s="22"/>
      <c r="W947" s="23"/>
      <c r="X947" s="22"/>
      <c r="Y947" s="22"/>
      <c r="Z947" s="22"/>
      <c r="AA947" s="22"/>
    </row>
    <row r="948" ht="15.0" customHeight="1">
      <c r="A948" s="22"/>
      <c r="B948" s="22"/>
      <c r="C948" s="22"/>
      <c r="D948" s="22"/>
      <c r="E948" s="22"/>
      <c r="F948" s="23"/>
      <c r="G948" s="23"/>
      <c r="H948" s="22"/>
      <c r="I948" s="22"/>
      <c r="J948" s="22"/>
      <c r="K948" s="22"/>
      <c r="L948" s="22"/>
      <c r="M948" s="22"/>
      <c r="N948" s="22"/>
      <c r="O948" s="22" t="str">
        <f>IF(B948="","",IFERROR(LOOKUP(2,1/('Call Log'!$C$2:$C$5000=B948),'Call Log'!$B$2:$B$5000),""))</f>
        <v/>
      </c>
      <c r="P948" s="22" t="str">
        <f>IF(B948="","",COUNTIFS('Call Log'!$C$2:$C$5000,B948,'Call Log'!$A$2:$A$5000,"&gt;="&amp;(TODAY()-WEEKDAY(TODAY(),2)+1)))</f>
        <v/>
      </c>
      <c r="Q948" s="22" t="str">
        <f>IF(B948="","",COUNTIF('Call Log'!$C$2:$C$5000,B948))</f>
        <v/>
      </c>
      <c r="R948" s="24" t="str">
        <f>IF(B948="","",IFERROR(IF(MAXIFS('Call Log'!$A$2:$A$5000,'Call Log'!$C$2:$C$5000,B948)=0,"",MAXIFS('Call Log'!$A$2:$A$5000,'Call Log'!$C$2:$C$5000,B948)),""))</f>
        <v/>
      </c>
      <c r="S948" s="22"/>
      <c r="T948" s="24"/>
      <c r="U948" s="24"/>
      <c r="V948" s="22"/>
      <c r="W948" s="23"/>
      <c r="X948" s="22"/>
      <c r="Y948" s="22"/>
      <c r="Z948" s="22"/>
      <c r="AA948" s="22"/>
    </row>
    <row r="949" ht="15.0" customHeight="1">
      <c r="A949" s="22"/>
      <c r="B949" s="22"/>
      <c r="C949" s="22"/>
      <c r="D949" s="22"/>
      <c r="E949" s="22"/>
      <c r="F949" s="23"/>
      <c r="G949" s="23"/>
      <c r="H949" s="22"/>
      <c r="I949" s="22"/>
      <c r="J949" s="22"/>
      <c r="K949" s="22"/>
      <c r="L949" s="22"/>
      <c r="M949" s="22"/>
      <c r="N949" s="22"/>
      <c r="O949" s="22" t="str">
        <f>IF(B949="","",IFERROR(LOOKUP(2,1/('Call Log'!$C$2:$C$5000=B949),'Call Log'!$B$2:$B$5000),""))</f>
        <v/>
      </c>
      <c r="P949" s="22" t="str">
        <f>IF(B949="","",COUNTIFS('Call Log'!$C$2:$C$5000,B949,'Call Log'!$A$2:$A$5000,"&gt;="&amp;(TODAY()-WEEKDAY(TODAY(),2)+1)))</f>
        <v/>
      </c>
      <c r="Q949" s="22" t="str">
        <f>IF(B949="","",COUNTIF('Call Log'!$C$2:$C$5000,B949))</f>
        <v/>
      </c>
      <c r="R949" s="24" t="str">
        <f>IF(B949="","",IFERROR(IF(MAXIFS('Call Log'!$A$2:$A$5000,'Call Log'!$C$2:$C$5000,B949)=0,"",MAXIFS('Call Log'!$A$2:$A$5000,'Call Log'!$C$2:$C$5000,B949)),""))</f>
        <v/>
      </c>
      <c r="S949" s="22"/>
      <c r="T949" s="24"/>
      <c r="U949" s="24"/>
      <c r="V949" s="22"/>
      <c r="W949" s="23"/>
      <c r="X949" s="22"/>
      <c r="Y949" s="22"/>
      <c r="Z949" s="22"/>
      <c r="AA949" s="22"/>
    </row>
    <row r="950" ht="15.0" customHeight="1">
      <c r="A950" s="22"/>
      <c r="B950" s="22"/>
      <c r="C950" s="22"/>
      <c r="D950" s="22"/>
      <c r="E950" s="22"/>
      <c r="F950" s="23"/>
      <c r="G950" s="23"/>
      <c r="H950" s="22"/>
      <c r="I950" s="22"/>
      <c r="J950" s="22"/>
      <c r="K950" s="22"/>
      <c r="L950" s="22"/>
      <c r="M950" s="22"/>
      <c r="N950" s="22"/>
      <c r="O950" s="22" t="str">
        <f>IF(B950="","",IFERROR(LOOKUP(2,1/('Call Log'!$C$2:$C$5000=B950),'Call Log'!$B$2:$B$5000),""))</f>
        <v/>
      </c>
      <c r="P950" s="22" t="str">
        <f>IF(B950="","",COUNTIFS('Call Log'!$C$2:$C$5000,B950,'Call Log'!$A$2:$A$5000,"&gt;="&amp;(TODAY()-WEEKDAY(TODAY(),2)+1)))</f>
        <v/>
      </c>
      <c r="Q950" s="22" t="str">
        <f>IF(B950="","",COUNTIF('Call Log'!$C$2:$C$5000,B950))</f>
        <v/>
      </c>
      <c r="R950" s="24" t="str">
        <f>IF(B950="","",IFERROR(IF(MAXIFS('Call Log'!$A$2:$A$5000,'Call Log'!$C$2:$C$5000,B950)=0,"",MAXIFS('Call Log'!$A$2:$A$5000,'Call Log'!$C$2:$C$5000,B950)),""))</f>
        <v/>
      </c>
      <c r="S950" s="22"/>
      <c r="T950" s="24"/>
      <c r="U950" s="24"/>
      <c r="V950" s="22"/>
      <c r="W950" s="23"/>
      <c r="X950" s="22"/>
      <c r="Y950" s="22"/>
      <c r="Z950" s="22"/>
      <c r="AA950" s="22"/>
    </row>
    <row r="951" ht="15.0" customHeight="1">
      <c r="A951" s="22"/>
      <c r="B951" s="22"/>
      <c r="C951" s="22"/>
      <c r="D951" s="22"/>
      <c r="E951" s="22"/>
      <c r="F951" s="23"/>
      <c r="G951" s="23"/>
      <c r="H951" s="22"/>
      <c r="I951" s="22"/>
      <c r="J951" s="22"/>
      <c r="K951" s="22"/>
      <c r="L951" s="22"/>
      <c r="M951" s="22"/>
      <c r="N951" s="22"/>
      <c r="O951" s="22" t="str">
        <f>IF(B951="","",IFERROR(LOOKUP(2,1/('Call Log'!$C$2:$C$5000=B951),'Call Log'!$B$2:$B$5000),""))</f>
        <v/>
      </c>
      <c r="P951" s="22" t="str">
        <f>IF(B951="","",COUNTIFS('Call Log'!$C$2:$C$5000,B951,'Call Log'!$A$2:$A$5000,"&gt;="&amp;(TODAY()-WEEKDAY(TODAY(),2)+1)))</f>
        <v/>
      </c>
      <c r="Q951" s="22" t="str">
        <f>IF(B951="","",COUNTIF('Call Log'!$C$2:$C$5000,B951))</f>
        <v/>
      </c>
      <c r="R951" s="24" t="str">
        <f>IF(B951="","",IFERROR(IF(MAXIFS('Call Log'!$A$2:$A$5000,'Call Log'!$C$2:$C$5000,B951)=0,"",MAXIFS('Call Log'!$A$2:$A$5000,'Call Log'!$C$2:$C$5000,B951)),""))</f>
        <v/>
      </c>
      <c r="S951" s="22"/>
      <c r="T951" s="24"/>
      <c r="U951" s="24"/>
      <c r="V951" s="22"/>
      <c r="W951" s="23"/>
      <c r="X951" s="22"/>
      <c r="Y951" s="22"/>
      <c r="Z951" s="22"/>
      <c r="AA951" s="22"/>
    </row>
    <row r="952" ht="15.0" customHeight="1">
      <c r="A952" s="22"/>
      <c r="B952" s="22"/>
      <c r="C952" s="22"/>
      <c r="D952" s="22"/>
      <c r="E952" s="22"/>
      <c r="F952" s="23"/>
      <c r="G952" s="23"/>
      <c r="H952" s="22"/>
      <c r="I952" s="22"/>
      <c r="J952" s="22"/>
      <c r="K952" s="22"/>
      <c r="L952" s="22"/>
      <c r="M952" s="22"/>
      <c r="N952" s="22"/>
      <c r="O952" s="22" t="str">
        <f>IF(B952="","",IFERROR(LOOKUP(2,1/('Call Log'!$C$2:$C$5000=B952),'Call Log'!$B$2:$B$5000),""))</f>
        <v/>
      </c>
      <c r="P952" s="22" t="str">
        <f>IF(B952="","",COUNTIFS('Call Log'!$C$2:$C$5000,B952,'Call Log'!$A$2:$A$5000,"&gt;="&amp;(TODAY()-WEEKDAY(TODAY(),2)+1)))</f>
        <v/>
      </c>
      <c r="Q952" s="22" t="str">
        <f>IF(B952="","",COUNTIF('Call Log'!$C$2:$C$5000,B952))</f>
        <v/>
      </c>
      <c r="R952" s="24" t="str">
        <f>IF(B952="","",IFERROR(IF(MAXIFS('Call Log'!$A$2:$A$5000,'Call Log'!$C$2:$C$5000,B952)=0,"",MAXIFS('Call Log'!$A$2:$A$5000,'Call Log'!$C$2:$C$5000,B952)),""))</f>
        <v/>
      </c>
      <c r="S952" s="22"/>
      <c r="T952" s="24"/>
      <c r="U952" s="24"/>
      <c r="V952" s="22"/>
      <c r="W952" s="23"/>
      <c r="X952" s="22"/>
      <c r="Y952" s="22"/>
      <c r="Z952" s="22"/>
      <c r="AA952" s="22"/>
    </row>
    <row r="953" ht="15.0" customHeight="1">
      <c r="A953" s="22"/>
      <c r="B953" s="22"/>
      <c r="C953" s="22"/>
      <c r="D953" s="22"/>
      <c r="E953" s="22"/>
      <c r="F953" s="23"/>
      <c r="G953" s="23"/>
      <c r="H953" s="22"/>
      <c r="I953" s="22"/>
      <c r="J953" s="22"/>
      <c r="K953" s="22"/>
      <c r="L953" s="22"/>
      <c r="M953" s="22"/>
      <c r="N953" s="22"/>
      <c r="O953" s="22" t="str">
        <f>IF(B953="","",IFERROR(LOOKUP(2,1/('Call Log'!$C$2:$C$5000=B953),'Call Log'!$B$2:$B$5000),""))</f>
        <v/>
      </c>
      <c r="P953" s="22" t="str">
        <f>IF(B953="","",COUNTIFS('Call Log'!$C$2:$C$5000,B953,'Call Log'!$A$2:$A$5000,"&gt;="&amp;(TODAY()-WEEKDAY(TODAY(),2)+1)))</f>
        <v/>
      </c>
      <c r="Q953" s="22" t="str">
        <f>IF(B953="","",COUNTIF('Call Log'!$C$2:$C$5000,B953))</f>
        <v/>
      </c>
      <c r="R953" s="24" t="str">
        <f>IF(B953="","",IFERROR(IF(MAXIFS('Call Log'!$A$2:$A$5000,'Call Log'!$C$2:$C$5000,B953)=0,"",MAXIFS('Call Log'!$A$2:$A$5000,'Call Log'!$C$2:$C$5000,B953)),""))</f>
        <v/>
      </c>
      <c r="S953" s="22"/>
      <c r="T953" s="24"/>
      <c r="U953" s="24"/>
      <c r="V953" s="22"/>
      <c r="W953" s="23"/>
      <c r="X953" s="22"/>
      <c r="Y953" s="22"/>
      <c r="Z953" s="22"/>
      <c r="AA953" s="22"/>
    </row>
    <row r="954" ht="15.0" customHeight="1">
      <c r="A954" s="22"/>
      <c r="B954" s="22"/>
      <c r="C954" s="22"/>
      <c r="D954" s="22"/>
      <c r="E954" s="22"/>
      <c r="F954" s="23"/>
      <c r="G954" s="23"/>
      <c r="H954" s="22"/>
      <c r="I954" s="22"/>
      <c r="J954" s="22"/>
      <c r="K954" s="22"/>
      <c r="L954" s="22"/>
      <c r="M954" s="22"/>
      <c r="N954" s="22"/>
      <c r="O954" s="22" t="str">
        <f>IF(B954="","",IFERROR(LOOKUP(2,1/('Call Log'!$C$2:$C$5000=B954),'Call Log'!$B$2:$B$5000),""))</f>
        <v/>
      </c>
      <c r="P954" s="22" t="str">
        <f>IF(B954="","",COUNTIFS('Call Log'!$C$2:$C$5000,B954,'Call Log'!$A$2:$A$5000,"&gt;="&amp;(TODAY()-WEEKDAY(TODAY(),2)+1)))</f>
        <v/>
      </c>
      <c r="Q954" s="22" t="str">
        <f>IF(B954="","",COUNTIF('Call Log'!$C$2:$C$5000,B954))</f>
        <v/>
      </c>
      <c r="R954" s="24" t="str">
        <f>IF(B954="","",IFERROR(IF(MAXIFS('Call Log'!$A$2:$A$5000,'Call Log'!$C$2:$C$5000,B954)=0,"",MAXIFS('Call Log'!$A$2:$A$5000,'Call Log'!$C$2:$C$5000,B954)),""))</f>
        <v/>
      </c>
      <c r="S954" s="22"/>
      <c r="T954" s="24"/>
      <c r="U954" s="24"/>
      <c r="V954" s="22"/>
      <c r="W954" s="23"/>
      <c r="X954" s="22"/>
      <c r="Y954" s="22"/>
      <c r="Z954" s="22"/>
      <c r="AA954" s="22"/>
    </row>
    <row r="955" ht="15.0" customHeight="1">
      <c r="A955" s="22"/>
      <c r="B955" s="22"/>
      <c r="C955" s="22"/>
      <c r="D955" s="22"/>
      <c r="E955" s="22"/>
      <c r="F955" s="23"/>
      <c r="G955" s="23"/>
      <c r="H955" s="22"/>
      <c r="I955" s="22"/>
      <c r="J955" s="22"/>
      <c r="K955" s="22"/>
      <c r="L955" s="22"/>
      <c r="M955" s="22"/>
      <c r="N955" s="22"/>
      <c r="O955" s="22" t="str">
        <f>IF(B955="","",IFERROR(LOOKUP(2,1/('Call Log'!$C$2:$C$5000=B955),'Call Log'!$B$2:$B$5000),""))</f>
        <v/>
      </c>
      <c r="P955" s="22" t="str">
        <f>IF(B955="","",COUNTIFS('Call Log'!$C$2:$C$5000,B955,'Call Log'!$A$2:$A$5000,"&gt;="&amp;(TODAY()-WEEKDAY(TODAY(),2)+1)))</f>
        <v/>
      </c>
      <c r="Q955" s="22" t="str">
        <f>IF(B955="","",COUNTIF('Call Log'!$C$2:$C$5000,B955))</f>
        <v/>
      </c>
      <c r="R955" s="24" t="str">
        <f>IF(B955="","",IFERROR(IF(MAXIFS('Call Log'!$A$2:$A$5000,'Call Log'!$C$2:$C$5000,B955)=0,"",MAXIFS('Call Log'!$A$2:$A$5000,'Call Log'!$C$2:$C$5000,B955)),""))</f>
        <v/>
      </c>
      <c r="S955" s="22"/>
      <c r="T955" s="24"/>
      <c r="U955" s="24"/>
      <c r="V955" s="22"/>
      <c r="W955" s="23"/>
      <c r="X955" s="22"/>
      <c r="Y955" s="22"/>
      <c r="Z955" s="22"/>
      <c r="AA955" s="22"/>
    </row>
    <row r="956" ht="15.0" customHeight="1">
      <c r="A956" s="22"/>
      <c r="B956" s="22"/>
      <c r="C956" s="22"/>
      <c r="D956" s="22"/>
      <c r="E956" s="22"/>
      <c r="F956" s="23"/>
      <c r="G956" s="23"/>
      <c r="H956" s="22"/>
      <c r="I956" s="22"/>
      <c r="J956" s="22"/>
      <c r="K956" s="22"/>
      <c r="L956" s="22"/>
      <c r="M956" s="22"/>
      <c r="N956" s="22"/>
      <c r="O956" s="22" t="str">
        <f>IF(B956="","",IFERROR(LOOKUP(2,1/('Call Log'!$C$2:$C$5000=B956),'Call Log'!$B$2:$B$5000),""))</f>
        <v/>
      </c>
      <c r="P956" s="22" t="str">
        <f>IF(B956="","",COUNTIFS('Call Log'!$C$2:$C$5000,B956,'Call Log'!$A$2:$A$5000,"&gt;="&amp;(TODAY()-WEEKDAY(TODAY(),2)+1)))</f>
        <v/>
      </c>
      <c r="Q956" s="22" t="str">
        <f>IF(B956="","",COUNTIF('Call Log'!$C$2:$C$5000,B956))</f>
        <v/>
      </c>
      <c r="R956" s="24" t="str">
        <f>IF(B956="","",IFERROR(IF(MAXIFS('Call Log'!$A$2:$A$5000,'Call Log'!$C$2:$C$5000,B956)=0,"",MAXIFS('Call Log'!$A$2:$A$5000,'Call Log'!$C$2:$C$5000,B956)),""))</f>
        <v/>
      </c>
      <c r="S956" s="22"/>
      <c r="T956" s="24"/>
      <c r="U956" s="24"/>
      <c r="V956" s="22"/>
      <c r="W956" s="23"/>
      <c r="X956" s="22"/>
      <c r="Y956" s="22"/>
      <c r="Z956" s="22"/>
      <c r="AA956" s="22"/>
    </row>
    <row r="957" ht="15.0" customHeight="1">
      <c r="A957" s="22"/>
      <c r="B957" s="22"/>
      <c r="C957" s="22"/>
      <c r="D957" s="22"/>
      <c r="E957" s="22"/>
      <c r="F957" s="23"/>
      <c r="G957" s="23"/>
      <c r="H957" s="22"/>
      <c r="I957" s="22"/>
      <c r="J957" s="22"/>
      <c r="K957" s="22"/>
      <c r="L957" s="22"/>
      <c r="M957" s="22"/>
      <c r="N957" s="22"/>
      <c r="O957" s="22" t="str">
        <f>IF(B957="","",IFERROR(LOOKUP(2,1/('Call Log'!$C$2:$C$5000=B957),'Call Log'!$B$2:$B$5000),""))</f>
        <v/>
      </c>
      <c r="P957" s="22" t="str">
        <f>IF(B957="","",COUNTIFS('Call Log'!$C$2:$C$5000,B957,'Call Log'!$A$2:$A$5000,"&gt;="&amp;(TODAY()-WEEKDAY(TODAY(),2)+1)))</f>
        <v/>
      </c>
      <c r="Q957" s="22" t="str">
        <f>IF(B957="","",COUNTIF('Call Log'!$C$2:$C$5000,B957))</f>
        <v/>
      </c>
      <c r="R957" s="24" t="str">
        <f>IF(B957="","",IFERROR(IF(MAXIFS('Call Log'!$A$2:$A$5000,'Call Log'!$C$2:$C$5000,B957)=0,"",MAXIFS('Call Log'!$A$2:$A$5000,'Call Log'!$C$2:$C$5000,B957)),""))</f>
        <v/>
      </c>
      <c r="S957" s="22"/>
      <c r="T957" s="24"/>
      <c r="U957" s="24"/>
      <c r="V957" s="22"/>
      <c r="W957" s="23"/>
      <c r="X957" s="22"/>
      <c r="Y957" s="22"/>
      <c r="Z957" s="22"/>
      <c r="AA957" s="22"/>
    </row>
    <row r="958" ht="15.0" customHeight="1">
      <c r="A958" s="22"/>
      <c r="B958" s="22"/>
      <c r="C958" s="22"/>
      <c r="D958" s="22"/>
      <c r="E958" s="22"/>
      <c r="F958" s="23"/>
      <c r="G958" s="23"/>
      <c r="H958" s="22"/>
      <c r="I958" s="22"/>
      <c r="J958" s="22"/>
      <c r="K958" s="22"/>
      <c r="L958" s="22"/>
      <c r="M958" s="22"/>
      <c r="N958" s="22"/>
      <c r="O958" s="22" t="str">
        <f>IF(B958="","",IFERROR(LOOKUP(2,1/('Call Log'!$C$2:$C$5000=B958),'Call Log'!$B$2:$B$5000),""))</f>
        <v/>
      </c>
      <c r="P958" s="22" t="str">
        <f>IF(B958="","",COUNTIFS('Call Log'!$C$2:$C$5000,B958,'Call Log'!$A$2:$A$5000,"&gt;="&amp;(TODAY()-WEEKDAY(TODAY(),2)+1)))</f>
        <v/>
      </c>
      <c r="Q958" s="22" t="str">
        <f>IF(B958="","",COUNTIF('Call Log'!$C$2:$C$5000,B958))</f>
        <v/>
      </c>
      <c r="R958" s="24" t="str">
        <f>IF(B958="","",IFERROR(IF(MAXIFS('Call Log'!$A$2:$A$5000,'Call Log'!$C$2:$C$5000,B958)=0,"",MAXIFS('Call Log'!$A$2:$A$5000,'Call Log'!$C$2:$C$5000,B958)),""))</f>
        <v/>
      </c>
      <c r="S958" s="22"/>
      <c r="T958" s="24"/>
      <c r="U958" s="24"/>
      <c r="V958" s="22"/>
      <c r="W958" s="23"/>
      <c r="X958" s="22"/>
      <c r="Y958" s="22"/>
      <c r="Z958" s="22"/>
      <c r="AA958" s="22"/>
    </row>
    <row r="959" ht="15.0" customHeight="1">
      <c r="A959" s="22"/>
      <c r="B959" s="22"/>
      <c r="C959" s="22"/>
      <c r="D959" s="22"/>
      <c r="E959" s="22"/>
      <c r="F959" s="23"/>
      <c r="G959" s="23"/>
      <c r="H959" s="22"/>
      <c r="I959" s="22"/>
      <c r="J959" s="22"/>
      <c r="K959" s="22"/>
      <c r="L959" s="22"/>
      <c r="M959" s="22"/>
      <c r="N959" s="22"/>
      <c r="O959" s="22" t="str">
        <f>IF(B959="","",IFERROR(LOOKUP(2,1/('Call Log'!$C$2:$C$5000=B959),'Call Log'!$B$2:$B$5000),""))</f>
        <v/>
      </c>
      <c r="P959" s="22" t="str">
        <f>IF(B959="","",COUNTIFS('Call Log'!$C$2:$C$5000,B959,'Call Log'!$A$2:$A$5000,"&gt;="&amp;(TODAY()-WEEKDAY(TODAY(),2)+1)))</f>
        <v/>
      </c>
      <c r="Q959" s="22" t="str">
        <f>IF(B959="","",COUNTIF('Call Log'!$C$2:$C$5000,B959))</f>
        <v/>
      </c>
      <c r="R959" s="24" t="str">
        <f>IF(B959="","",IFERROR(IF(MAXIFS('Call Log'!$A$2:$A$5000,'Call Log'!$C$2:$C$5000,B959)=0,"",MAXIFS('Call Log'!$A$2:$A$5000,'Call Log'!$C$2:$C$5000,B959)),""))</f>
        <v/>
      </c>
      <c r="S959" s="22"/>
      <c r="T959" s="24"/>
      <c r="U959" s="24"/>
      <c r="V959" s="22"/>
      <c r="W959" s="23"/>
      <c r="X959" s="22"/>
      <c r="Y959" s="22"/>
      <c r="Z959" s="22"/>
      <c r="AA959" s="22"/>
    </row>
    <row r="960" ht="15.0" customHeight="1">
      <c r="A960" s="22"/>
      <c r="B960" s="22"/>
      <c r="C960" s="22"/>
      <c r="D960" s="22"/>
      <c r="E960" s="22"/>
      <c r="F960" s="23"/>
      <c r="G960" s="23"/>
      <c r="H960" s="22"/>
      <c r="I960" s="22"/>
      <c r="J960" s="22"/>
      <c r="K960" s="22"/>
      <c r="L960" s="22"/>
      <c r="M960" s="22"/>
      <c r="N960" s="22"/>
      <c r="O960" s="22" t="str">
        <f>IF(B960="","",IFERROR(LOOKUP(2,1/('Call Log'!$C$2:$C$5000=B960),'Call Log'!$B$2:$B$5000),""))</f>
        <v/>
      </c>
      <c r="P960" s="22" t="str">
        <f>IF(B960="","",COUNTIFS('Call Log'!$C$2:$C$5000,B960,'Call Log'!$A$2:$A$5000,"&gt;="&amp;(TODAY()-WEEKDAY(TODAY(),2)+1)))</f>
        <v/>
      </c>
      <c r="Q960" s="22" t="str">
        <f>IF(B960="","",COUNTIF('Call Log'!$C$2:$C$5000,B960))</f>
        <v/>
      </c>
      <c r="R960" s="24" t="str">
        <f>IF(B960="","",IFERROR(IF(MAXIFS('Call Log'!$A$2:$A$5000,'Call Log'!$C$2:$C$5000,B960)=0,"",MAXIFS('Call Log'!$A$2:$A$5000,'Call Log'!$C$2:$C$5000,B960)),""))</f>
        <v/>
      </c>
      <c r="S960" s="22"/>
      <c r="T960" s="24"/>
      <c r="U960" s="24"/>
      <c r="V960" s="22"/>
      <c r="W960" s="23"/>
      <c r="X960" s="22"/>
      <c r="Y960" s="22"/>
      <c r="Z960" s="22"/>
      <c r="AA960" s="22"/>
    </row>
    <row r="961" ht="15.0" customHeight="1">
      <c r="A961" s="22"/>
      <c r="B961" s="22"/>
      <c r="C961" s="22"/>
      <c r="D961" s="22"/>
      <c r="E961" s="22"/>
      <c r="F961" s="23"/>
      <c r="G961" s="23"/>
      <c r="H961" s="22"/>
      <c r="I961" s="22"/>
      <c r="J961" s="22"/>
      <c r="K961" s="22"/>
      <c r="L961" s="22"/>
      <c r="M961" s="22"/>
      <c r="N961" s="22"/>
      <c r="O961" s="22" t="str">
        <f>IF(B961="","",IFERROR(LOOKUP(2,1/('Call Log'!$C$2:$C$5000=B961),'Call Log'!$B$2:$B$5000),""))</f>
        <v/>
      </c>
      <c r="P961" s="22" t="str">
        <f>IF(B961="","",COUNTIFS('Call Log'!$C$2:$C$5000,B961,'Call Log'!$A$2:$A$5000,"&gt;="&amp;(TODAY()-WEEKDAY(TODAY(),2)+1)))</f>
        <v/>
      </c>
      <c r="Q961" s="22" t="str">
        <f>IF(B961="","",COUNTIF('Call Log'!$C$2:$C$5000,B961))</f>
        <v/>
      </c>
      <c r="R961" s="24" t="str">
        <f>IF(B961="","",IFERROR(IF(MAXIFS('Call Log'!$A$2:$A$5000,'Call Log'!$C$2:$C$5000,B961)=0,"",MAXIFS('Call Log'!$A$2:$A$5000,'Call Log'!$C$2:$C$5000,B961)),""))</f>
        <v/>
      </c>
      <c r="S961" s="22"/>
      <c r="T961" s="24"/>
      <c r="U961" s="24"/>
      <c r="V961" s="22"/>
      <c r="W961" s="23"/>
      <c r="X961" s="22"/>
      <c r="Y961" s="22"/>
      <c r="Z961" s="22"/>
      <c r="AA961" s="22"/>
    </row>
    <row r="962" ht="15.0" customHeight="1">
      <c r="A962" s="22"/>
      <c r="B962" s="22"/>
      <c r="C962" s="22"/>
      <c r="D962" s="22"/>
      <c r="E962" s="22"/>
      <c r="F962" s="23"/>
      <c r="G962" s="23"/>
      <c r="H962" s="22"/>
      <c r="I962" s="22"/>
      <c r="J962" s="22"/>
      <c r="K962" s="22"/>
      <c r="L962" s="22"/>
      <c r="M962" s="22"/>
      <c r="N962" s="22"/>
      <c r="O962" s="22" t="str">
        <f>IF(B962="","",IFERROR(LOOKUP(2,1/('Call Log'!$C$2:$C$5000=B962),'Call Log'!$B$2:$B$5000),""))</f>
        <v/>
      </c>
      <c r="P962" s="22" t="str">
        <f>IF(B962="","",COUNTIFS('Call Log'!$C$2:$C$5000,B962,'Call Log'!$A$2:$A$5000,"&gt;="&amp;(TODAY()-WEEKDAY(TODAY(),2)+1)))</f>
        <v/>
      </c>
      <c r="Q962" s="22" t="str">
        <f>IF(B962="","",COUNTIF('Call Log'!$C$2:$C$5000,B962))</f>
        <v/>
      </c>
      <c r="R962" s="24" t="str">
        <f>IF(B962="","",IFERROR(IF(MAXIFS('Call Log'!$A$2:$A$5000,'Call Log'!$C$2:$C$5000,B962)=0,"",MAXIFS('Call Log'!$A$2:$A$5000,'Call Log'!$C$2:$C$5000,B962)),""))</f>
        <v/>
      </c>
      <c r="S962" s="22"/>
      <c r="T962" s="24"/>
      <c r="U962" s="24"/>
      <c r="V962" s="22"/>
      <c r="W962" s="23"/>
      <c r="X962" s="22"/>
      <c r="Y962" s="22"/>
      <c r="Z962" s="22"/>
      <c r="AA962" s="22"/>
    </row>
    <row r="963" ht="15.0" customHeight="1">
      <c r="A963" s="22"/>
      <c r="B963" s="22"/>
      <c r="C963" s="22"/>
      <c r="D963" s="22"/>
      <c r="E963" s="22"/>
      <c r="F963" s="23"/>
      <c r="G963" s="23"/>
      <c r="H963" s="22"/>
      <c r="I963" s="22"/>
      <c r="J963" s="22"/>
      <c r="K963" s="22"/>
      <c r="L963" s="22"/>
      <c r="M963" s="22"/>
      <c r="N963" s="22"/>
      <c r="O963" s="22" t="str">
        <f>IF(B963="","",IFERROR(LOOKUP(2,1/('Call Log'!$C$2:$C$5000=B963),'Call Log'!$B$2:$B$5000),""))</f>
        <v/>
      </c>
      <c r="P963" s="22" t="str">
        <f>IF(B963="","",COUNTIFS('Call Log'!$C$2:$C$5000,B963,'Call Log'!$A$2:$A$5000,"&gt;="&amp;(TODAY()-WEEKDAY(TODAY(),2)+1)))</f>
        <v/>
      </c>
      <c r="Q963" s="22" t="str">
        <f>IF(B963="","",COUNTIF('Call Log'!$C$2:$C$5000,B963))</f>
        <v/>
      </c>
      <c r="R963" s="24" t="str">
        <f>IF(B963="","",IFERROR(IF(MAXIFS('Call Log'!$A$2:$A$5000,'Call Log'!$C$2:$C$5000,B963)=0,"",MAXIFS('Call Log'!$A$2:$A$5000,'Call Log'!$C$2:$C$5000,B963)),""))</f>
        <v/>
      </c>
      <c r="S963" s="22"/>
      <c r="T963" s="24"/>
      <c r="U963" s="24"/>
      <c r="V963" s="22"/>
      <c r="W963" s="23"/>
      <c r="X963" s="22"/>
      <c r="Y963" s="22"/>
      <c r="Z963" s="22"/>
      <c r="AA963" s="22"/>
    </row>
    <row r="964" ht="15.0" customHeight="1">
      <c r="A964" s="22"/>
      <c r="B964" s="22"/>
      <c r="C964" s="22"/>
      <c r="D964" s="22"/>
      <c r="E964" s="22"/>
      <c r="F964" s="23"/>
      <c r="G964" s="23"/>
      <c r="H964" s="22"/>
      <c r="I964" s="22"/>
      <c r="J964" s="22"/>
      <c r="K964" s="22"/>
      <c r="L964" s="22"/>
      <c r="M964" s="22"/>
      <c r="N964" s="22"/>
      <c r="O964" s="22" t="str">
        <f>IF(B964="","",IFERROR(LOOKUP(2,1/('Call Log'!$C$2:$C$5000=B964),'Call Log'!$B$2:$B$5000),""))</f>
        <v/>
      </c>
      <c r="P964" s="22" t="str">
        <f>IF(B964="","",COUNTIFS('Call Log'!$C$2:$C$5000,B964,'Call Log'!$A$2:$A$5000,"&gt;="&amp;(TODAY()-WEEKDAY(TODAY(),2)+1)))</f>
        <v/>
      </c>
      <c r="Q964" s="22" t="str">
        <f>IF(B964="","",COUNTIF('Call Log'!$C$2:$C$5000,B964))</f>
        <v/>
      </c>
      <c r="R964" s="24" t="str">
        <f>IF(B964="","",IFERROR(IF(MAXIFS('Call Log'!$A$2:$A$5000,'Call Log'!$C$2:$C$5000,B964)=0,"",MAXIFS('Call Log'!$A$2:$A$5000,'Call Log'!$C$2:$C$5000,B964)),""))</f>
        <v/>
      </c>
      <c r="S964" s="22"/>
      <c r="T964" s="24"/>
      <c r="U964" s="24"/>
      <c r="V964" s="22"/>
      <c r="W964" s="23"/>
      <c r="X964" s="22"/>
      <c r="Y964" s="22"/>
      <c r="Z964" s="22"/>
      <c r="AA964" s="22"/>
    </row>
    <row r="965" ht="15.0" customHeight="1">
      <c r="A965" s="22"/>
      <c r="B965" s="22"/>
      <c r="C965" s="22"/>
      <c r="D965" s="22"/>
      <c r="E965" s="22"/>
      <c r="F965" s="23"/>
      <c r="G965" s="23"/>
      <c r="H965" s="22"/>
      <c r="I965" s="22"/>
      <c r="J965" s="22"/>
      <c r="K965" s="22"/>
      <c r="L965" s="22"/>
      <c r="M965" s="22"/>
      <c r="N965" s="22"/>
      <c r="O965" s="22" t="str">
        <f>IF(B965="","",IFERROR(LOOKUP(2,1/('Call Log'!$C$2:$C$5000=B965),'Call Log'!$B$2:$B$5000),""))</f>
        <v/>
      </c>
      <c r="P965" s="22" t="str">
        <f>IF(B965="","",COUNTIFS('Call Log'!$C$2:$C$5000,B965,'Call Log'!$A$2:$A$5000,"&gt;="&amp;(TODAY()-WEEKDAY(TODAY(),2)+1)))</f>
        <v/>
      </c>
      <c r="Q965" s="22" t="str">
        <f>IF(B965="","",COUNTIF('Call Log'!$C$2:$C$5000,B965))</f>
        <v/>
      </c>
      <c r="R965" s="24" t="str">
        <f>IF(B965="","",IFERROR(IF(MAXIFS('Call Log'!$A$2:$A$5000,'Call Log'!$C$2:$C$5000,B965)=0,"",MAXIFS('Call Log'!$A$2:$A$5000,'Call Log'!$C$2:$C$5000,B965)),""))</f>
        <v/>
      </c>
      <c r="S965" s="22"/>
      <c r="T965" s="24"/>
      <c r="U965" s="24"/>
      <c r="V965" s="22"/>
      <c r="W965" s="23"/>
      <c r="X965" s="22"/>
      <c r="Y965" s="22"/>
      <c r="Z965" s="22"/>
      <c r="AA965" s="22"/>
    </row>
    <row r="966" ht="15.0" customHeight="1">
      <c r="A966" s="22"/>
      <c r="B966" s="22"/>
      <c r="C966" s="22"/>
      <c r="D966" s="22"/>
      <c r="E966" s="22"/>
      <c r="F966" s="23"/>
      <c r="G966" s="23"/>
      <c r="H966" s="22"/>
      <c r="I966" s="22"/>
      <c r="J966" s="22"/>
      <c r="K966" s="22"/>
      <c r="L966" s="22"/>
      <c r="M966" s="22"/>
      <c r="N966" s="22"/>
      <c r="O966" s="22" t="str">
        <f>IF(B966="","",IFERROR(LOOKUP(2,1/('Call Log'!$C$2:$C$5000=B966),'Call Log'!$B$2:$B$5000),""))</f>
        <v/>
      </c>
      <c r="P966" s="22" t="str">
        <f>IF(B966="","",COUNTIFS('Call Log'!$C$2:$C$5000,B966,'Call Log'!$A$2:$A$5000,"&gt;="&amp;(TODAY()-WEEKDAY(TODAY(),2)+1)))</f>
        <v/>
      </c>
      <c r="Q966" s="22" t="str">
        <f>IF(B966="","",COUNTIF('Call Log'!$C$2:$C$5000,B966))</f>
        <v/>
      </c>
      <c r="R966" s="24" t="str">
        <f>IF(B966="","",IFERROR(IF(MAXIFS('Call Log'!$A$2:$A$5000,'Call Log'!$C$2:$C$5000,B966)=0,"",MAXIFS('Call Log'!$A$2:$A$5000,'Call Log'!$C$2:$C$5000,B966)),""))</f>
        <v/>
      </c>
      <c r="S966" s="22"/>
      <c r="T966" s="24"/>
      <c r="U966" s="24"/>
      <c r="V966" s="22"/>
      <c r="W966" s="23"/>
      <c r="X966" s="22"/>
      <c r="Y966" s="22"/>
      <c r="Z966" s="22"/>
      <c r="AA966" s="22"/>
    </row>
    <row r="967" ht="15.0" customHeight="1">
      <c r="A967" s="22"/>
      <c r="B967" s="22"/>
      <c r="C967" s="22"/>
      <c r="D967" s="22"/>
      <c r="E967" s="22"/>
      <c r="F967" s="23"/>
      <c r="G967" s="23"/>
      <c r="H967" s="22"/>
      <c r="I967" s="22"/>
      <c r="J967" s="22"/>
      <c r="K967" s="22"/>
      <c r="L967" s="22"/>
      <c r="M967" s="22"/>
      <c r="N967" s="22"/>
      <c r="O967" s="22" t="str">
        <f>IF(B967="","",IFERROR(LOOKUP(2,1/('Call Log'!$C$2:$C$5000=B967),'Call Log'!$B$2:$B$5000),""))</f>
        <v/>
      </c>
      <c r="P967" s="22" t="str">
        <f>IF(B967="","",COUNTIFS('Call Log'!$C$2:$C$5000,B967,'Call Log'!$A$2:$A$5000,"&gt;="&amp;(TODAY()-WEEKDAY(TODAY(),2)+1)))</f>
        <v/>
      </c>
      <c r="Q967" s="22" t="str">
        <f>IF(B967="","",COUNTIF('Call Log'!$C$2:$C$5000,B967))</f>
        <v/>
      </c>
      <c r="R967" s="24" t="str">
        <f>IF(B967="","",IFERROR(IF(MAXIFS('Call Log'!$A$2:$A$5000,'Call Log'!$C$2:$C$5000,B967)=0,"",MAXIFS('Call Log'!$A$2:$A$5000,'Call Log'!$C$2:$C$5000,B967)),""))</f>
        <v/>
      </c>
      <c r="S967" s="22"/>
      <c r="T967" s="24"/>
      <c r="U967" s="24"/>
      <c r="V967" s="22"/>
      <c r="W967" s="23"/>
      <c r="X967" s="22"/>
      <c r="Y967" s="22"/>
      <c r="Z967" s="22"/>
      <c r="AA967" s="22"/>
    </row>
    <row r="968" ht="15.0" customHeight="1">
      <c r="A968" s="22"/>
      <c r="B968" s="22"/>
      <c r="C968" s="22"/>
      <c r="D968" s="22"/>
      <c r="E968" s="22"/>
      <c r="F968" s="23"/>
      <c r="G968" s="23"/>
      <c r="H968" s="22"/>
      <c r="I968" s="22"/>
      <c r="J968" s="22"/>
      <c r="K968" s="22"/>
      <c r="L968" s="22"/>
      <c r="M968" s="22"/>
      <c r="N968" s="22"/>
      <c r="O968" s="22" t="str">
        <f>IF(B968="","",IFERROR(LOOKUP(2,1/('Call Log'!$C$2:$C$5000=B968),'Call Log'!$B$2:$B$5000),""))</f>
        <v/>
      </c>
      <c r="P968" s="22" t="str">
        <f>IF(B968="","",COUNTIFS('Call Log'!$C$2:$C$5000,B968,'Call Log'!$A$2:$A$5000,"&gt;="&amp;(TODAY()-WEEKDAY(TODAY(),2)+1)))</f>
        <v/>
      </c>
      <c r="Q968" s="22" t="str">
        <f>IF(B968="","",COUNTIF('Call Log'!$C$2:$C$5000,B968))</f>
        <v/>
      </c>
      <c r="R968" s="24" t="str">
        <f>IF(B968="","",IFERROR(IF(MAXIFS('Call Log'!$A$2:$A$5000,'Call Log'!$C$2:$C$5000,B968)=0,"",MAXIFS('Call Log'!$A$2:$A$5000,'Call Log'!$C$2:$C$5000,B968)),""))</f>
        <v/>
      </c>
      <c r="S968" s="22"/>
      <c r="T968" s="24"/>
      <c r="U968" s="24"/>
      <c r="V968" s="22"/>
      <c r="W968" s="23"/>
      <c r="X968" s="22"/>
      <c r="Y968" s="22"/>
      <c r="Z968" s="22"/>
      <c r="AA968" s="22"/>
    </row>
    <row r="969" ht="15.0" customHeight="1">
      <c r="A969" s="22"/>
      <c r="B969" s="22"/>
      <c r="C969" s="22"/>
      <c r="D969" s="22"/>
      <c r="E969" s="22"/>
      <c r="F969" s="23"/>
      <c r="G969" s="23"/>
      <c r="H969" s="22"/>
      <c r="I969" s="22"/>
      <c r="J969" s="22"/>
      <c r="K969" s="22"/>
      <c r="L969" s="22"/>
      <c r="M969" s="22"/>
      <c r="N969" s="22"/>
      <c r="O969" s="22" t="str">
        <f>IF(B969="","",IFERROR(LOOKUP(2,1/('Call Log'!$C$2:$C$5000=B969),'Call Log'!$B$2:$B$5000),""))</f>
        <v/>
      </c>
      <c r="P969" s="22" t="str">
        <f>IF(B969="","",COUNTIFS('Call Log'!$C$2:$C$5000,B969,'Call Log'!$A$2:$A$5000,"&gt;="&amp;(TODAY()-WEEKDAY(TODAY(),2)+1)))</f>
        <v/>
      </c>
      <c r="Q969" s="22" t="str">
        <f>IF(B969="","",COUNTIF('Call Log'!$C$2:$C$5000,B969))</f>
        <v/>
      </c>
      <c r="R969" s="24" t="str">
        <f>IF(B969="","",IFERROR(IF(MAXIFS('Call Log'!$A$2:$A$5000,'Call Log'!$C$2:$C$5000,B969)=0,"",MAXIFS('Call Log'!$A$2:$A$5000,'Call Log'!$C$2:$C$5000,B969)),""))</f>
        <v/>
      </c>
      <c r="S969" s="22"/>
      <c r="T969" s="24"/>
      <c r="U969" s="24"/>
      <c r="V969" s="22"/>
      <c r="W969" s="23"/>
      <c r="X969" s="22"/>
      <c r="Y969" s="22"/>
      <c r="Z969" s="22"/>
      <c r="AA969" s="22"/>
    </row>
    <row r="970" ht="15.0" customHeight="1">
      <c r="A970" s="22"/>
      <c r="B970" s="22"/>
      <c r="C970" s="22"/>
      <c r="D970" s="22"/>
      <c r="E970" s="22"/>
      <c r="F970" s="23"/>
      <c r="G970" s="23"/>
      <c r="H970" s="22"/>
      <c r="I970" s="22"/>
      <c r="J970" s="22"/>
      <c r="K970" s="22"/>
      <c r="L970" s="22"/>
      <c r="M970" s="22"/>
      <c r="N970" s="22"/>
      <c r="O970" s="22" t="str">
        <f>IF(B970="","",IFERROR(LOOKUP(2,1/('Call Log'!$C$2:$C$5000=B970),'Call Log'!$B$2:$B$5000),""))</f>
        <v/>
      </c>
      <c r="P970" s="22" t="str">
        <f>IF(B970="","",COUNTIFS('Call Log'!$C$2:$C$5000,B970,'Call Log'!$A$2:$A$5000,"&gt;="&amp;(TODAY()-WEEKDAY(TODAY(),2)+1)))</f>
        <v/>
      </c>
      <c r="Q970" s="22" t="str">
        <f>IF(B970="","",COUNTIF('Call Log'!$C$2:$C$5000,B970))</f>
        <v/>
      </c>
      <c r="R970" s="24" t="str">
        <f>IF(B970="","",IFERROR(IF(MAXIFS('Call Log'!$A$2:$A$5000,'Call Log'!$C$2:$C$5000,B970)=0,"",MAXIFS('Call Log'!$A$2:$A$5000,'Call Log'!$C$2:$C$5000,B970)),""))</f>
        <v/>
      </c>
      <c r="S970" s="22"/>
      <c r="T970" s="24"/>
      <c r="U970" s="24"/>
      <c r="V970" s="22"/>
      <c r="W970" s="23"/>
      <c r="X970" s="22"/>
      <c r="Y970" s="22"/>
      <c r="Z970" s="22"/>
      <c r="AA970" s="22"/>
    </row>
    <row r="971" ht="15.0" customHeight="1">
      <c r="A971" s="22"/>
      <c r="B971" s="22"/>
      <c r="C971" s="22"/>
      <c r="D971" s="22"/>
      <c r="E971" s="22"/>
      <c r="F971" s="23"/>
      <c r="G971" s="23"/>
      <c r="H971" s="22"/>
      <c r="I971" s="22"/>
      <c r="J971" s="22"/>
      <c r="K971" s="22"/>
      <c r="L971" s="22"/>
      <c r="M971" s="22"/>
      <c r="N971" s="22"/>
      <c r="O971" s="22" t="str">
        <f>IF(B971="","",IFERROR(LOOKUP(2,1/('Call Log'!$C$2:$C$5000=B971),'Call Log'!$B$2:$B$5000),""))</f>
        <v/>
      </c>
      <c r="P971" s="22" t="str">
        <f>IF(B971="","",COUNTIFS('Call Log'!$C$2:$C$5000,B971,'Call Log'!$A$2:$A$5000,"&gt;="&amp;(TODAY()-WEEKDAY(TODAY(),2)+1)))</f>
        <v/>
      </c>
      <c r="Q971" s="22" t="str">
        <f>IF(B971="","",COUNTIF('Call Log'!$C$2:$C$5000,B971))</f>
        <v/>
      </c>
      <c r="R971" s="24" t="str">
        <f>IF(B971="","",IFERROR(IF(MAXIFS('Call Log'!$A$2:$A$5000,'Call Log'!$C$2:$C$5000,B971)=0,"",MAXIFS('Call Log'!$A$2:$A$5000,'Call Log'!$C$2:$C$5000,B971)),""))</f>
        <v/>
      </c>
      <c r="S971" s="22"/>
      <c r="T971" s="24"/>
      <c r="U971" s="24"/>
      <c r="V971" s="22"/>
      <c r="W971" s="23"/>
      <c r="X971" s="22"/>
      <c r="Y971" s="22"/>
      <c r="Z971" s="22"/>
      <c r="AA971" s="22"/>
    </row>
    <row r="972" ht="15.0" customHeight="1">
      <c r="A972" s="22"/>
      <c r="B972" s="22"/>
      <c r="C972" s="22"/>
      <c r="D972" s="22"/>
      <c r="E972" s="22"/>
      <c r="F972" s="23"/>
      <c r="G972" s="23"/>
      <c r="H972" s="22"/>
      <c r="I972" s="22"/>
      <c r="J972" s="22"/>
      <c r="K972" s="22"/>
      <c r="L972" s="22"/>
      <c r="M972" s="22"/>
      <c r="N972" s="22"/>
      <c r="O972" s="22" t="str">
        <f>IF(B972="","",IFERROR(LOOKUP(2,1/('Call Log'!$C$2:$C$5000=B972),'Call Log'!$B$2:$B$5000),""))</f>
        <v/>
      </c>
      <c r="P972" s="22" t="str">
        <f>IF(B972="","",COUNTIFS('Call Log'!$C$2:$C$5000,B972,'Call Log'!$A$2:$A$5000,"&gt;="&amp;(TODAY()-WEEKDAY(TODAY(),2)+1)))</f>
        <v/>
      </c>
      <c r="Q972" s="22" t="str">
        <f>IF(B972="","",COUNTIF('Call Log'!$C$2:$C$5000,B972))</f>
        <v/>
      </c>
      <c r="R972" s="24" t="str">
        <f>IF(B972="","",IFERROR(IF(MAXIFS('Call Log'!$A$2:$A$5000,'Call Log'!$C$2:$C$5000,B972)=0,"",MAXIFS('Call Log'!$A$2:$A$5000,'Call Log'!$C$2:$C$5000,B972)),""))</f>
        <v/>
      </c>
      <c r="S972" s="22"/>
      <c r="T972" s="24"/>
      <c r="U972" s="24"/>
      <c r="V972" s="22"/>
      <c r="W972" s="23"/>
      <c r="X972" s="22"/>
      <c r="Y972" s="22"/>
      <c r="Z972" s="22"/>
      <c r="AA972" s="22"/>
    </row>
    <row r="973" ht="15.0" customHeight="1">
      <c r="A973" s="22"/>
      <c r="B973" s="22"/>
      <c r="C973" s="22"/>
      <c r="D973" s="22"/>
      <c r="E973" s="22"/>
      <c r="F973" s="23"/>
      <c r="G973" s="23"/>
      <c r="H973" s="22"/>
      <c r="I973" s="22"/>
      <c r="J973" s="22"/>
      <c r="K973" s="22"/>
      <c r="L973" s="22"/>
      <c r="M973" s="22"/>
      <c r="N973" s="22"/>
      <c r="O973" s="22" t="str">
        <f>IF(B973="","",IFERROR(LOOKUP(2,1/('Call Log'!$C$2:$C$5000=B973),'Call Log'!$B$2:$B$5000),""))</f>
        <v/>
      </c>
      <c r="P973" s="22" t="str">
        <f>IF(B973="","",COUNTIFS('Call Log'!$C$2:$C$5000,B973,'Call Log'!$A$2:$A$5000,"&gt;="&amp;(TODAY()-WEEKDAY(TODAY(),2)+1)))</f>
        <v/>
      </c>
      <c r="Q973" s="22" t="str">
        <f>IF(B973="","",COUNTIF('Call Log'!$C$2:$C$5000,B973))</f>
        <v/>
      </c>
      <c r="R973" s="24" t="str">
        <f>IF(B973="","",IFERROR(IF(MAXIFS('Call Log'!$A$2:$A$5000,'Call Log'!$C$2:$C$5000,B973)=0,"",MAXIFS('Call Log'!$A$2:$A$5000,'Call Log'!$C$2:$C$5000,B973)),""))</f>
        <v/>
      </c>
      <c r="S973" s="22"/>
      <c r="T973" s="24"/>
      <c r="U973" s="24"/>
      <c r="V973" s="22"/>
      <c r="W973" s="23"/>
      <c r="X973" s="22"/>
      <c r="Y973" s="22"/>
      <c r="Z973" s="22"/>
      <c r="AA973" s="22"/>
    </row>
    <row r="974" ht="15.0" customHeight="1">
      <c r="A974" s="22"/>
      <c r="B974" s="22"/>
      <c r="C974" s="22"/>
      <c r="D974" s="22"/>
      <c r="E974" s="22"/>
      <c r="F974" s="23"/>
      <c r="G974" s="23"/>
      <c r="H974" s="22"/>
      <c r="I974" s="22"/>
      <c r="J974" s="22"/>
      <c r="K974" s="22"/>
      <c r="L974" s="22"/>
      <c r="M974" s="22"/>
      <c r="N974" s="22"/>
      <c r="O974" s="22" t="str">
        <f>IF(B974="","",IFERROR(LOOKUP(2,1/('Call Log'!$C$2:$C$5000=B974),'Call Log'!$B$2:$B$5000),""))</f>
        <v/>
      </c>
      <c r="P974" s="22" t="str">
        <f>IF(B974="","",COUNTIFS('Call Log'!$C$2:$C$5000,B974,'Call Log'!$A$2:$A$5000,"&gt;="&amp;(TODAY()-WEEKDAY(TODAY(),2)+1)))</f>
        <v/>
      </c>
      <c r="Q974" s="22" t="str">
        <f>IF(B974="","",COUNTIF('Call Log'!$C$2:$C$5000,B974))</f>
        <v/>
      </c>
      <c r="R974" s="24" t="str">
        <f>IF(B974="","",IFERROR(IF(MAXIFS('Call Log'!$A$2:$A$5000,'Call Log'!$C$2:$C$5000,B974)=0,"",MAXIFS('Call Log'!$A$2:$A$5000,'Call Log'!$C$2:$C$5000,B974)),""))</f>
        <v/>
      </c>
      <c r="S974" s="22"/>
      <c r="T974" s="24"/>
      <c r="U974" s="24"/>
      <c r="V974" s="22"/>
      <c r="W974" s="23"/>
      <c r="X974" s="22"/>
      <c r="Y974" s="22"/>
      <c r="Z974" s="22"/>
      <c r="AA974" s="22"/>
    </row>
    <row r="975" ht="15.0" customHeight="1">
      <c r="A975" s="22"/>
      <c r="B975" s="22"/>
      <c r="C975" s="22"/>
      <c r="D975" s="22"/>
      <c r="E975" s="22"/>
      <c r="F975" s="23"/>
      <c r="G975" s="23"/>
      <c r="H975" s="22"/>
      <c r="I975" s="22"/>
      <c r="J975" s="22"/>
      <c r="K975" s="22"/>
      <c r="L975" s="22"/>
      <c r="M975" s="22"/>
      <c r="N975" s="22"/>
      <c r="O975" s="22" t="str">
        <f>IF(B975="","",IFERROR(LOOKUP(2,1/('Call Log'!$C$2:$C$5000=B975),'Call Log'!$B$2:$B$5000),""))</f>
        <v/>
      </c>
      <c r="P975" s="22" t="str">
        <f>IF(B975="","",COUNTIFS('Call Log'!$C$2:$C$5000,B975,'Call Log'!$A$2:$A$5000,"&gt;="&amp;(TODAY()-WEEKDAY(TODAY(),2)+1)))</f>
        <v/>
      </c>
      <c r="Q975" s="22" t="str">
        <f>IF(B975="","",COUNTIF('Call Log'!$C$2:$C$5000,B975))</f>
        <v/>
      </c>
      <c r="R975" s="24" t="str">
        <f>IF(B975="","",IFERROR(IF(MAXIFS('Call Log'!$A$2:$A$5000,'Call Log'!$C$2:$C$5000,B975)=0,"",MAXIFS('Call Log'!$A$2:$A$5000,'Call Log'!$C$2:$C$5000,B975)),""))</f>
        <v/>
      </c>
      <c r="S975" s="22"/>
      <c r="T975" s="24"/>
      <c r="U975" s="24"/>
      <c r="V975" s="22"/>
      <c r="W975" s="23"/>
      <c r="X975" s="22"/>
      <c r="Y975" s="22"/>
      <c r="Z975" s="22"/>
      <c r="AA975" s="22"/>
    </row>
    <row r="976" ht="15.0" customHeight="1">
      <c r="A976" s="22"/>
      <c r="B976" s="22"/>
      <c r="C976" s="22"/>
      <c r="D976" s="22"/>
      <c r="E976" s="22"/>
      <c r="F976" s="23"/>
      <c r="G976" s="23"/>
      <c r="H976" s="22"/>
      <c r="I976" s="22"/>
      <c r="J976" s="22"/>
      <c r="K976" s="22"/>
      <c r="L976" s="22"/>
      <c r="M976" s="22"/>
      <c r="N976" s="22"/>
      <c r="O976" s="22" t="str">
        <f>IF(B976="","",IFERROR(LOOKUP(2,1/('Call Log'!$C$2:$C$5000=B976),'Call Log'!$B$2:$B$5000),""))</f>
        <v/>
      </c>
      <c r="P976" s="22" t="str">
        <f>IF(B976="","",COUNTIFS('Call Log'!$C$2:$C$5000,B976,'Call Log'!$A$2:$A$5000,"&gt;="&amp;(TODAY()-WEEKDAY(TODAY(),2)+1)))</f>
        <v/>
      </c>
      <c r="Q976" s="22" t="str">
        <f>IF(B976="","",COUNTIF('Call Log'!$C$2:$C$5000,B976))</f>
        <v/>
      </c>
      <c r="R976" s="24" t="str">
        <f>IF(B976="","",IFERROR(IF(MAXIFS('Call Log'!$A$2:$A$5000,'Call Log'!$C$2:$C$5000,B976)=0,"",MAXIFS('Call Log'!$A$2:$A$5000,'Call Log'!$C$2:$C$5000,B976)),""))</f>
        <v/>
      </c>
      <c r="S976" s="22"/>
      <c r="T976" s="24"/>
      <c r="U976" s="24"/>
      <c r="V976" s="22"/>
      <c r="W976" s="23"/>
      <c r="X976" s="22"/>
      <c r="Y976" s="22"/>
      <c r="Z976" s="22"/>
      <c r="AA976" s="22"/>
    </row>
    <row r="977" ht="15.0" customHeight="1">
      <c r="A977" s="22"/>
      <c r="B977" s="22"/>
      <c r="C977" s="22"/>
      <c r="D977" s="22"/>
      <c r="E977" s="22"/>
      <c r="F977" s="23"/>
      <c r="G977" s="23"/>
      <c r="H977" s="22"/>
      <c r="I977" s="22"/>
      <c r="J977" s="22"/>
      <c r="K977" s="22"/>
      <c r="L977" s="22"/>
      <c r="M977" s="22"/>
      <c r="N977" s="22"/>
      <c r="O977" s="22" t="str">
        <f>IF(B977="","",IFERROR(LOOKUP(2,1/('Call Log'!$C$2:$C$5000=B977),'Call Log'!$B$2:$B$5000),""))</f>
        <v/>
      </c>
      <c r="P977" s="22" t="str">
        <f>IF(B977="","",COUNTIFS('Call Log'!$C$2:$C$5000,B977,'Call Log'!$A$2:$A$5000,"&gt;="&amp;(TODAY()-WEEKDAY(TODAY(),2)+1)))</f>
        <v/>
      </c>
      <c r="Q977" s="22" t="str">
        <f>IF(B977="","",COUNTIF('Call Log'!$C$2:$C$5000,B977))</f>
        <v/>
      </c>
      <c r="R977" s="24" t="str">
        <f>IF(B977="","",IFERROR(IF(MAXIFS('Call Log'!$A$2:$A$5000,'Call Log'!$C$2:$C$5000,B977)=0,"",MAXIFS('Call Log'!$A$2:$A$5000,'Call Log'!$C$2:$C$5000,B977)),""))</f>
        <v/>
      </c>
      <c r="S977" s="22"/>
      <c r="T977" s="24"/>
      <c r="U977" s="24"/>
      <c r="V977" s="22"/>
      <c r="W977" s="23"/>
      <c r="X977" s="22"/>
      <c r="Y977" s="22"/>
      <c r="Z977" s="22"/>
      <c r="AA977" s="22"/>
    </row>
    <row r="978" ht="15.0" customHeight="1">
      <c r="A978" s="22"/>
      <c r="B978" s="22"/>
      <c r="C978" s="22"/>
      <c r="D978" s="22"/>
      <c r="E978" s="22"/>
      <c r="F978" s="23"/>
      <c r="G978" s="23"/>
      <c r="H978" s="22"/>
      <c r="I978" s="22"/>
      <c r="J978" s="22"/>
      <c r="K978" s="22"/>
      <c r="L978" s="22"/>
      <c r="M978" s="22"/>
      <c r="N978" s="22"/>
      <c r="O978" s="22" t="str">
        <f>IF(B978="","",IFERROR(LOOKUP(2,1/('Call Log'!$C$2:$C$5000=B978),'Call Log'!$B$2:$B$5000),""))</f>
        <v/>
      </c>
      <c r="P978" s="22" t="str">
        <f>IF(B978="","",COUNTIFS('Call Log'!$C$2:$C$5000,B978,'Call Log'!$A$2:$A$5000,"&gt;="&amp;(TODAY()-WEEKDAY(TODAY(),2)+1)))</f>
        <v/>
      </c>
      <c r="Q978" s="22" t="str">
        <f>IF(B978="","",COUNTIF('Call Log'!$C$2:$C$5000,B978))</f>
        <v/>
      </c>
      <c r="R978" s="24" t="str">
        <f>IF(B978="","",IFERROR(IF(MAXIFS('Call Log'!$A$2:$A$5000,'Call Log'!$C$2:$C$5000,B978)=0,"",MAXIFS('Call Log'!$A$2:$A$5000,'Call Log'!$C$2:$C$5000,B978)),""))</f>
        <v/>
      </c>
      <c r="S978" s="22"/>
      <c r="T978" s="24"/>
      <c r="U978" s="24"/>
      <c r="V978" s="22"/>
      <c r="W978" s="23"/>
      <c r="X978" s="22"/>
      <c r="Y978" s="22"/>
      <c r="Z978" s="22"/>
      <c r="AA978" s="22"/>
    </row>
    <row r="979" ht="15.0" customHeight="1">
      <c r="A979" s="22"/>
      <c r="B979" s="22"/>
      <c r="C979" s="22"/>
      <c r="D979" s="22"/>
      <c r="E979" s="22"/>
      <c r="F979" s="23"/>
      <c r="G979" s="23"/>
      <c r="H979" s="22"/>
      <c r="I979" s="22"/>
      <c r="J979" s="22"/>
      <c r="K979" s="22"/>
      <c r="L979" s="22"/>
      <c r="M979" s="22"/>
      <c r="N979" s="22"/>
      <c r="O979" s="22" t="str">
        <f>IF(B979="","",IFERROR(LOOKUP(2,1/('Call Log'!$C$2:$C$5000=B979),'Call Log'!$B$2:$B$5000),""))</f>
        <v/>
      </c>
      <c r="P979" s="22" t="str">
        <f>IF(B979="","",COUNTIFS('Call Log'!$C$2:$C$5000,B979,'Call Log'!$A$2:$A$5000,"&gt;="&amp;(TODAY()-WEEKDAY(TODAY(),2)+1)))</f>
        <v/>
      </c>
      <c r="Q979" s="22" t="str">
        <f>IF(B979="","",COUNTIF('Call Log'!$C$2:$C$5000,B979))</f>
        <v/>
      </c>
      <c r="R979" s="24" t="str">
        <f>IF(B979="","",IFERROR(IF(MAXIFS('Call Log'!$A$2:$A$5000,'Call Log'!$C$2:$C$5000,B979)=0,"",MAXIFS('Call Log'!$A$2:$A$5000,'Call Log'!$C$2:$C$5000,B979)),""))</f>
        <v/>
      </c>
      <c r="S979" s="22"/>
      <c r="T979" s="24"/>
      <c r="U979" s="24"/>
      <c r="V979" s="22"/>
      <c r="W979" s="23"/>
      <c r="X979" s="22"/>
      <c r="Y979" s="22"/>
      <c r="Z979" s="22"/>
      <c r="AA979" s="22"/>
    </row>
    <row r="980" ht="15.0" customHeight="1">
      <c r="A980" s="22"/>
      <c r="B980" s="22"/>
      <c r="C980" s="22"/>
      <c r="D980" s="22"/>
      <c r="E980" s="22"/>
      <c r="F980" s="23"/>
      <c r="G980" s="23"/>
      <c r="H980" s="22"/>
      <c r="I980" s="22"/>
      <c r="J980" s="22"/>
      <c r="K980" s="22"/>
      <c r="L980" s="22"/>
      <c r="M980" s="22"/>
      <c r="N980" s="22"/>
      <c r="O980" s="22" t="str">
        <f>IF(B980="","",IFERROR(LOOKUP(2,1/('Call Log'!$C$2:$C$5000=B980),'Call Log'!$B$2:$B$5000),""))</f>
        <v/>
      </c>
      <c r="P980" s="22" t="str">
        <f>IF(B980="","",COUNTIFS('Call Log'!$C$2:$C$5000,B980,'Call Log'!$A$2:$A$5000,"&gt;="&amp;(TODAY()-WEEKDAY(TODAY(),2)+1)))</f>
        <v/>
      </c>
      <c r="Q980" s="22" t="str">
        <f>IF(B980="","",COUNTIF('Call Log'!$C$2:$C$5000,B980))</f>
        <v/>
      </c>
      <c r="R980" s="24" t="str">
        <f>IF(B980="","",IFERROR(IF(MAXIFS('Call Log'!$A$2:$A$5000,'Call Log'!$C$2:$C$5000,B980)=0,"",MAXIFS('Call Log'!$A$2:$A$5000,'Call Log'!$C$2:$C$5000,B980)),""))</f>
        <v/>
      </c>
      <c r="S980" s="22"/>
      <c r="T980" s="24"/>
      <c r="U980" s="24"/>
      <c r="V980" s="22"/>
      <c r="W980" s="23"/>
      <c r="X980" s="22"/>
      <c r="Y980" s="22"/>
      <c r="Z980" s="22"/>
      <c r="AA980" s="22"/>
    </row>
    <row r="981" ht="15.0" customHeight="1">
      <c r="A981" s="22"/>
      <c r="B981" s="22"/>
      <c r="C981" s="22"/>
      <c r="D981" s="22"/>
      <c r="E981" s="22"/>
      <c r="F981" s="23"/>
      <c r="G981" s="23"/>
      <c r="H981" s="22"/>
      <c r="I981" s="22"/>
      <c r="J981" s="22"/>
      <c r="K981" s="22"/>
      <c r="L981" s="22"/>
      <c r="M981" s="22"/>
      <c r="N981" s="22"/>
      <c r="O981" s="22" t="str">
        <f>IF(B981="","",IFERROR(LOOKUP(2,1/('Call Log'!$C$2:$C$5000=B981),'Call Log'!$B$2:$B$5000),""))</f>
        <v/>
      </c>
      <c r="P981" s="22" t="str">
        <f>IF(B981="","",COUNTIFS('Call Log'!$C$2:$C$5000,B981,'Call Log'!$A$2:$A$5000,"&gt;="&amp;(TODAY()-WEEKDAY(TODAY(),2)+1)))</f>
        <v/>
      </c>
      <c r="Q981" s="22" t="str">
        <f>IF(B981="","",COUNTIF('Call Log'!$C$2:$C$5000,B981))</f>
        <v/>
      </c>
      <c r="R981" s="24" t="str">
        <f>IF(B981="","",IFERROR(IF(MAXIFS('Call Log'!$A$2:$A$5000,'Call Log'!$C$2:$C$5000,B981)=0,"",MAXIFS('Call Log'!$A$2:$A$5000,'Call Log'!$C$2:$C$5000,B981)),""))</f>
        <v/>
      </c>
      <c r="S981" s="22"/>
      <c r="T981" s="24"/>
      <c r="U981" s="24"/>
      <c r="V981" s="22"/>
      <c r="W981" s="23"/>
      <c r="X981" s="22"/>
      <c r="Y981" s="22"/>
      <c r="Z981" s="22"/>
      <c r="AA981" s="22"/>
    </row>
    <row r="982" ht="15.0" customHeight="1">
      <c r="A982" s="22"/>
      <c r="B982" s="22"/>
      <c r="C982" s="22"/>
      <c r="D982" s="22"/>
      <c r="E982" s="22"/>
      <c r="F982" s="23"/>
      <c r="G982" s="23"/>
      <c r="H982" s="22"/>
      <c r="I982" s="22"/>
      <c r="J982" s="22"/>
      <c r="K982" s="22"/>
      <c r="L982" s="22"/>
      <c r="M982" s="22"/>
      <c r="N982" s="22"/>
      <c r="O982" s="22" t="str">
        <f>IF(B982="","",IFERROR(LOOKUP(2,1/('Call Log'!$C$2:$C$5000=B982),'Call Log'!$B$2:$B$5000),""))</f>
        <v/>
      </c>
      <c r="P982" s="22" t="str">
        <f>IF(B982="","",COUNTIFS('Call Log'!$C$2:$C$5000,B982,'Call Log'!$A$2:$A$5000,"&gt;="&amp;(TODAY()-WEEKDAY(TODAY(),2)+1)))</f>
        <v/>
      </c>
      <c r="Q982" s="22" t="str">
        <f>IF(B982="","",COUNTIF('Call Log'!$C$2:$C$5000,B982))</f>
        <v/>
      </c>
      <c r="R982" s="24" t="str">
        <f>IF(B982="","",IFERROR(IF(MAXIFS('Call Log'!$A$2:$A$5000,'Call Log'!$C$2:$C$5000,B982)=0,"",MAXIFS('Call Log'!$A$2:$A$5000,'Call Log'!$C$2:$C$5000,B982)),""))</f>
        <v/>
      </c>
      <c r="S982" s="22"/>
      <c r="T982" s="24"/>
      <c r="U982" s="24"/>
      <c r="V982" s="22"/>
      <c r="W982" s="23"/>
      <c r="X982" s="22"/>
      <c r="Y982" s="22"/>
      <c r="Z982" s="22"/>
      <c r="AA982" s="22"/>
    </row>
    <row r="983" ht="15.0" customHeight="1">
      <c r="A983" s="22"/>
      <c r="B983" s="22"/>
      <c r="C983" s="22"/>
      <c r="D983" s="22"/>
      <c r="E983" s="22"/>
      <c r="F983" s="23"/>
      <c r="G983" s="23"/>
      <c r="H983" s="22"/>
      <c r="I983" s="22"/>
      <c r="J983" s="22"/>
      <c r="K983" s="22"/>
      <c r="L983" s="22"/>
      <c r="M983" s="22"/>
      <c r="N983" s="22"/>
      <c r="O983" s="22" t="str">
        <f>IF(B983="","",IFERROR(LOOKUP(2,1/('Call Log'!$C$2:$C$5000=B983),'Call Log'!$B$2:$B$5000),""))</f>
        <v/>
      </c>
      <c r="P983" s="22" t="str">
        <f>IF(B983="","",COUNTIFS('Call Log'!$C$2:$C$5000,B983,'Call Log'!$A$2:$A$5000,"&gt;="&amp;(TODAY()-WEEKDAY(TODAY(),2)+1)))</f>
        <v/>
      </c>
      <c r="Q983" s="22" t="str">
        <f>IF(B983="","",COUNTIF('Call Log'!$C$2:$C$5000,B983))</f>
        <v/>
      </c>
      <c r="R983" s="24" t="str">
        <f>IF(B983="","",IFERROR(IF(MAXIFS('Call Log'!$A$2:$A$5000,'Call Log'!$C$2:$C$5000,B983)=0,"",MAXIFS('Call Log'!$A$2:$A$5000,'Call Log'!$C$2:$C$5000,B983)),""))</f>
        <v/>
      </c>
      <c r="S983" s="22"/>
      <c r="T983" s="24"/>
      <c r="U983" s="24"/>
      <c r="V983" s="22"/>
      <c r="W983" s="23"/>
      <c r="X983" s="22"/>
      <c r="Y983" s="22"/>
      <c r="Z983" s="22"/>
      <c r="AA983" s="22"/>
    </row>
    <row r="984" ht="15.0" customHeight="1">
      <c r="A984" s="22"/>
      <c r="B984" s="22"/>
      <c r="C984" s="22"/>
      <c r="D984" s="22"/>
      <c r="E984" s="22"/>
      <c r="F984" s="23"/>
      <c r="G984" s="23"/>
      <c r="H984" s="22"/>
      <c r="I984" s="22"/>
      <c r="J984" s="22"/>
      <c r="K984" s="22"/>
      <c r="L984" s="22"/>
      <c r="M984" s="22"/>
      <c r="N984" s="22"/>
      <c r="O984" s="22" t="str">
        <f>IF(B984="","",IFERROR(LOOKUP(2,1/('Call Log'!$C$2:$C$5000=B984),'Call Log'!$B$2:$B$5000),""))</f>
        <v/>
      </c>
      <c r="P984" s="22" t="str">
        <f>IF(B984="","",COUNTIFS('Call Log'!$C$2:$C$5000,B984,'Call Log'!$A$2:$A$5000,"&gt;="&amp;(TODAY()-WEEKDAY(TODAY(),2)+1)))</f>
        <v/>
      </c>
      <c r="Q984" s="22" t="str">
        <f>IF(B984="","",COUNTIF('Call Log'!$C$2:$C$5000,B984))</f>
        <v/>
      </c>
      <c r="R984" s="24" t="str">
        <f>IF(B984="","",IFERROR(IF(MAXIFS('Call Log'!$A$2:$A$5000,'Call Log'!$C$2:$C$5000,B984)=0,"",MAXIFS('Call Log'!$A$2:$A$5000,'Call Log'!$C$2:$C$5000,B984)),""))</f>
        <v/>
      </c>
      <c r="S984" s="22"/>
      <c r="T984" s="24"/>
      <c r="U984" s="24"/>
      <c r="V984" s="22"/>
      <c r="W984" s="23"/>
      <c r="X984" s="22"/>
      <c r="Y984" s="22"/>
      <c r="Z984" s="22"/>
      <c r="AA984" s="22"/>
    </row>
    <row r="985" ht="15.0" customHeight="1">
      <c r="A985" s="22"/>
      <c r="B985" s="22"/>
      <c r="C985" s="22"/>
      <c r="D985" s="22"/>
      <c r="E985" s="22"/>
      <c r="F985" s="23"/>
      <c r="G985" s="23"/>
      <c r="H985" s="22"/>
      <c r="I985" s="22"/>
      <c r="J985" s="22"/>
      <c r="K985" s="22"/>
      <c r="L985" s="22"/>
      <c r="M985" s="22"/>
      <c r="N985" s="22"/>
      <c r="O985" s="22" t="str">
        <f>IF(B985="","",IFERROR(LOOKUP(2,1/('Call Log'!$C$2:$C$5000=B985),'Call Log'!$B$2:$B$5000),""))</f>
        <v/>
      </c>
      <c r="P985" s="22" t="str">
        <f>IF(B985="","",COUNTIFS('Call Log'!$C$2:$C$5000,B985,'Call Log'!$A$2:$A$5000,"&gt;="&amp;(TODAY()-WEEKDAY(TODAY(),2)+1)))</f>
        <v/>
      </c>
      <c r="Q985" s="22" t="str">
        <f>IF(B985="","",COUNTIF('Call Log'!$C$2:$C$5000,B985))</f>
        <v/>
      </c>
      <c r="R985" s="24" t="str">
        <f>IF(B985="","",IFERROR(IF(MAXIFS('Call Log'!$A$2:$A$5000,'Call Log'!$C$2:$C$5000,B985)=0,"",MAXIFS('Call Log'!$A$2:$A$5000,'Call Log'!$C$2:$C$5000,B985)),""))</f>
        <v/>
      </c>
      <c r="S985" s="22"/>
      <c r="T985" s="24"/>
      <c r="U985" s="24"/>
      <c r="V985" s="22"/>
      <c r="W985" s="23"/>
      <c r="X985" s="22"/>
      <c r="Y985" s="22"/>
      <c r="Z985" s="22"/>
      <c r="AA985" s="22"/>
    </row>
    <row r="986" ht="15.0" customHeight="1">
      <c r="A986" s="22"/>
      <c r="B986" s="22"/>
      <c r="C986" s="22"/>
      <c r="D986" s="22"/>
      <c r="E986" s="22"/>
      <c r="F986" s="23"/>
      <c r="G986" s="23"/>
      <c r="H986" s="22"/>
      <c r="I986" s="22"/>
      <c r="J986" s="22"/>
      <c r="K986" s="22"/>
      <c r="L986" s="22"/>
      <c r="M986" s="22"/>
      <c r="N986" s="22"/>
      <c r="O986" s="22" t="str">
        <f>IF(B986="","",IFERROR(LOOKUP(2,1/('Call Log'!$C$2:$C$5000=B986),'Call Log'!$B$2:$B$5000),""))</f>
        <v/>
      </c>
      <c r="P986" s="22" t="str">
        <f>IF(B986="","",COUNTIFS('Call Log'!$C$2:$C$5000,B986,'Call Log'!$A$2:$A$5000,"&gt;="&amp;(TODAY()-WEEKDAY(TODAY(),2)+1)))</f>
        <v/>
      </c>
      <c r="Q986" s="22" t="str">
        <f>IF(B986="","",COUNTIF('Call Log'!$C$2:$C$5000,B986))</f>
        <v/>
      </c>
      <c r="R986" s="24" t="str">
        <f>IF(B986="","",IFERROR(IF(MAXIFS('Call Log'!$A$2:$A$5000,'Call Log'!$C$2:$C$5000,B986)=0,"",MAXIFS('Call Log'!$A$2:$A$5000,'Call Log'!$C$2:$C$5000,B986)),""))</f>
        <v/>
      </c>
      <c r="S986" s="22"/>
      <c r="T986" s="24"/>
      <c r="U986" s="24"/>
      <c r="V986" s="22"/>
      <c r="W986" s="23"/>
      <c r="X986" s="22"/>
      <c r="Y986" s="22"/>
      <c r="Z986" s="22"/>
      <c r="AA986" s="22"/>
    </row>
    <row r="987" ht="15.0" customHeight="1">
      <c r="A987" s="22"/>
      <c r="B987" s="22"/>
      <c r="C987" s="22"/>
      <c r="D987" s="22"/>
      <c r="E987" s="22"/>
      <c r="F987" s="23"/>
      <c r="G987" s="23"/>
      <c r="H987" s="22"/>
      <c r="I987" s="22"/>
      <c r="J987" s="22"/>
      <c r="K987" s="22"/>
      <c r="L987" s="22"/>
      <c r="M987" s="22"/>
      <c r="N987" s="22"/>
      <c r="O987" s="22" t="str">
        <f>IF(B987="","",IFERROR(LOOKUP(2,1/('Call Log'!$C$2:$C$5000=B987),'Call Log'!$B$2:$B$5000),""))</f>
        <v/>
      </c>
      <c r="P987" s="22" t="str">
        <f>IF(B987="","",COUNTIFS('Call Log'!$C$2:$C$5000,B987,'Call Log'!$A$2:$A$5000,"&gt;="&amp;(TODAY()-WEEKDAY(TODAY(),2)+1)))</f>
        <v/>
      </c>
      <c r="Q987" s="22" t="str">
        <f>IF(B987="","",COUNTIF('Call Log'!$C$2:$C$5000,B987))</f>
        <v/>
      </c>
      <c r="R987" s="24" t="str">
        <f>IF(B987="","",IFERROR(IF(MAXIFS('Call Log'!$A$2:$A$5000,'Call Log'!$C$2:$C$5000,B987)=0,"",MAXIFS('Call Log'!$A$2:$A$5000,'Call Log'!$C$2:$C$5000,B987)),""))</f>
        <v/>
      </c>
      <c r="S987" s="22"/>
      <c r="T987" s="24"/>
      <c r="U987" s="24"/>
      <c r="V987" s="22"/>
      <c r="W987" s="23"/>
      <c r="X987" s="22"/>
      <c r="Y987" s="22"/>
      <c r="Z987" s="22"/>
      <c r="AA987" s="22"/>
    </row>
    <row r="988" ht="15.0" customHeight="1">
      <c r="A988" s="22"/>
      <c r="B988" s="22"/>
      <c r="C988" s="22"/>
      <c r="D988" s="22"/>
      <c r="E988" s="22"/>
      <c r="F988" s="23"/>
      <c r="G988" s="23"/>
      <c r="H988" s="22"/>
      <c r="I988" s="22"/>
      <c r="J988" s="22"/>
      <c r="K988" s="22"/>
      <c r="L988" s="22"/>
      <c r="M988" s="22"/>
      <c r="N988" s="22"/>
      <c r="O988" s="22" t="str">
        <f>IF(B988="","",IFERROR(LOOKUP(2,1/('Call Log'!$C$2:$C$5000=B988),'Call Log'!$B$2:$B$5000),""))</f>
        <v/>
      </c>
      <c r="P988" s="22" t="str">
        <f>IF(B988="","",COUNTIFS('Call Log'!$C$2:$C$5000,B988,'Call Log'!$A$2:$A$5000,"&gt;="&amp;(TODAY()-WEEKDAY(TODAY(),2)+1)))</f>
        <v/>
      </c>
      <c r="Q988" s="22" t="str">
        <f>IF(B988="","",COUNTIF('Call Log'!$C$2:$C$5000,B988))</f>
        <v/>
      </c>
      <c r="R988" s="24" t="str">
        <f>IF(B988="","",IFERROR(IF(MAXIFS('Call Log'!$A$2:$A$5000,'Call Log'!$C$2:$C$5000,B988)=0,"",MAXIFS('Call Log'!$A$2:$A$5000,'Call Log'!$C$2:$C$5000,B988)),""))</f>
        <v/>
      </c>
      <c r="S988" s="22"/>
      <c r="T988" s="24"/>
      <c r="U988" s="24"/>
      <c r="V988" s="22"/>
      <c r="W988" s="23"/>
      <c r="X988" s="22"/>
      <c r="Y988" s="22"/>
      <c r="Z988" s="22"/>
      <c r="AA988" s="22"/>
    </row>
    <row r="989" ht="15.0" customHeight="1">
      <c r="A989" s="22"/>
      <c r="B989" s="22"/>
      <c r="C989" s="22"/>
      <c r="D989" s="22"/>
      <c r="E989" s="22"/>
      <c r="F989" s="23"/>
      <c r="G989" s="23"/>
      <c r="H989" s="22"/>
      <c r="I989" s="22"/>
      <c r="J989" s="22"/>
      <c r="K989" s="22"/>
      <c r="L989" s="22"/>
      <c r="M989" s="22"/>
      <c r="N989" s="22"/>
      <c r="O989" s="22" t="str">
        <f>IF(B989="","",IFERROR(LOOKUP(2,1/('Call Log'!$C$2:$C$5000=B989),'Call Log'!$B$2:$B$5000),""))</f>
        <v/>
      </c>
      <c r="P989" s="22" t="str">
        <f>IF(B989="","",COUNTIFS('Call Log'!$C$2:$C$5000,B989,'Call Log'!$A$2:$A$5000,"&gt;="&amp;(TODAY()-WEEKDAY(TODAY(),2)+1)))</f>
        <v/>
      </c>
      <c r="Q989" s="22" t="str">
        <f>IF(B989="","",COUNTIF('Call Log'!$C$2:$C$5000,B989))</f>
        <v/>
      </c>
      <c r="R989" s="24" t="str">
        <f>IF(B989="","",IFERROR(IF(MAXIFS('Call Log'!$A$2:$A$5000,'Call Log'!$C$2:$C$5000,B989)=0,"",MAXIFS('Call Log'!$A$2:$A$5000,'Call Log'!$C$2:$C$5000,B989)),""))</f>
        <v/>
      </c>
      <c r="S989" s="22"/>
      <c r="T989" s="24"/>
      <c r="U989" s="24"/>
      <c r="V989" s="22"/>
      <c r="W989" s="23"/>
      <c r="X989" s="22"/>
      <c r="Y989" s="22"/>
      <c r="Z989" s="22"/>
      <c r="AA989" s="22"/>
    </row>
    <row r="990" ht="15.0" customHeight="1">
      <c r="A990" s="22"/>
      <c r="B990" s="22"/>
      <c r="C990" s="22"/>
      <c r="D990" s="22"/>
      <c r="E990" s="22"/>
      <c r="F990" s="23"/>
      <c r="G990" s="23"/>
      <c r="H990" s="22"/>
      <c r="I990" s="22"/>
      <c r="J990" s="22"/>
      <c r="K990" s="22"/>
      <c r="L990" s="22"/>
      <c r="M990" s="22"/>
      <c r="N990" s="22"/>
      <c r="O990" s="22" t="str">
        <f>IF(B990="","",IFERROR(LOOKUP(2,1/('Call Log'!$C$2:$C$5000=B990),'Call Log'!$B$2:$B$5000),""))</f>
        <v/>
      </c>
      <c r="P990" s="22" t="str">
        <f>IF(B990="","",COUNTIFS('Call Log'!$C$2:$C$5000,B990,'Call Log'!$A$2:$A$5000,"&gt;="&amp;(TODAY()-WEEKDAY(TODAY(),2)+1)))</f>
        <v/>
      </c>
      <c r="Q990" s="22" t="str">
        <f>IF(B990="","",COUNTIF('Call Log'!$C$2:$C$5000,B990))</f>
        <v/>
      </c>
      <c r="R990" s="24" t="str">
        <f>IF(B990="","",IFERROR(IF(MAXIFS('Call Log'!$A$2:$A$5000,'Call Log'!$C$2:$C$5000,B990)=0,"",MAXIFS('Call Log'!$A$2:$A$5000,'Call Log'!$C$2:$C$5000,B990)),""))</f>
        <v/>
      </c>
      <c r="S990" s="22"/>
      <c r="T990" s="24"/>
      <c r="U990" s="24"/>
      <c r="V990" s="22"/>
      <c r="W990" s="23"/>
      <c r="X990" s="22"/>
      <c r="Y990" s="22"/>
      <c r="Z990" s="22"/>
      <c r="AA990" s="22"/>
    </row>
    <row r="991" ht="15.0" customHeight="1">
      <c r="A991" s="22"/>
      <c r="B991" s="22"/>
      <c r="C991" s="22"/>
      <c r="D991" s="22"/>
      <c r="E991" s="22"/>
      <c r="F991" s="23"/>
      <c r="G991" s="23"/>
      <c r="H991" s="22"/>
      <c r="I991" s="22"/>
      <c r="J991" s="22"/>
      <c r="K991" s="22"/>
      <c r="L991" s="22"/>
      <c r="M991" s="22"/>
      <c r="N991" s="22"/>
      <c r="O991" s="22" t="str">
        <f>IF(B991="","",IFERROR(LOOKUP(2,1/('Call Log'!$C$2:$C$5000=B991),'Call Log'!$B$2:$B$5000),""))</f>
        <v/>
      </c>
      <c r="P991" s="22" t="str">
        <f>IF(B991="","",COUNTIFS('Call Log'!$C$2:$C$5000,B991,'Call Log'!$A$2:$A$5000,"&gt;="&amp;(TODAY()-WEEKDAY(TODAY(),2)+1)))</f>
        <v/>
      </c>
      <c r="Q991" s="22" t="str">
        <f>IF(B991="","",COUNTIF('Call Log'!$C$2:$C$5000,B991))</f>
        <v/>
      </c>
      <c r="R991" s="24" t="str">
        <f>IF(B991="","",IFERROR(IF(MAXIFS('Call Log'!$A$2:$A$5000,'Call Log'!$C$2:$C$5000,B991)=0,"",MAXIFS('Call Log'!$A$2:$A$5000,'Call Log'!$C$2:$C$5000,B991)),""))</f>
        <v/>
      </c>
      <c r="S991" s="22"/>
      <c r="T991" s="24"/>
      <c r="U991" s="24"/>
      <c r="V991" s="22"/>
      <c r="W991" s="23"/>
      <c r="X991" s="22"/>
      <c r="Y991" s="22"/>
      <c r="Z991" s="22"/>
      <c r="AA991" s="22"/>
    </row>
    <row r="992" ht="15.0" customHeight="1">
      <c r="A992" s="22"/>
      <c r="B992" s="22"/>
      <c r="C992" s="22"/>
      <c r="D992" s="22"/>
      <c r="E992" s="22"/>
      <c r="F992" s="23"/>
      <c r="G992" s="23"/>
      <c r="H992" s="22"/>
      <c r="I992" s="22"/>
      <c r="J992" s="22"/>
      <c r="K992" s="22"/>
      <c r="L992" s="22"/>
      <c r="M992" s="22"/>
      <c r="N992" s="22"/>
      <c r="O992" s="22" t="str">
        <f>IF(B992="","",IFERROR(LOOKUP(2,1/('Call Log'!$C$2:$C$5000=B992),'Call Log'!$B$2:$B$5000),""))</f>
        <v/>
      </c>
      <c r="P992" s="22" t="str">
        <f>IF(B992="","",COUNTIFS('Call Log'!$C$2:$C$5000,B992,'Call Log'!$A$2:$A$5000,"&gt;="&amp;(TODAY()-WEEKDAY(TODAY(),2)+1)))</f>
        <v/>
      </c>
      <c r="Q992" s="22" t="str">
        <f>IF(B992="","",COUNTIF('Call Log'!$C$2:$C$5000,B992))</f>
        <v/>
      </c>
      <c r="R992" s="24" t="str">
        <f>IF(B992="","",IFERROR(IF(MAXIFS('Call Log'!$A$2:$A$5000,'Call Log'!$C$2:$C$5000,B992)=0,"",MAXIFS('Call Log'!$A$2:$A$5000,'Call Log'!$C$2:$C$5000,B992)),""))</f>
        <v/>
      </c>
      <c r="S992" s="22"/>
      <c r="T992" s="24"/>
      <c r="U992" s="24"/>
      <c r="V992" s="22"/>
      <c r="W992" s="23"/>
      <c r="X992" s="22"/>
      <c r="Y992" s="22"/>
      <c r="Z992" s="22"/>
      <c r="AA992" s="22"/>
    </row>
    <row r="993" ht="15.0" customHeight="1">
      <c r="A993" s="22"/>
      <c r="B993" s="22"/>
      <c r="C993" s="22"/>
      <c r="D993" s="22"/>
      <c r="E993" s="22"/>
      <c r="F993" s="23"/>
      <c r="G993" s="23"/>
      <c r="H993" s="22"/>
      <c r="I993" s="22"/>
      <c r="J993" s="22"/>
      <c r="K993" s="22"/>
      <c r="L993" s="22"/>
      <c r="M993" s="22"/>
      <c r="N993" s="22"/>
      <c r="O993" s="22" t="str">
        <f>IF(B993="","",IFERROR(LOOKUP(2,1/('Call Log'!$C$2:$C$5000=B993),'Call Log'!$B$2:$B$5000),""))</f>
        <v/>
      </c>
      <c r="P993" s="22" t="str">
        <f>IF(B993="","",COUNTIFS('Call Log'!$C$2:$C$5000,B993,'Call Log'!$A$2:$A$5000,"&gt;="&amp;(TODAY()-WEEKDAY(TODAY(),2)+1)))</f>
        <v/>
      </c>
      <c r="Q993" s="22" t="str">
        <f>IF(B993="","",COUNTIF('Call Log'!$C$2:$C$5000,B993))</f>
        <v/>
      </c>
      <c r="R993" s="24" t="str">
        <f>IF(B993="","",IFERROR(IF(MAXIFS('Call Log'!$A$2:$A$5000,'Call Log'!$C$2:$C$5000,B993)=0,"",MAXIFS('Call Log'!$A$2:$A$5000,'Call Log'!$C$2:$C$5000,B993)),""))</f>
        <v/>
      </c>
      <c r="S993" s="22"/>
      <c r="T993" s="24"/>
      <c r="U993" s="24"/>
      <c r="V993" s="22"/>
      <c r="W993" s="23"/>
      <c r="X993" s="22"/>
      <c r="Y993" s="22"/>
      <c r="Z993" s="22"/>
      <c r="AA993" s="22"/>
    </row>
    <row r="994" ht="15.0" customHeight="1">
      <c r="A994" s="22"/>
      <c r="B994" s="22"/>
      <c r="C994" s="22"/>
      <c r="D994" s="22"/>
      <c r="E994" s="22"/>
      <c r="F994" s="23"/>
      <c r="G994" s="23"/>
      <c r="H994" s="22"/>
      <c r="I994" s="22"/>
      <c r="J994" s="22"/>
      <c r="K994" s="22"/>
      <c r="L994" s="22"/>
      <c r="M994" s="22"/>
      <c r="N994" s="22"/>
      <c r="O994" s="22" t="str">
        <f>IF(B994="","",IFERROR(LOOKUP(2,1/('Call Log'!$C$2:$C$5000=B994),'Call Log'!$B$2:$B$5000),""))</f>
        <v/>
      </c>
      <c r="P994" s="22" t="str">
        <f>IF(B994="","",COUNTIFS('Call Log'!$C$2:$C$5000,B994,'Call Log'!$A$2:$A$5000,"&gt;="&amp;(TODAY()-WEEKDAY(TODAY(),2)+1)))</f>
        <v/>
      </c>
      <c r="Q994" s="22" t="str">
        <f>IF(B994="","",COUNTIF('Call Log'!$C$2:$C$5000,B994))</f>
        <v/>
      </c>
      <c r="R994" s="24" t="str">
        <f>IF(B994="","",IFERROR(IF(MAXIFS('Call Log'!$A$2:$A$5000,'Call Log'!$C$2:$C$5000,B994)=0,"",MAXIFS('Call Log'!$A$2:$A$5000,'Call Log'!$C$2:$C$5000,B994)),""))</f>
        <v/>
      </c>
      <c r="S994" s="22"/>
      <c r="T994" s="24"/>
      <c r="U994" s="24"/>
      <c r="V994" s="22"/>
      <c r="W994" s="23"/>
      <c r="X994" s="22"/>
      <c r="Y994" s="22"/>
      <c r="Z994" s="22"/>
      <c r="AA994" s="22"/>
    </row>
    <row r="995" ht="15.0" customHeight="1">
      <c r="A995" s="22"/>
      <c r="B995" s="22"/>
      <c r="C995" s="22"/>
      <c r="D995" s="22"/>
      <c r="E995" s="22"/>
      <c r="F995" s="23"/>
      <c r="G995" s="23"/>
      <c r="H995" s="22"/>
      <c r="I995" s="22"/>
      <c r="J995" s="22"/>
      <c r="K995" s="22"/>
      <c r="L995" s="22"/>
      <c r="M995" s="22"/>
      <c r="N995" s="22"/>
      <c r="O995" s="22" t="str">
        <f>IF(B995="","",IFERROR(LOOKUP(2,1/('Call Log'!$C$2:$C$5000=B995),'Call Log'!$B$2:$B$5000),""))</f>
        <v/>
      </c>
      <c r="P995" s="22" t="str">
        <f>IF(B995="","",COUNTIFS('Call Log'!$C$2:$C$5000,B995,'Call Log'!$A$2:$A$5000,"&gt;="&amp;(TODAY()-WEEKDAY(TODAY(),2)+1)))</f>
        <v/>
      </c>
      <c r="Q995" s="22" t="str">
        <f>IF(B995="","",COUNTIF('Call Log'!$C$2:$C$5000,B995))</f>
        <v/>
      </c>
      <c r="R995" s="24" t="str">
        <f>IF(B995="","",IFERROR(IF(MAXIFS('Call Log'!$A$2:$A$5000,'Call Log'!$C$2:$C$5000,B995)=0,"",MAXIFS('Call Log'!$A$2:$A$5000,'Call Log'!$C$2:$C$5000,B995)),""))</f>
        <v/>
      </c>
      <c r="S995" s="22"/>
      <c r="T995" s="24"/>
      <c r="U995" s="24"/>
      <c r="V995" s="22"/>
      <c r="W995" s="23"/>
      <c r="X995" s="22"/>
      <c r="Y995" s="22"/>
      <c r="Z995" s="22"/>
      <c r="AA995" s="22"/>
    </row>
    <row r="996" ht="15.0" customHeight="1">
      <c r="A996" s="22"/>
      <c r="B996" s="22"/>
      <c r="C996" s="22"/>
      <c r="D996" s="22"/>
      <c r="E996" s="22"/>
      <c r="F996" s="23"/>
      <c r="G996" s="23"/>
      <c r="H996" s="22"/>
      <c r="I996" s="22"/>
      <c r="J996" s="22"/>
      <c r="K996" s="22"/>
      <c r="L996" s="22"/>
      <c r="M996" s="22"/>
      <c r="N996" s="22"/>
      <c r="O996" s="22" t="str">
        <f>IF(B996="","",IFERROR(LOOKUP(2,1/('Call Log'!$C$2:$C$5000=B996),'Call Log'!$B$2:$B$5000),""))</f>
        <v/>
      </c>
      <c r="P996" s="22" t="str">
        <f>IF(B996="","",COUNTIFS('Call Log'!$C$2:$C$5000,B996,'Call Log'!$A$2:$A$5000,"&gt;="&amp;(TODAY()-WEEKDAY(TODAY(),2)+1)))</f>
        <v/>
      </c>
      <c r="Q996" s="22" t="str">
        <f>IF(B996="","",COUNTIF('Call Log'!$C$2:$C$5000,B996))</f>
        <v/>
      </c>
      <c r="R996" s="24" t="str">
        <f>IF(B996="","",IFERROR(IF(MAXIFS('Call Log'!$A$2:$A$5000,'Call Log'!$C$2:$C$5000,B996)=0,"",MAXIFS('Call Log'!$A$2:$A$5000,'Call Log'!$C$2:$C$5000,B996)),""))</f>
        <v/>
      </c>
      <c r="S996" s="22"/>
      <c r="T996" s="24"/>
      <c r="U996" s="24"/>
      <c r="V996" s="22"/>
      <c r="W996" s="23"/>
      <c r="X996" s="22"/>
      <c r="Y996" s="22"/>
      <c r="Z996" s="22"/>
      <c r="AA996" s="22"/>
    </row>
    <row r="997" ht="15.0" customHeight="1">
      <c r="A997" s="22"/>
      <c r="B997" s="22"/>
      <c r="C997" s="22"/>
      <c r="D997" s="22"/>
      <c r="E997" s="22"/>
      <c r="F997" s="23"/>
      <c r="G997" s="23"/>
      <c r="H997" s="22"/>
      <c r="I997" s="22"/>
      <c r="J997" s="22"/>
      <c r="K997" s="22"/>
      <c r="L997" s="22"/>
      <c r="M997" s="22"/>
      <c r="N997" s="22"/>
      <c r="O997" s="22" t="str">
        <f>IF(B997="","",IFERROR(LOOKUP(2,1/('Call Log'!$C$2:$C$5000=B997),'Call Log'!$B$2:$B$5000),""))</f>
        <v/>
      </c>
      <c r="P997" s="22" t="str">
        <f>IF(B997="","",COUNTIFS('Call Log'!$C$2:$C$5000,B997,'Call Log'!$A$2:$A$5000,"&gt;="&amp;(TODAY()-WEEKDAY(TODAY(),2)+1)))</f>
        <v/>
      </c>
      <c r="Q997" s="22" t="str">
        <f>IF(B997="","",COUNTIF('Call Log'!$C$2:$C$5000,B997))</f>
        <v/>
      </c>
      <c r="R997" s="24" t="str">
        <f>IF(B997="","",IFERROR(IF(MAXIFS('Call Log'!$A$2:$A$5000,'Call Log'!$C$2:$C$5000,B997)=0,"",MAXIFS('Call Log'!$A$2:$A$5000,'Call Log'!$C$2:$C$5000,B997)),""))</f>
        <v/>
      </c>
      <c r="S997" s="22"/>
      <c r="T997" s="24"/>
      <c r="U997" s="24"/>
      <c r="V997" s="22"/>
      <c r="W997" s="23"/>
      <c r="X997" s="22"/>
      <c r="Y997" s="22"/>
      <c r="Z997" s="22"/>
      <c r="AA997" s="22"/>
    </row>
    <row r="998" ht="15.0" customHeight="1">
      <c r="A998" s="22"/>
      <c r="B998" s="22"/>
      <c r="C998" s="22"/>
      <c r="D998" s="22"/>
      <c r="E998" s="22"/>
      <c r="F998" s="23"/>
      <c r="G998" s="23"/>
      <c r="H998" s="22"/>
      <c r="I998" s="22"/>
      <c r="J998" s="22"/>
      <c r="K998" s="22"/>
      <c r="L998" s="22"/>
      <c r="M998" s="22"/>
      <c r="N998" s="22"/>
      <c r="O998" s="22" t="str">
        <f>IF(B998="","",IFERROR(LOOKUP(2,1/('Call Log'!$C$2:$C$5000=B998),'Call Log'!$B$2:$B$5000),""))</f>
        <v/>
      </c>
      <c r="P998" s="22" t="str">
        <f>IF(B998="","",COUNTIFS('Call Log'!$C$2:$C$5000,B998,'Call Log'!$A$2:$A$5000,"&gt;="&amp;(TODAY()-WEEKDAY(TODAY(),2)+1)))</f>
        <v/>
      </c>
      <c r="Q998" s="22" t="str">
        <f>IF(B998="","",COUNTIF('Call Log'!$C$2:$C$5000,B998))</f>
        <v/>
      </c>
      <c r="R998" s="24" t="str">
        <f>IF(B998="","",IFERROR(IF(MAXIFS('Call Log'!$A$2:$A$5000,'Call Log'!$C$2:$C$5000,B998)=0,"",MAXIFS('Call Log'!$A$2:$A$5000,'Call Log'!$C$2:$C$5000,B998)),""))</f>
        <v/>
      </c>
      <c r="S998" s="22"/>
      <c r="T998" s="24"/>
      <c r="U998" s="24"/>
      <c r="V998" s="22"/>
      <c r="W998" s="23"/>
      <c r="X998" s="22"/>
      <c r="Y998" s="22"/>
      <c r="Z998" s="22"/>
      <c r="AA998" s="22"/>
    </row>
    <row r="999" ht="15.0" customHeight="1">
      <c r="A999" s="22"/>
      <c r="B999" s="22"/>
      <c r="C999" s="22"/>
      <c r="D999" s="22"/>
      <c r="E999" s="22"/>
      <c r="F999" s="23"/>
      <c r="G999" s="23"/>
      <c r="H999" s="22"/>
      <c r="I999" s="22"/>
      <c r="J999" s="22"/>
      <c r="K999" s="22"/>
      <c r="L999" s="22"/>
      <c r="M999" s="22"/>
      <c r="N999" s="22"/>
      <c r="O999" s="22" t="str">
        <f>IF(B999="","",IFERROR(LOOKUP(2,1/('Call Log'!$C$2:$C$5000=B999),'Call Log'!$B$2:$B$5000),""))</f>
        <v/>
      </c>
      <c r="P999" s="22" t="str">
        <f>IF(B999="","",COUNTIFS('Call Log'!$C$2:$C$5000,B999,'Call Log'!$A$2:$A$5000,"&gt;="&amp;(TODAY()-WEEKDAY(TODAY(),2)+1)))</f>
        <v/>
      </c>
      <c r="Q999" s="22" t="str">
        <f>IF(B999="","",COUNTIF('Call Log'!$C$2:$C$5000,B999))</f>
        <v/>
      </c>
      <c r="R999" s="24" t="str">
        <f>IF(B999="","",IFERROR(IF(MAXIFS('Call Log'!$A$2:$A$5000,'Call Log'!$C$2:$C$5000,B999)=0,"",MAXIFS('Call Log'!$A$2:$A$5000,'Call Log'!$C$2:$C$5000,B999)),""))</f>
        <v/>
      </c>
      <c r="S999" s="22"/>
      <c r="T999" s="24"/>
      <c r="U999" s="24"/>
      <c r="V999" s="22"/>
      <c r="W999" s="23"/>
      <c r="X999" s="22"/>
      <c r="Y999" s="22"/>
      <c r="Z999" s="22"/>
      <c r="AA999" s="22"/>
    </row>
    <row r="1000" ht="15.0" customHeight="1">
      <c r="A1000" s="22"/>
      <c r="B1000" s="22"/>
      <c r="C1000" s="22"/>
      <c r="D1000" s="22"/>
      <c r="E1000" s="22"/>
      <c r="F1000" s="23"/>
      <c r="G1000" s="23"/>
      <c r="H1000" s="22"/>
      <c r="I1000" s="22"/>
      <c r="J1000" s="22"/>
      <c r="K1000" s="22"/>
      <c r="L1000" s="22"/>
      <c r="M1000" s="22"/>
      <c r="N1000" s="22"/>
      <c r="O1000" s="22" t="str">
        <f>IF(B1000="","",IFERROR(LOOKUP(2,1/('Call Log'!$C$2:$C$5000=B1000),'Call Log'!$B$2:$B$5000),""))</f>
        <v/>
      </c>
      <c r="P1000" s="22" t="str">
        <f>IF(B1000="","",COUNTIFS('Call Log'!$C$2:$C$5000,B1000,'Call Log'!$A$2:$A$5000,"&gt;="&amp;(TODAY()-WEEKDAY(TODAY(),2)+1)))</f>
        <v/>
      </c>
      <c r="Q1000" s="22" t="str">
        <f>IF(B1000="","",COUNTIF('Call Log'!$C$2:$C$5000,B1000))</f>
        <v/>
      </c>
      <c r="R1000" s="24" t="str">
        <f>IF(B1000="","",IFERROR(IF(MAXIFS('Call Log'!$A$2:$A$5000,'Call Log'!$C$2:$C$5000,B1000)=0,"",MAXIFS('Call Log'!$A$2:$A$5000,'Call Log'!$C$2:$C$5000,B1000)),""))</f>
        <v/>
      </c>
      <c r="S1000" s="22"/>
      <c r="T1000" s="24"/>
      <c r="U1000" s="24"/>
      <c r="V1000" s="22"/>
      <c r="W1000" s="23"/>
      <c r="X1000" s="22"/>
      <c r="Y1000" s="22"/>
      <c r="Z1000" s="22"/>
      <c r="AA1000" s="22"/>
    </row>
  </sheetData>
  <autoFilter ref="$A$1:$AA$1000"/>
  <conditionalFormatting sqref="T2:T1000">
    <cfRule type="expression" dxfId="3" priority="1">
      <formula>AND(T2&lt;&gt;"",T2&lt;TODAY())</formula>
    </cfRule>
  </conditionalFormatting>
  <conditionalFormatting sqref="T2:T1000">
    <cfRule type="expression" dxfId="4" priority="2">
      <formula>AND(T2&lt;&gt;"",T2=TODAY())</formula>
    </cfRule>
  </conditionalFormatting>
  <conditionalFormatting sqref="N2:N1000">
    <cfRule type="expression" dxfId="5" priority="3">
      <formula>$N2="Hot"</formula>
    </cfRule>
  </conditionalFormatting>
  <conditionalFormatting sqref="B2:B1000">
    <cfRule type="expression" dxfId="6" priority="4">
      <formula>AND($M2="2. In Call Rotation",$P2=0)</formula>
    </cfRule>
  </conditionalFormatting>
  <conditionalFormatting sqref="P2:P1000">
    <cfRule type="expression" dxfId="6" priority="5">
      <formula>AND($M2="2. In Call Rotation",$P2=0)</formula>
    </cfRule>
  </conditionalFormatting>
  <conditionalFormatting sqref="A2:AA1000">
    <cfRule type="expression" dxfId="7" priority="6">
      <formula>LEFT($M2,1)="X"</formula>
    </cfRule>
  </conditionalFormatting>
  <dataValidations>
    <dataValidation type="list" allowBlank="1" sqref="N2:N1000">
      <formula1>Lists!$C$2:$C$7</formula1>
    </dataValidation>
    <dataValidation type="list" allowBlank="1" sqref="M2:M1000">
      <formula1>Lists!$A$2:$A$11</formula1>
    </dataValidation>
    <dataValidation type="list" allowBlank="1" sqref="H2:H1000">
      <formula1>Lists!$B$2:$B$6</formula1>
    </dataValidation>
    <dataValidation type="list" allowBlank="1" sqref="S2:S1000">
      <formula1>Lists!$D$2:$D$6</formula1>
    </dataValidation>
    <dataValidation type="list" allowBlank="1" sqref="Z2:Z1000">
      <formula1>Lists!$G$2:$G$8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28.0"/>
    <col customWidth="1" min="4" max="4" width="20.0"/>
    <col customWidth="1" min="5" max="5" width="26.0"/>
    <col customWidth="1" min="6" max="6" width="15.0"/>
    <col customWidth="1" min="7" max="7" width="7.0"/>
    <col customWidth="1" min="8" max="8" width="55.0"/>
    <col customWidth="1" min="9" max="9" width="30.0"/>
    <col customWidth="1" min="10" max="10" width="13.0"/>
  </cols>
  <sheetData>
    <row r="1" ht="27.75" customHeight="1">
      <c r="A1" s="18" t="s">
        <v>4471</v>
      </c>
      <c r="B1" s="18" t="s">
        <v>9</v>
      </c>
      <c r="C1" s="18" t="s">
        <v>88</v>
      </c>
      <c r="D1" s="18" t="s">
        <v>48</v>
      </c>
      <c r="E1" s="18" t="s">
        <v>4472</v>
      </c>
      <c r="F1" s="18" t="s">
        <v>4473</v>
      </c>
      <c r="G1" s="18" t="s">
        <v>4474</v>
      </c>
      <c r="H1" s="18" t="s">
        <v>4475</v>
      </c>
      <c r="I1" s="18" t="s">
        <v>4476</v>
      </c>
      <c r="J1" s="18" t="s">
        <v>4477</v>
      </c>
    </row>
    <row r="2" ht="15.0" customHeight="1">
      <c r="A2" s="25"/>
      <c r="B2" s="1"/>
      <c r="C2" s="1"/>
      <c r="D2" s="1"/>
      <c r="E2" s="1"/>
      <c r="F2" s="1"/>
      <c r="G2" s="1"/>
      <c r="H2" s="1"/>
      <c r="I2" s="1"/>
      <c r="J2" s="25"/>
    </row>
    <row r="3" ht="15.0" customHeight="1">
      <c r="A3" s="25"/>
      <c r="B3" s="1"/>
      <c r="C3" s="1"/>
      <c r="D3" s="1"/>
      <c r="E3" s="1"/>
      <c r="F3" s="1"/>
      <c r="G3" s="1"/>
      <c r="H3" s="1"/>
      <c r="I3" s="1"/>
      <c r="J3" s="25"/>
    </row>
    <row r="4" ht="15.0" customHeight="1">
      <c r="A4" s="25"/>
      <c r="B4" s="1"/>
      <c r="C4" s="1"/>
      <c r="D4" s="1"/>
      <c r="E4" s="1"/>
      <c r="F4" s="1"/>
      <c r="G4" s="1"/>
      <c r="H4" s="1"/>
      <c r="I4" s="1"/>
      <c r="J4" s="25"/>
    </row>
    <row r="5" ht="15.0" customHeight="1">
      <c r="A5" s="25"/>
      <c r="B5" s="1"/>
      <c r="C5" s="1"/>
      <c r="D5" s="1"/>
      <c r="E5" s="1"/>
      <c r="F5" s="1"/>
      <c r="G5" s="1"/>
      <c r="H5" s="1"/>
      <c r="I5" s="1"/>
      <c r="J5" s="25"/>
    </row>
    <row r="6" ht="15.0" customHeight="1">
      <c r="A6" s="25"/>
      <c r="B6" s="1"/>
      <c r="C6" s="1"/>
      <c r="D6" s="1"/>
      <c r="E6" s="1"/>
      <c r="F6" s="1"/>
      <c r="G6" s="1"/>
      <c r="H6" s="1"/>
      <c r="I6" s="1"/>
      <c r="J6" s="25"/>
    </row>
    <row r="7" ht="15.0" customHeight="1">
      <c r="A7" s="25"/>
      <c r="B7" s="1"/>
      <c r="C7" s="1"/>
      <c r="D7" s="1"/>
      <c r="E7" s="1"/>
      <c r="F7" s="1"/>
      <c r="G7" s="1"/>
      <c r="H7" s="1"/>
      <c r="I7" s="1"/>
      <c r="J7" s="25"/>
    </row>
    <row r="8" ht="15.0" customHeight="1">
      <c r="A8" s="25"/>
      <c r="B8" s="1"/>
      <c r="C8" s="1"/>
      <c r="D8" s="1"/>
      <c r="E8" s="1"/>
      <c r="F8" s="1"/>
      <c r="G8" s="1"/>
      <c r="H8" s="1"/>
      <c r="I8" s="1"/>
      <c r="J8" s="25"/>
    </row>
    <row r="9" ht="15.0" customHeight="1">
      <c r="A9" s="25"/>
      <c r="B9" s="1"/>
      <c r="C9" s="1"/>
      <c r="D9" s="1"/>
      <c r="E9" s="1"/>
      <c r="F9" s="1"/>
      <c r="G9" s="1"/>
      <c r="H9" s="1"/>
      <c r="I9" s="1"/>
      <c r="J9" s="25"/>
    </row>
    <row r="10" ht="15.0" customHeight="1">
      <c r="A10" s="25"/>
      <c r="B10" s="1"/>
      <c r="C10" s="1"/>
      <c r="D10" s="1"/>
      <c r="E10" s="1"/>
      <c r="F10" s="1"/>
      <c r="G10" s="1"/>
      <c r="H10" s="1"/>
      <c r="I10" s="1"/>
      <c r="J10" s="25"/>
    </row>
    <row r="11" ht="15.0" customHeight="1">
      <c r="A11" s="25"/>
      <c r="B11" s="1"/>
      <c r="C11" s="1"/>
      <c r="D11" s="1"/>
      <c r="E11" s="1"/>
      <c r="F11" s="1"/>
      <c r="G11" s="1"/>
      <c r="H11" s="1"/>
      <c r="I11" s="1"/>
      <c r="J11" s="25"/>
    </row>
    <row r="12" ht="15.0" customHeight="1">
      <c r="A12" s="25"/>
      <c r="B12" s="1"/>
      <c r="C12" s="1"/>
      <c r="D12" s="1"/>
      <c r="E12" s="1"/>
      <c r="F12" s="1"/>
      <c r="G12" s="1"/>
      <c r="H12" s="1"/>
      <c r="I12" s="1"/>
      <c r="J12" s="25"/>
    </row>
    <row r="13" ht="15.0" customHeight="1">
      <c r="A13" s="25"/>
      <c r="B13" s="1"/>
      <c r="C13" s="1"/>
      <c r="D13" s="1"/>
      <c r="E13" s="1"/>
      <c r="F13" s="1"/>
      <c r="G13" s="1"/>
      <c r="H13" s="1"/>
      <c r="I13" s="1"/>
      <c r="J13" s="25"/>
    </row>
    <row r="14" ht="15.0" customHeight="1">
      <c r="A14" s="25"/>
      <c r="B14" s="1"/>
      <c r="C14" s="1"/>
      <c r="D14" s="1"/>
      <c r="E14" s="1"/>
      <c r="F14" s="1"/>
      <c r="G14" s="1"/>
      <c r="H14" s="1"/>
      <c r="I14" s="1"/>
      <c r="J14" s="25"/>
    </row>
    <row r="15" ht="15.0" customHeight="1">
      <c r="A15" s="25"/>
      <c r="B15" s="1"/>
      <c r="C15" s="1"/>
      <c r="D15" s="1"/>
      <c r="E15" s="1"/>
      <c r="F15" s="1"/>
      <c r="G15" s="1"/>
      <c r="H15" s="1"/>
      <c r="I15" s="1"/>
      <c r="J15" s="25"/>
    </row>
    <row r="16" ht="15.0" customHeight="1">
      <c r="A16" s="25"/>
      <c r="B16" s="1"/>
      <c r="C16" s="1"/>
      <c r="D16" s="1"/>
      <c r="E16" s="1"/>
      <c r="F16" s="1"/>
      <c r="G16" s="1"/>
      <c r="H16" s="1"/>
      <c r="I16" s="1"/>
      <c r="J16" s="25"/>
    </row>
    <row r="17" ht="15.0" customHeight="1">
      <c r="A17" s="25"/>
      <c r="B17" s="1"/>
      <c r="C17" s="1"/>
      <c r="D17" s="1"/>
      <c r="E17" s="1"/>
      <c r="F17" s="1"/>
      <c r="G17" s="1"/>
      <c r="H17" s="1"/>
      <c r="I17" s="1"/>
      <c r="J17" s="25"/>
    </row>
    <row r="18" ht="15.0" customHeight="1">
      <c r="A18" s="25"/>
      <c r="B18" s="1"/>
      <c r="C18" s="1"/>
      <c r="D18" s="1"/>
      <c r="E18" s="1"/>
      <c r="F18" s="1"/>
      <c r="G18" s="1"/>
      <c r="H18" s="1"/>
      <c r="I18" s="1"/>
      <c r="J18" s="25"/>
    </row>
    <row r="19" ht="15.0" customHeight="1">
      <c r="A19" s="25"/>
      <c r="B19" s="1"/>
      <c r="C19" s="1"/>
      <c r="D19" s="1"/>
      <c r="E19" s="1"/>
      <c r="F19" s="1"/>
      <c r="G19" s="1"/>
      <c r="H19" s="1"/>
      <c r="I19" s="1"/>
      <c r="J19" s="25"/>
    </row>
    <row r="20" ht="15.0" customHeight="1">
      <c r="A20" s="25"/>
      <c r="B20" s="1"/>
      <c r="C20" s="1"/>
      <c r="D20" s="1"/>
      <c r="E20" s="1"/>
      <c r="F20" s="1"/>
      <c r="G20" s="1"/>
      <c r="H20" s="1"/>
      <c r="I20" s="1"/>
      <c r="J20" s="25"/>
    </row>
    <row r="21" ht="15.0" customHeight="1">
      <c r="A21" s="25"/>
      <c r="B21" s="1"/>
      <c r="C21" s="1"/>
      <c r="D21" s="1"/>
      <c r="E21" s="1"/>
      <c r="F21" s="1"/>
      <c r="G21" s="1"/>
      <c r="H21" s="1"/>
      <c r="I21" s="1"/>
      <c r="J21" s="25"/>
    </row>
    <row r="22" ht="15.0" customHeight="1">
      <c r="A22" s="25"/>
      <c r="B22" s="1"/>
      <c r="C22" s="1"/>
      <c r="D22" s="1"/>
      <c r="E22" s="1"/>
      <c r="F22" s="1"/>
      <c r="G22" s="1"/>
      <c r="H22" s="1"/>
      <c r="I22" s="1"/>
      <c r="J22" s="25"/>
    </row>
    <row r="23" ht="15.0" customHeight="1">
      <c r="A23" s="25"/>
      <c r="B23" s="1"/>
      <c r="C23" s="1"/>
      <c r="D23" s="1"/>
      <c r="E23" s="1"/>
      <c r="F23" s="1"/>
      <c r="G23" s="1"/>
      <c r="H23" s="1"/>
      <c r="I23" s="1"/>
      <c r="J23" s="25"/>
    </row>
    <row r="24" ht="15.0" customHeight="1">
      <c r="A24" s="25"/>
      <c r="B24" s="1"/>
      <c r="C24" s="1"/>
      <c r="D24" s="1"/>
      <c r="E24" s="1"/>
      <c r="F24" s="1"/>
      <c r="G24" s="1"/>
      <c r="H24" s="1"/>
      <c r="I24" s="1"/>
      <c r="J24" s="25"/>
    </row>
    <row r="25" ht="15.0" customHeight="1">
      <c r="A25" s="25"/>
      <c r="B25" s="1"/>
      <c r="C25" s="1"/>
      <c r="D25" s="1"/>
      <c r="E25" s="1"/>
      <c r="F25" s="1"/>
      <c r="G25" s="1"/>
      <c r="H25" s="1"/>
      <c r="I25" s="1"/>
      <c r="J25" s="25"/>
    </row>
    <row r="26" ht="15.0" customHeight="1">
      <c r="A26" s="25"/>
      <c r="B26" s="1"/>
      <c r="C26" s="1"/>
      <c r="D26" s="1"/>
      <c r="E26" s="1"/>
      <c r="F26" s="1"/>
      <c r="G26" s="1"/>
      <c r="H26" s="1"/>
      <c r="I26" s="1"/>
      <c r="J26" s="25"/>
    </row>
    <row r="27" ht="15.0" customHeight="1">
      <c r="A27" s="25"/>
      <c r="B27" s="1"/>
      <c r="C27" s="1"/>
      <c r="D27" s="1"/>
      <c r="E27" s="1"/>
      <c r="F27" s="1"/>
      <c r="G27" s="1"/>
      <c r="H27" s="1"/>
      <c r="I27" s="1"/>
      <c r="J27" s="25"/>
    </row>
    <row r="28" ht="15.0" customHeight="1">
      <c r="A28" s="25"/>
      <c r="B28" s="1"/>
      <c r="C28" s="1"/>
      <c r="D28" s="1"/>
      <c r="E28" s="1"/>
      <c r="F28" s="1"/>
      <c r="G28" s="1"/>
      <c r="H28" s="1"/>
      <c r="I28" s="1"/>
      <c r="J28" s="25"/>
    </row>
    <row r="29" ht="15.0" customHeight="1">
      <c r="A29" s="25"/>
      <c r="B29" s="1"/>
      <c r="C29" s="1"/>
      <c r="D29" s="1"/>
      <c r="E29" s="1"/>
      <c r="F29" s="1"/>
      <c r="G29" s="1"/>
      <c r="H29" s="1"/>
      <c r="I29" s="1"/>
      <c r="J29" s="25"/>
    </row>
    <row r="30" ht="15.0" customHeight="1">
      <c r="A30" s="25"/>
      <c r="B30" s="1"/>
      <c r="C30" s="1"/>
      <c r="D30" s="1"/>
      <c r="E30" s="1"/>
      <c r="F30" s="1"/>
      <c r="G30" s="1"/>
      <c r="H30" s="1"/>
      <c r="I30" s="1"/>
      <c r="J30" s="25"/>
    </row>
    <row r="31" ht="15.0" customHeight="1">
      <c r="A31" s="25"/>
      <c r="B31" s="1"/>
      <c r="C31" s="1"/>
      <c r="D31" s="1"/>
      <c r="E31" s="1"/>
      <c r="F31" s="1"/>
      <c r="G31" s="1"/>
      <c r="H31" s="1"/>
      <c r="I31" s="1"/>
      <c r="J31" s="25"/>
    </row>
    <row r="32" ht="15.0" customHeight="1">
      <c r="A32" s="25"/>
      <c r="B32" s="1"/>
      <c r="C32" s="1"/>
      <c r="D32" s="1"/>
      <c r="E32" s="1"/>
      <c r="F32" s="1"/>
      <c r="G32" s="1"/>
      <c r="H32" s="1"/>
      <c r="I32" s="1"/>
      <c r="J32" s="25"/>
    </row>
    <row r="33" ht="15.0" customHeight="1">
      <c r="A33" s="25"/>
      <c r="B33" s="1"/>
      <c r="C33" s="1"/>
      <c r="D33" s="1"/>
      <c r="E33" s="1"/>
      <c r="F33" s="1"/>
      <c r="G33" s="1"/>
      <c r="H33" s="1"/>
      <c r="I33" s="1"/>
      <c r="J33" s="25"/>
    </row>
    <row r="34" ht="15.0" customHeight="1">
      <c r="A34" s="25"/>
      <c r="B34" s="1"/>
      <c r="C34" s="1"/>
      <c r="D34" s="1"/>
      <c r="E34" s="1"/>
      <c r="F34" s="1"/>
      <c r="G34" s="1"/>
      <c r="H34" s="1"/>
      <c r="I34" s="1"/>
      <c r="J34" s="25"/>
    </row>
    <row r="35" ht="15.0" customHeight="1">
      <c r="A35" s="25"/>
      <c r="B35" s="1"/>
      <c r="C35" s="1"/>
      <c r="D35" s="1"/>
      <c r="E35" s="1"/>
      <c r="F35" s="1"/>
      <c r="G35" s="1"/>
      <c r="H35" s="1"/>
      <c r="I35" s="1"/>
      <c r="J35" s="25"/>
    </row>
    <row r="36" ht="15.0" customHeight="1">
      <c r="A36" s="25"/>
      <c r="B36" s="1"/>
      <c r="C36" s="1"/>
      <c r="D36" s="1"/>
      <c r="E36" s="1"/>
      <c r="F36" s="1"/>
      <c r="G36" s="1"/>
      <c r="H36" s="1"/>
      <c r="I36" s="1"/>
      <c r="J36" s="25"/>
    </row>
    <row r="37" ht="15.0" customHeight="1">
      <c r="A37" s="25"/>
      <c r="B37" s="1"/>
      <c r="C37" s="1"/>
      <c r="D37" s="1"/>
      <c r="E37" s="1"/>
      <c r="F37" s="1"/>
      <c r="G37" s="1"/>
      <c r="H37" s="1"/>
      <c r="I37" s="1"/>
      <c r="J37" s="25"/>
    </row>
    <row r="38" ht="15.0" customHeight="1">
      <c r="A38" s="25"/>
      <c r="B38" s="1"/>
      <c r="C38" s="1"/>
      <c r="D38" s="1"/>
      <c r="E38" s="1"/>
      <c r="F38" s="1"/>
      <c r="G38" s="1"/>
      <c r="H38" s="1"/>
      <c r="I38" s="1"/>
      <c r="J38" s="25"/>
    </row>
    <row r="39" ht="15.0" customHeight="1">
      <c r="A39" s="25"/>
      <c r="B39" s="1"/>
      <c r="C39" s="1"/>
      <c r="D39" s="1"/>
      <c r="E39" s="1"/>
      <c r="F39" s="1"/>
      <c r="G39" s="1"/>
      <c r="H39" s="1"/>
      <c r="I39" s="1"/>
      <c r="J39" s="25"/>
    </row>
    <row r="40" ht="15.0" customHeight="1">
      <c r="A40" s="25"/>
      <c r="B40" s="1"/>
      <c r="C40" s="1"/>
      <c r="D40" s="1"/>
      <c r="E40" s="1"/>
      <c r="F40" s="1"/>
      <c r="G40" s="1"/>
      <c r="H40" s="1"/>
      <c r="I40" s="1"/>
      <c r="J40" s="25"/>
    </row>
    <row r="41" ht="15.0" customHeight="1">
      <c r="A41" s="25"/>
      <c r="B41" s="1"/>
      <c r="C41" s="1"/>
      <c r="D41" s="1"/>
      <c r="E41" s="1"/>
      <c r="F41" s="1"/>
      <c r="G41" s="1"/>
      <c r="H41" s="1"/>
      <c r="I41" s="1"/>
      <c r="J41" s="25"/>
    </row>
    <row r="42" ht="15.0" customHeight="1">
      <c r="A42" s="25"/>
      <c r="B42" s="1"/>
      <c r="C42" s="1"/>
      <c r="D42" s="1"/>
      <c r="E42" s="1"/>
      <c r="F42" s="1"/>
      <c r="G42" s="1"/>
      <c r="H42" s="1"/>
      <c r="I42" s="1"/>
      <c r="J42" s="25"/>
    </row>
    <row r="43" ht="15.0" customHeight="1">
      <c r="A43" s="25"/>
      <c r="B43" s="1"/>
      <c r="C43" s="1"/>
      <c r="D43" s="1"/>
      <c r="E43" s="1"/>
      <c r="F43" s="1"/>
      <c r="G43" s="1"/>
      <c r="H43" s="1"/>
      <c r="I43" s="1"/>
      <c r="J43" s="25"/>
    </row>
    <row r="44" ht="15.0" customHeight="1">
      <c r="A44" s="25"/>
      <c r="B44" s="1"/>
      <c r="C44" s="1"/>
      <c r="D44" s="1"/>
      <c r="E44" s="1"/>
      <c r="F44" s="1"/>
      <c r="G44" s="1"/>
      <c r="H44" s="1"/>
      <c r="I44" s="1"/>
      <c r="J44" s="25"/>
    </row>
    <row r="45" ht="15.0" customHeight="1">
      <c r="A45" s="25"/>
      <c r="B45" s="1"/>
      <c r="C45" s="1"/>
      <c r="D45" s="1"/>
      <c r="E45" s="1"/>
      <c r="F45" s="1"/>
      <c r="G45" s="1"/>
      <c r="H45" s="1"/>
      <c r="I45" s="1"/>
      <c r="J45" s="25"/>
    </row>
    <row r="46" ht="15.0" customHeight="1">
      <c r="A46" s="25"/>
      <c r="B46" s="1"/>
      <c r="C46" s="1"/>
      <c r="D46" s="1"/>
      <c r="E46" s="1"/>
      <c r="F46" s="1"/>
      <c r="G46" s="1"/>
      <c r="H46" s="1"/>
      <c r="I46" s="1"/>
      <c r="J46" s="25"/>
    </row>
    <row r="47" ht="15.0" customHeight="1">
      <c r="A47" s="25"/>
      <c r="B47" s="1"/>
      <c r="C47" s="1"/>
      <c r="D47" s="1"/>
      <c r="E47" s="1"/>
      <c r="F47" s="1"/>
      <c r="G47" s="1"/>
      <c r="H47" s="1"/>
      <c r="I47" s="1"/>
      <c r="J47" s="25"/>
    </row>
    <row r="48" ht="15.0" customHeight="1">
      <c r="A48" s="25"/>
      <c r="B48" s="1"/>
      <c r="C48" s="1"/>
      <c r="D48" s="1"/>
      <c r="E48" s="1"/>
      <c r="F48" s="1"/>
      <c r="G48" s="1"/>
      <c r="H48" s="1"/>
      <c r="I48" s="1"/>
      <c r="J48" s="25"/>
    </row>
    <row r="49" ht="15.0" customHeight="1">
      <c r="A49" s="25"/>
      <c r="B49" s="1"/>
      <c r="C49" s="1"/>
      <c r="D49" s="1"/>
      <c r="E49" s="1"/>
      <c r="F49" s="1"/>
      <c r="G49" s="1"/>
      <c r="H49" s="1"/>
      <c r="I49" s="1"/>
      <c r="J49" s="25"/>
    </row>
    <row r="50" ht="15.0" customHeight="1">
      <c r="A50" s="25"/>
      <c r="B50" s="1"/>
      <c r="C50" s="1"/>
      <c r="D50" s="1"/>
      <c r="E50" s="1"/>
      <c r="F50" s="1"/>
      <c r="G50" s="1"/>
      <c r="H50" s="1"/>
      <c r="I50" s="1"/>
      <c r="J50" s="25"/>
    </row>
    <row r="51" ht="15.0" customHeight="1">
      <c r="A51" s="25"/>
      <c r="B51" s="1"/>
      <c r="C51" s="1"/>
      <c r="D51" s="1"/>
      <c r="E51" s="1"/>
      <c r="F51" s="1"/>
      <c r="G51" s="1"/>
      <c r="H51" s="1"/>
      <c r="I51" s="1"/>
      <c r="J51" s="25"/>
    </row>
    <row r="52" ht="15.0" customHeight="1">
      <c r="A52" s="25"/>
      <c r="B52" s="1"/>
      <c r="C52" s="1"/>
      <c r="D52" s="1"/>
      <c r="E52" s="1"/>
      <c r="F52" s="1"/>
      <c r="G52" s="1"/>
      <c r="H52" s="1"/>
      <c r="I52" s="1"/>
      <c r="J52" s="25"/>
    </row>
    <row r="53" ht="15.0" customHeight="1">
      <c r="A53" s="25"/>
      <c r="B53" s="1"/>
      <c r="C53" s="1"/>
      <c r="D53" s="1"/>
      <c r="E53" s="1"/>
      <c r="F53" s="1"/>
      <c r="G53" s="1"/>
      <c r="H53" s="1"/>
      <c r="I53" s="1"/>
      <c r="J53" s="25"/>
    </row>
    <row r="54" ht="15.0" customHeight="1">
      <c r="A54" s="25"/>
      <c r="B54" s="1"/>
      <c r="C54" s="1"/>
      <c r="D54" s="1"/>
      <c r="E54" s="1"/>
      <c r="F54" s="1"/>
      <c r="G54" s="1"/>
      <c r="H54" s="1"/>
      <c r="I54" s="1"/>
      <c r="J54" s="25"/>
    </row>
    <row r="55" ht="15.0" customHeight="1">
      <c r="A55" s="25"/>
      <c r="B55" s="1"/>
      <c r="C55" s="1"/>
      <c r="D55" s="1"/>
      <c r="E55" s="1"/>
      <c r="F55" s="1"/>
      <c r="G55" s="1"/>
      <c r="H55" s="1"/>
      <c r="I55" s="1"/>
      <c r="J55" s="25"/>
    </row>
    <row r="56" ht="15.0" customHeight="1">
      <c r="A56" s="25"/>
      <c r="B56" s="1"/>
      <c r="C56" s="1"/>
      <c r="D56" s="1"/>
      <c r="E56" s="1"/>
      <c r="F56" s="1"/>
      <c r="G56" s="1"/>
      <c r="H56" s="1"/>
      <c r="I56" s="1"/>
      <c r="J56" s="25"/>
    </row>
    <row r="57" ht="15.0" customHeight="1">
      <c r="A57" s="25"/>
      <c r="B57" s="1"/>
      <c r="C57" s="1"/>
      <c r="D57" s="1"/>
      <c r="E57" s="1"/>
      <c r="F57" s="1"/>
      <c r="G57" s="1"/>
      <c r="H57" s="1"/>
      <c r="I57" s="1"/>
      <c r="J57" s="25"/>
    </row>
    <row r="58" ht="15.0" customHeight="1">
      <c r="A58" s="25"/>
      <c r="B58" s="1"/>
      <c r="C58" s="1"/>
      <c r="D58" s="1"/>
      <c r="E58" s="1"/>
      <c r="F58" s="1"/>
      <c r="G58" s="1"/>
      <c r="H58" s="1"/>
      <c r="I58" s="1"/>
      <c r="J58" s="25"/>
    </row>
    <row r="59" ht="15.0" customHeight="1">
      <c r="A59" s="25"/>
      <c r="B59" s="1"/>
      <c r="C59" s="1"/>
      <c r="D59" s="1"/>
      <c r="E59" s="1"/>
      <c r="F59" s="1"/>
      <c r="G59" s="1"/>
      <c r="H59" s="1"/>
      <c r="I59" s="1"/>
      <c r="J59" s="25"/>
    </row>
    <row r="60" ht="15.0" customHeight="1">
      <c r="A60" s="25"/>
      <c r="B60" s="1"/>
      <c r="C60" s="1"/>
      <c r="D60" s="1"/>
      <c r="E60" s="1"/>
      <c r="F60" s="1"/>
      <c r="G60" s="1"/>
      <c r="H60" s="1"/>
      <c r="I60" s="1"/>
      <c r="J60" s="25"/>
    </row>
    <row r="61" ht="15.0" customHeight="1">
      <c r="A61" s="25"/>
      <c r="B61" s="1"/>
      <c r="C61" s="1"/>
      <c r="D61" s="1"/>
      <c r="E61" s="1"/>
      <c r="F61" s="1"/>
      <c r="G61" s="1"/>
      <c r="H61" s="1"/>
      <c r="I61" s="1"/>
      <c r="J61" s="25"/>
    </row>
    <row r="62" ht="15.0" customHeight="1">
      <c r="A62" s="25"/>
      <c r="B62" s="1"/>
      <c r="C62" s="1"/>
      <c r="D62" s="1"/>
      <c r="E62" s="1"/>
      <c r="F62" s="1"/>
      <c r="G62" s="1"/>
      <c r="H62" s="1"/>
      <c r="I62" s="1"/>
      <c r="J62" s="25"/>
    </row>
    <row r="63" ht="15.0" customHeight="1">
      <c r="A63" s="25"/>
      <c r="B63" s="1"/>
      <c r="C63" s="1"/>
      <c r="D63" s="1"/>
      <c r="E63" s="1"/>
      <c r="F63" s="1"/>
      <c r="G63" s="1"/>
      <c r="H63" s="1"/>
      <c r="I63" s="1"/>
      <c r="J63" s="25"/>
    </row>
    <row r="64" ht="15.0" customHeight="1">
      <c r="A64" s="25"/>
      <c r="B64" s="1"/>
      <c r="C64" s="1"/>
      <c r="D64" s="1"/>
      <c r="E64" s="1"/>
      <c r="F64" s="1"/>
      <c r="G64" s="1"/>
      <c r="H64" s="1"/>
      <c r="I64" s="1"/>
      <c r="J64" s="25"/>
    </row>
    <row r="65" ht="15.0" customHeight="1">
      <c r="A65" s="25"/>
      <c r="B65" s="1"/>
      <c r="C65" s="1"/>
      <c r="D65" s="1"/>
      <c r="E65" s="1"/>
      <c r="F65" s="1"/>
      <c r="G65" s="1"/>
      <c r="H65" s="1"/>
      <c r="I65" s="1"/>
      <c r="J65" s="25"/>
    </row>
    <row r="66" ht="15.0" customHeight="1">
      <c r="A66" s="25"/>
      <c r="B66" s="1"/>
      <c r="C66" s="1"/>
      <c r="D66" s="1"/>
      <c r="E66" s="1"/>
      <c r="F66" s="1"/>
      <c r="G66" s="1"/>
      <c r="H66" s="1"/>
      <c r="I66" s="1"/>
      <c r="J66" s="25"/>
    </row>
    <row r="67" ht="15.0" customHeight="1">
      <c r="A67" s="25"/>
      <c r="B67" s="1"/>
      <c r="C67" s="1"/>
      <c r="D67" s="1"/>
      <c r="E67" s="1"/>
      <c r="F67" s="1"/>
      <c r="G67" s="1"/>
      <c r="H67" s="1"/>
      <c r="I67" s="1"/>
      <c r="J67" s="25"/>
    </row>
    <row r="68" ht="15.0" customHeight="1">
      <c r="A68" s="25"/>
      <c r="B68" s="1"/>
      <c r="C68" s="1"/>
      <c r="D68" s="1"/>
      <c r="E68" s="1"/>
      <c r="F68" s="1"/>
      <c r="G68" s="1"/>
      <c r="H68" s="1"/>
      <c r="I68" s="1"/>
      <c r="J68" s="25"/>
    </row>
    <row r="69" ht="15.0" customHeight="1">
      <c r="A69" s="25"/>
      <c r="B69" s="1"/>
      <c r="C69" s="1"/>
      <c r="D69" s="1"/>
      <c r="E69" s="1"/>
      <c r="F69" s="1"/>
      <c r="G69" s="1"/>
      <c r="H69" s="1"/>
      <c r="I69" s="1"/>
      <c r="J69" s="25"/>
    </row>
    <row r="70" ht="15.0" customHeight="1">
      <c r="A70" s="25"/>
      <c r="B70" s="1"/>
      <c r="C70" s="1"/>
      <c r="D70" s="1"/>
      <c r="E70" s="1"/>
      <c r="F70" s="1"/>
      <c r="G70" s="1"/>
      <c r="H70" s="1"/>
      <c r="I70" s="1"/>
      <c r="J70" s="25"/>
    </row>
    <row r="71" ht="15.0" customHeight="1">
      <c r="A71" s="25"/>
      <c r="B71" s="1"/>
      <c r="C71" s="1"/>
      <c r="D71" s="1"/>
      <c r="E71" s="1"/>
      <c r="F71" s="1"/>
      <c r="G71" s="1"/>
      <c r="H71" s="1"/>
      <c r="I71" s="1"/>
      <c r="J71" s="25"/>
    </row>
    <row r="72" ht="15.0" customHeight="1">
      <c r="A72" s="25"/>
      <c r="B72" s="1"/>
      <c r="C72" s="1"/>
      <c r="D72" s="1"/>
      <c r="E72" s="1"/>
      <c r="F72" s="1"/>
      <c r="G72" s="1"/>
      <c r="H72" s="1"/>
      <c r="I72" s="1"/>
      <c r="J72" s="25"/>
    </row>
    <row r="73" ht="15.0" customHeight="1">
      <c r="A73" s="25"/>
      <c r="B73" s="1"/>
      <c r="C73" s="1"/>
      <c r="D73" s="1"/>
      <c r="E73" s="1"/>
      <c r="F73" s="1"/>
      <c r="G73" s="1"/>
      <c r="H73" s="1"/>
      <c r="I73" s="1"/>
      <c r="J73" s="25"/>
    </row>
    <row r="74" ht="15.0" customHeight="1">
      <c r="A74" s="25"/>
      <c r="B74" s="1"/>
      <c r="C74" s="1"/>
      <c r="D74" s="1"/>
      <c r="E74" s="1"/>
      <c r="F74" s="1"/>
      <c r="G74" s="1"/>
      <c r="H74" s="1"/>
      <c r="I74" s="1"/>
      <c r="J74" s="25"/>
    </row>
    <row r="75" ht="15.0" customHeight="1">
      <c r="A75" s="25"/>
      <c r="B75" s="1"/>
      <c r="C75" s="1"/>
      <c r="D75" s="1"/>
      <c r="E75" s="1"/>
      <c r="F75" s="1"/>
      <c r="G75" s="1"/>
      <c r="H75" s="1"/>
      <c r="I75" s="1"/>
      <c r="J75" s="25"/>
    </row>
    <row r="76" ht="15.0" customHeight="1">
      <c r="A76" s="25"/>
      <c r="B76" s="1"/>
      <c r="C76" s="1"/>
      <c r="D76" s="1"/>
      <c r="E76" s="1"/>
      <c r="F76" s="1"/>
      <c r="G76" s="1"/>
      <c r="H76" s="1"/>
      <c r="I76" s="1"/>
      <c r="J76" s="25"/>
    </row>
    <row r="77" ht="15.0" customHeight="1">
      <c r="A77" s="25"/>
      <c r="B77" s="1"/>
      <c r="C77" s="1"/>
      <c r="D77" s="1"/>
      <c r="E77" s="1"/>
      <c r="F77" s="1"/>
      <c r="G77" s="1"/>
      <c r="H77" s="1"/>
      <c r="I77" s="1"/>
      <c r="J77" s="25"/>
    </row>
    <row r="78" ht="15.0" customHeight="1">
      <c r="A78" s="25"/>
      <c r="B78" s="1"/>
      <c r="C78" s="1"/>
      <c r="D78" s="1"/>
      <c r="E78" s="1"/>
      <c r="F78" s="1"/>
      <c r="G78" s="1"/>
      <c r="H78" s="1"/>
      <c r="I78" s="1"/>
      <c r="J78" s="25"/>
    </row>
    <row r="79" ht="15.0" customHeight="1">
      <c r="A79" s="25"/>
      <c r="B79" s="1"/>
      <c r="C79" s="1"/>
      <c r="D79" s="1"/>
      <c r="E79" s="1"/>
      <c r="F79" s="1"/>
      <c r="G79" s="1"/>
      <c r="H79" s="1"/>
      <c r="I79" s="1"/>
      <c r="J79" s="25"/>
    </row>
    <row r="80" ht="15.0" customHeight="1">
      <c r="A80" s="25"/>
      <c r="B80" s="1"/>
      <c r="C80" s="1"/>
      <c r="D80" s="1"/>
      <c r="E80" s="1"/>
      <c r="F80" s="1"/>
      <c r="G80" s="1"/>
      <c r="H80" s="1"/>
      <c r="I80" s="1"/>
      <c r="J80" s="25"/>
    </row>
    <row r="81" ht="15.0" customHeight="1">
      <c r="A81" s="25"/>
      <c r="B81" s="1"/>
      <c r="C81" s="1"/>
      <c r="D81" s="1"/>
      <c r="E81" s="1"/>
      <c r="F81" s="1"/>
      <c r="G81" s="1"/>
      <c r="H81" s="1"/>
      <c r="I81" s="1"/>
      <c r="J81" s="25"/>
    </row>
    <row r="82" ht="15.0" customHeight="1">
      <c r="A82" s="25"/>
      <c r="B82" s="1"/>
      <c r="C82" s="1"/>
      <c r="D82" s="1"/>
      <c r="E82" s="1"/>
      <c r="F82" s="1"/>
      <c r="G82" s="1"/>
      <c r="H82" s="1"/>
      <c r="I82" s="1"/>
      <c r="J82" s="25"/>
    </row>
    <row r="83" ht="15.0" customHeight="1">
      <c r="A83" s="25"/>
      <c r="B83" s="1"/>
      <c r="C83" s="1"/>
      <c r="D83" s="1"/>
      <c r="E83" s="1"/>
      <c r="F83" s="1"/>
      <c r="G83" s="1"/>
      <c r="H83" s="1"/>
      <c r="I83" s="1"/>
      <c r="J83" s="25"/>
    </row>
    <row r="84" ht="15.0" customHeight="1">
      <c r="A84" s="25"/>
      <c r="B84" s="1"/>
      <c r="C84" s="1"/>
      <c r="D84" s="1"/>
      <c r="E84" s="1"/>
      <c r="F84" s="1"/>
      <c r="G84" s="1"/>
      <c r="H84" s="1"/>
      <c r="I84" s="1"/>
      <c r="J84" s="25"/>
    </row>
    <row r="85" ht="15.0" customHeight="1">
      <c r="A85" s="25"/>
      <c r="B85" s="1"/>
      <c r="C85" s="1"/>
      <c r="D85" s="1"/>
      <c r="E85" s="1"/>
      <c r="F85" s="1"/>
      <c r="G85" s="1"/>
      <c r="H85" s="1"/>
      <c r="I85" s="1"/>
      <c r="J85" s="25"/>
    </row>
    <row r="86" ht="15.0" customHeight="1">
      <c r="A86" s="25"/>
      <c r="B86" s="1"/>
      <c r="C86" s="1"/>
      <c r="D86" s="1"/>
      <c r="E86" s="1"/>
      <c r="F86" s="1"/>
      <c r="G86" s="1"/>
      <c r="H86" s="1"/>
      <c r="I86" s="1"/>
      <c r="J86" s="25"/>
    </row>
    <row r="87" ht="15.0" customHeight="1">
      <c r="A87" s="25"/>
      <c r="B87" s="1"/>
      <c r="C87" s="1"/>
      <c r="D87" s="1"/>
      <c r="E87" s="1"/>
      <c r="F87" s="1"/>
      <c r="G87" s="1"/>
      <c r="H87" s="1"/>
      <c r="I87" s="1"/>
      <c r="J87" s="25"/>
    </row>
    <row r="88" ht="15.0" customHeight="1">
      <c r="A88" s="25"/>
      <c r="B88" s="1"/>
      <c r="C88" s="1"/>
      <c r="D88" s="1"/>
      <c r="E88" s="1"/>
      <c r="F88" s="1"/>
      <c r="G88" s="1"/>
      <c r="H88" s="1"/>
      <c r="I88" s="1"/>
      <c r="J88" s="25"/>
    </row>
    <row r="89" ht="15.0" customHeight="1">
      <c r="A89" s="25"/>
      <c r="B89" s="1"/>
      <c r="C89" s="1"/>
      <c r="D89" s="1"/>
      <c r="E89" s="1"/>
      <c r="F89" s="1"/>
      <c r="G89" s="1"/>
      <c r="H89" s="1"/>
      <c r="I89" s="1"/>
      <c r="J89" s="25"/>
    </row>
    <row r="90" ht="15.0" customHeight="1">
      <c r="A90" s="25"/>
      <c r="B90" s="1"/>
      <c r="C90" s="1"/>
      <c r="D90" s="1"/>
      <c r="E90" s="1"/>
      <c r="F90" s="1"/>
      <c r="G90" s="1"/>
      <c r="H90" s="1"/>
      <c r="I90" s="1"/>
      <c r="J90" s="25"/>
    </row>
    <row r="91" ht="15.0" customHeight="1">
      <c r="A91" s="25"/>
      <c r="B91" s="1"/>
      <c r="C91" s="1"/>
      <c r="D91" s="1"/>
      <c r="E91" s="1"/>
      <c r="F91" s="1"/>
      <c r="G91" s="1"/>
      <c r="H91" s="1"/>
      <c r="I91" s="1"/>
      <c r="J91" s="25"/>
    </row>
    <row r="92" ht="15.0" customHeight="1">
      <c r="A92" s="25"/>
      <c r="B92" s="1"/>
      <c r="C92" s="1"/>
      <c r="D92" s="1"/>
      <c r="E92" s="1"/>
      <c r="F92" s="1"/>
      <c r="G92" s="1"/>
      <c r="H92" s="1"/>
      <c r="I92" s="1"/>
      <c r="J92" s="25"/>
    </row>
    <row r="93" ht="15.0" customHeight="1">
      <c r="A93" s="25"/>
      <c r="B93" s="1"/>
      <c r="C93" s="1"/>
      <c r="D93" s="1"/>
      <c r="E93" s="1"/>
      <c r="F93" s="1"/>
      <c r="G93" s="1"/>
      <c r="H93" s="1"/>
      <c r="I93" s="1"/>
      <c r="J93" s="25"/>
    </row>
    <row r="94" ht="15.0" customHeight="1">
      <c r="A94" s="25"/>
      <c r="B94" s="1"/>
      <c r="C94" s="1"/>
      <c r="D94" s="1"/>
      <c r="E94" s="1"/>
      <c r="F94" s="1"/>
      <c r="G94" s="1"/>
      <c r="H94" s="1"/>
      <c r="I94" s="1"/>
      <c r="J94" s="25"/>
    </row>
    <row r="95" ht="15.0" customHeight="1">
      <c r="A95" s="25"/>
      <c r="B95" s="1"/>
      <c r="C95" s="1"/>
      <c r="D95" s="1"/>
      <c r="E95" s="1"/>
      <c r="F95" s="1"/>
      <c r="G95" s="1"/>
      <c r="H95" s="1"/>
      <c r="I95" s="1"/>
      <c r="J95" s="25"/>
    </row>
    <row r="96" ht="15.0" customHeight="1">
      <c r="A96" s="25"/>
      <c r="B96" s="1"/>
      <c r="C96" s="1"/>
      <c r="D96" s="1"/>
      <c r="E96" s="1"/>
      <c r="F96" s="1"/>
      <c r="G96" s="1"/>
      <c r="H96" s="1"/>
      <c r="I96" s="1"/>
      <c r="J96" s="25"/>
    </row>
    <row r="97" ht="15.0" customHeight="1">
      <c r="A97" s="25"/>
      <c r="B97" s="1"/>
      <c r="C97" s="1"/>
      <c r="D97" s="1"/>
      <c r="E97" s="1"/>
      <c r="F97" s="1"/>
      <c r="G97" s="1"/>
      <c r="H97" s="1"/>
      <c r="I97" s="1"/>
      <c r="J97" s="25"/>
    </row>
    <row r="98" ht="15.0" customHeight="1">
      <c r="A98" s="25"/>
      <c r="B98" s="1"/>
      <c r="C98" s="1"/>
      <c r="D98" s="1"/>
      <c r="E98" s="1"/>
      <c r="F98" s="1"/>
      <c r="G98" s="1"/>
      <c r="H98" s="1"/>
      <c r="I98" s="1"/>
      <c r="J98" s="25"/>
    </row>
    <row r="99" ht="15.0" customHeight="1">
      <c r="A99" s="25"/>
      <c r="B99" s="1"/>
      <c r="C99" s="1"/>
      <c r="D99" s="1"/>
      <c r="E99" s="1"/>
      <c r="F99" s="1"/>
      <c r="G99" s="1"/>
      <c r="H99" s="1"/>
      <c r="I99" s="1"/>
      <c r="J99" s="25"/>
    </row>
    <row r="100" ht="15.0" customHeight="1">
      <c r="A100" s="25"/>
      <c r="B100" s="1"/>
      <c r="C100" s="1"/>
      <c r="D100" s="1"/>
      <c r="E100" s="1"/>
      <c r="F100" s="1"/>
      <c r="G100" s="1"/>
      <c r="H100" s="1"/>
      <c r="I100" s="1"/>
      <c r="J100" s="25"/>
    </row>
    <row r="101" ht="15.0" customHeight="1">
      <c r="A101" s="25"/>
      <c r="B101" s="1"/>
      <c r="C101" s="1"/>
      <c r="D101" s="1"/>
      <c r="E101" s="1"/>
      <c r="F101" s="1"/>
      <c r="G101" s="1"/>
      <c r="H101" s="1"/>
      <c r="I101" s="1"/>
      <c r="J101" s="25"/>
    </row>
    <row r="102" ht="15.0" customHeight="1">
      <c r="A102" s="25"/>
      <c r="B102" s="1"/>
      <c r="C102" s="1"/>
      <c r="D102" s="1"/>
      <c r="E102" s="1"/>
      <c r="F102" s="1"/>
      <c r="G102" s="1"/>
      <c r="H102" s="1"/>
      <c r="I102" s="1"/>
      <c r="J102" s="25"/>
    </row>
    <row r="103" ht="15.0" customHeight="1">
      <c r="A103" s="25"/>
      <c r="B103" s="1"/>
      <c r="C103" s="1"/>
      <c r="D103" s="1"/>
      <c r="E103" s="1"/>
      <c r="F103" s="1"/>
      <c r="G103" s="1"/>
      <c r="H103" s="1"/>
      <c r="I103" s="1"/>
      <c r="J103" s="25"/>
    </row>
    <row r="104" ht="15.0" customHeight="1">
      <c r="A104" s="25"/>
      <c r="B104" s="1"/>
      <c r="C104" s="1"/>
      <c r="D104" s="1"/>
      <c r="E104" s="1"/>
      <c r="F104" s="1"/>
      <c r="G104" s="1"/>
      <c r="H104" s="1"/>
      <c r="I104" s="1"/>
      <c r="J104" s="25"/>
    </row>
    <row r="105" ht="15.0" customHeight="1">
      <c r="A105" s="25"/>
      <c r="B105" s="1"/>
      <c r="C105" s="1"/>
      <c r="D105" s="1"/>
      <c r="E105" s="1"/>
      <c r="F105" s="1"/>
      <c r="G105" s="1"/>
      <c r="H105" s="1"/>
      <c r="I105" s="1"/>
      <c r="J105" s="25"/>
    </row>
    <row r="106" ht="15.0" customHeight="1">
      <c r="A106" s="25"/>
      <c r="B106" s="1"/>
      <c r="C106" s="1"/>
      <c r="D106" s="1"/>
      <c r="E106" s="1"/>
      <c r="F106" s="1"/>
      <c r="G106" s="1"/>
      <c r="H106" s="1"/>
      <c r="I106" s="1"/>
      <c r="J106" s="25"/>
    </row>
    <row r="107" ht="15.0" customHeight="1">
      <c r="A107" s="25"/>
      <c r="B107" s="1"/>
      <c r="C107" s="1"/>
      <c r="D107" s="1"/>
      <c r="E107" s="1"/>
      <c r="F107" s="1"/>
      <c r="G107" s="1"/>
      <c r="H107" s="1"/>
      <c r="I107" s="1"/>
      <c r="J107" s="25"/>
    </row>
    <row r="108" ht="15.0" customHeight="1">
      <c r="A108" s="25"/>
      <c r="B108" s="1"/>
      <c r="C108" s="1"/>
      <c r="D108" s="1"/>
      <c r="E108" s="1"/>
      <c r="F108" s="1"/>
      <c r="G108" s="1"/>
      <c r="H108" s="1"/>
      <c r="I108" s="1"/>
      <c r="J108" s="25"/>
    </row>
    <row r="109" ht="15.0" customHeight="1">
      <c r="A109" s="25"/>
      <c r="B109" s="1"/>
      <c r="C109" s="1"/>
      <c r="D109" s="1"/>
      <c r="E109" s="1"/>
      <c r="F109" s="1"/>
      <c r="G109" s="1"/>
      <c r="H109" s="1"/>
      <c r="I109" s="1"/>
      <c r="J109" s="25"/>
    </row>
    <row r="110" ht="15.0" customHeight="1">
      <c r="A110" s="25"/>
      <c r="B110" s="1"/>
      <c r="C110" s="1"/>
      <c r="D110" s="1"/>
      <c r="E110" s="1"/>
      <c r="F110" s="1"/>
      <c r="G110" s="1"/>
      <c r="H110" s="1"/>
      <c r="I110" s="1"/>
      <c r="J110" s="25"/>
    </row>
    <row r="111" ht="15.0" customHeight="1">
      <c r="A111" s="25"/>
      <c r="B111" s="1"/>
      <c r="C111" s="1"/>
      <c r="D111" s="1"/>
      <c r="E111" s="1"/>
      <c r="F111" s="1"/>
      <c r="G111" s="1"/>
      <c r="H111" s="1"/>
      <c r="I111" s="1"/>
      <c r="J111" s="25"/>
    </row>
    <row r="112" ht="15.0" customHeight="1">
      <c r="A112" s="25"/>
      <c r="B112" s="1"/>
      <c r="C112" s="1"/>
      <c r="D112" s="1"/>
      <c r="E112" s="1"/>
      <c r="F112" s="1"/>
      <c r="G112" s="1"/>
      <c r="H112" s="1"/>
      <c r="I112" s="1"/>
      <c r="J112" s="25"/>
    </row>
    <row r="113" ht="15.0" customHeight="1">
      <c r="A113" s="25"/>
      <c r="B113" s="1"/>
      <c r="C113" s="1"/>
      <c r="D113" s="1"/>
      <c r="E113" s="1"/>
      <c r="F113" s="1"/>
      <c r="G113" s="1"/>
      <c r="H113" s="1"/>
      <c r="I113" s="1"/>
      <c r="J113" s="25"/>
    </row>
    <row r="114" ht="15.0" customHeight="1">
      <c r="A114" s="25"/>
      <c r="B114" s="1"/>
      <c r="C114" s="1"/>
      <c r="D114" s="1"/>
      <c r="E114" s="1"/>
      <c r="F114" s="1"/>
      <c r="G114" s="1"/>
      <c r="H114" s="1"/>
      <c r="I114" s="1"/>
      <c r="J114" s="25"/>
    </row>
    <row r="115" ht="15.0" customHeight="1">
      <c r="A115" s="25"/>
      <c r="B115" s="1"/>
      <c r="C115" s="1"/>
      <c r="D115" s="1"/>
      <c r="E115" s="1"/>
      <c r="F115" s="1"/>
      <c r="G115" s="1"/>
      <c r="H115" s="1"/>
      <c r="I115" s="1"/>
      <c r="J115" s="25"/>
    </row>
    <row r="116" ht="15.0" customHeight="1">
      <c r="A116" s="25"/>
      <c r="B116" s="1"/>
      <c r="C116" s="1"/>
      <c r="D116" s="1"/>
      <c r="E116" s="1"/>
      <c r="F116" s="1"/>
      <c r="G116" s="1"/>
      <c r="H116" s="1"/>
      <c r="I116" s="1"/>
      <c r="J116" s="25"/>
    </row>
    <row r="117" ht="15.0" customHeight="1">
      <c r="A117" s="25"/>
      <c r="B117" s="1"/>
      <c r="C117" s="1"/>
      <c r="D117" s="1"/>
      <c r="E117" s="1"/>
      <c r="F117" s="1"/>
      <c r="G117" s="1"/>
      <c r="H117" s="1"/>
      <c r="I117" s="1"/>
      <c r="J117" s="25"/>
    </row>
    <row r="118" ht="15.0" customHeight="1">
      <c r="A118" s="25"/>
      <c r="B118" s="1"/>
      <c r="C118" s="1"/>
      <c r="D118" s="1"/>
      <c r="E118" s="1"/>
      <c r="F118" s="1"/>
      <c r="G118" s="1"/>
      <c r="H118" s="1"/>
      <c r="I118" s="1"/>
      <c r="J118" s="25"/>
    </row>
    <row r="119" ht="15.0" customHeight="1">
      <c r="A119" s="25"/>
      <c r="B119" s="1"/>
      <c r="C119" s="1"/>
      <c r="D119" s="1"/>
      <c r="E119" s="1"/>
      <c r="F119" s="1"/>
      <c r="G119" s="1"/>
      <c r="H119" s="1"/>
      <c r="I119" s="1"/>
      <c r="J119" s="25"/>
    </row>
    <row r="120" ht="15.0" customHeight="1">
      <c r="A120" s="25"/>
      <c r="B120" s="1"/>
      <c r="C120" s="1"/>
      <c r="D120" s="1"/>
      <c r="E120" s="1"/>
      <c r="F120" s="1"/>
      <c r="G120" s="1"/>
      <c r="H120" s="1"/>
      <c r="I120" s="1"/>
      <c r="J120" s="25"/>
    </row>
    <row r="121" ht="15.0" customHeight="1">
      <c r="A121" s="25"/>
      <c r="B121" s="1"/>
      <c r="C121" s="1"/>
      <c r="D121" s="1"/>
      <c r="E121" s="1"/>
      <c r="F121" s="1"/>
      <c r="G121" s="1"/>
      <c r="H121" s="1"/>
      <c r="I121" s="1"/>
      <c r="J121" s="25"/>
    </row>
    <row r="122" ht="15.0" customHeight="1">
      <c r="A122" s="25"/>
      <c r="B122" s="1"/>
      <c r="C122" s="1"/>
      <c r="D122" s="1"/>
      <c r="E122" s="1"/>
      <c r="F122" s="1"/>
      <c r="G122" s="1"/>
      <c r="H122" s="1"/>
      <c r="I122" s="1"/>
      <c r="J122" s="25"/>
    </row>
    <row r="123" ht="15.0" customHeight="1">
      <c r="A123" s="25"/>
      <c r="B123" s="1"/>
      <c r="C123" s="1"/>
      <c r="D123" s="1"/>
      <c r="E123" s="1"/>
      <c r="F123" s="1"/>
      <c r="G123" s="1"/>
      <c r="H123" s="1"/>
      <c r="I123" s="1"/>
      <c r="J123" s="25"/>
    </row>
    <row r="124" ht="15.0" customHeight="1">
      <c r="A124" s="25"/>
      <c r="B124" s="1"/>
      <c r="C124" s="1"/>
      <c r="D124" s="1"/>
      <c r="E124" s="1"/>
      <c r="F124" s="1"/>
      <c r="G124" s="1"/>
      <c r="H124" s="1"/>
      <c r="I124" s="1"/>
      <c r="J124" s="25"/>
    </row>
    <row r="125" ht="15.0" customHeight="1">
      <c r="A125" s="25"/>
      <c r="B125" s="1"/>
      <c r="C125" s="1"/>
      <c r="D125" s="1"/>
      <c r="E125" s="1"/>
      <c r="F125" s="1"/>
      <c r="G125" s="1"/>
      <c r="H125" s="1"/>
      <c r="I125" s="1"/>
      <c r="J125" s="25"/>
    </row>
    <row r="126" ht="15.0" customHeight="1">
      <c r="A126" s="25"/>
      <c r="B126" s="1"/>
      <c r="C126" s="1"/>
      <c r="D126" s="1"/>
      <c r="E126" s="1"/>
      <c r="F126" s="1"/>
      <c r="G126" s="1"/>
      <c r="H126" s="1"/>
      <c r="I126" s="1"/>
      <c r="J126" s="25"/>
    </row>
    <row r="127" ht="15.0" customHeight="1">
      <c r="A127" s="25"/>
      <c r="B127" s="1"/>
      <c r="C127" s="1"/>
      <c r="D127" s="1"/>
      <c r="E127" s="1"/>
      <c r="F127" s="1"/>
      <c r="G127" s="1"/>
      <c r="H127" s="1"/>
      <c r="I127" s="1"/>
      <c r="J127" s="25"/>
    </row>
    <row r="128" ht="15.0" customHeight="1">
      <c r="A128" s="25"/>
      <c r="B128" s="1"/>
      <c r="C128" s="1"/>
      <c r="D128" s="1"/>
      <c r="E128" s="1"/>
      <c r="F128" s="1"/>
      <c r="G128" s="1"/>
      <c r="H128" s="1"/>
      <c r="I128" s="1"/>
      <c r="J128" s="25"/>
    </row>
    <row r="129" ht="15.0" customHeight="1">
      <c r="A129" s="25"/>
      <c r="B129" s="1"/>
      <c r="C129" s="1"/>
      <c r="D129" s="1"/>
      <c r="E129" s="1"/>
      <c r="F129" s="1"/>
      <c r="G129" s="1"/>
      <c r="H129" s="1"/>
      <c r="I129" s="1"/>
      <c r="J129" s="25"/>
    </row>
    <row r="130" ht="15.0" customHeight="1">
      <c r="A130" s="25"/>
      <c r="B130" s="1"/>
      <c r="C130" s="1"/>
      <c r="D130" s="1"/>
      <c r="E130" s="1"/>
      <c r="F130" s="1"/>
      <c r="G130" s="1"/>
      <c r="H130" s="1"/>
      <c r="I130" s="1"/>
      <c r="J130" s="25"/>
    </row>
    <row r="131" ht="15.0" customHeight="1">
      <c r="A131" s="25"/>
      <c r="B131" s="1"/>
      <c r="C131" s="1"/>
      <c r="D131" s="1"/>
      <c r="E131" s="1"/>
      <c r="F131" s="1"/>
      <c r="G131" s="1"/>
      <c r="H131" s="1"/>
      <c r="I131" s="1"/>
      <c r="J131" s="25"/>
    </row>
    <row r="132" ht="15.0" customHeight="1">
      <c r="A132" s="25"/>
      <c r="B132" s="1"/>
      <c r="C132" s="1"/>
      <c r="D132" s="1"/>
      <c r="E132" s="1"/>
      <c r="F132" s="1"/>
      <c r="G132" s="1"/>
      <c r="H132" s="1"/>
      <c r="I132" s="1"/>
      <c r="J132" s="25"/>
    </row>
    <row r="133" ht="15.0" customHeight="1">
      <c r="A133" s="25"/>
      <c r="B133" s="1"/>
      <c r="C133" s="1"/>
      <c r="D133" s="1"/>
      <c r="E133" s="1"/>
      <c r="F133" s="1"/>
      <c r="G133" s="1"/>
      <c r="H133" s="1"/>
      <c r="I133" s="1"/>
      <c r="J133" s="25"/>
    </row>
    <row r="134" ht="15.0" customHeight="1">
      <c r="A134" s="25"/>
      <c r="B134" s="1"/>
      <c r="C134" s="1"/>
      <c r="D134" s="1"/>
      <c r="E134" s="1"/>
      <c r="F134" s="1"/>
      <c r="G134" s="1"/>
      <c r="H134" s="1"/>
      <c r="I134" s="1"/>
      <c r="J134" s="25"/>
    </row>
    <row r="135" ht="15.0" customHeight="1">
      <c r="A135" s="25"/>
      <c r="B135" s="1"/>
      <c r="C135" s="1"/>
      <c r="D135" s="1"/>
      <c r="E135" s="1"/>
      <c r="F135" s="1"/>
      <c r="G135" s="1"/>
      <c r="H135" s="1"/>
      <c r="I135" s="1"/>
      <c r="J135" s="25"/>
    </row>
    <row r="136" ht="15.0" customHeight="1">
      <c r="A136" s="25"/>
      <c r="B136" s="1"/>
      <c r="C136" s="1"/>
      <c r="D136" s="1"/>
      <c r="E136" s="1"/>
      <c r="F136" s="1"/>
      <c r="G136" s="1"/>
      <c r="H136" s="1"/>
      <c r="I136" s="1"/>
      <c r="J136" s="25"/>
    </row>
    <row r="137" ht="15.0" customHeight="1">
      <c r="A137" s="25"/>
      <c r="B137" s="1"/>
      <c r="C137" s="1"/>
      <c r="D137" s="1"/>
      <c r="E137" s="1"/>
      <c r="F137" s="1"/>
      <c r="G137" s="1"/>
      <c r="H137" s="1"/>
      <c r="I137" s="1"/>
      <c r="J137" s="25"/>
    </row>
    <row r="138" ht="15.0" customHeight="1">
      <c r="A138" s="25"/>
      <c r="B138" s="1"/>
      <c r="C138" s="1"/>
      <c r="D138" s="1"/>
      <c r="E138" s="1"/>
      <c r="F138" s="1"/>
      <c r="G138" s="1"/>
      <c r="H138" s="1"/>
      <c r="I138" s="1"/>
      <c r="J138" s="25"/>
    </row>
    <row r="139" ht="15.0" customHeight="1">
      <c r="A139" s="25"/>
      <c r="B139" s="1"/>
      <c r="C139" s="1"/>
      <c r="D139" s="1"/>
      <c r="E139" s="1"/>
      <c r="F139" s="1"/>
      <c r="G139" s="1"/>
      <c r="H139" s="1"/>
      <c r="I139" s="1"/>
      <c r="J139" s="25"/>
    </row>
    <row r="140" ht="15.0" customHeight="1">
      <c r="A140" s="25"/>
      <c r="B140" s="1"/>
      <c r="C140" s="1"/>
      <c r="D140" s="1"/>
      <c r="E140" s="1"/>
      <c r="F140" s="1"/>
      <c r="G140" s="1"/>
      <c r="H140" s="1"/>
      <c r="I140" s="1"/>
      <c r="J140" s="25"/>
    </row>
    <row r="141" ht="15.0" customHeight="1">
      <c r="A141" s="25"/>
      <c r="B141" s="1"/>
      <c r="C141" s="1"/>
      <c r="D141" s="1"/>
      <c r="E141" s="1"/>
      <c r="F141" s="1"/>
      <c r="G141" s="1"/>
      <c r="H141" s="1"/>
      <c r="I141" s="1"/>
      <c r="J141" s="25"/>
    </row>
    <row r="142" ht="15.0" customHeight="1">
      <c r="A142" s="25"/>
      <c r="B142" s="1"/>
      <c r="C142" s="1"/>
      <c r="D142" s="1"/>
      <c r="E142" s="1"/>
      <c r="F142" s="1"/>
      <c r="G142" s="1"/>
      <c r="H142" s="1"/>
      <c r="I142" s="1"/>
      <c r="J142" s="25"/>
    </row>
    <row r="143" ht="15.0" customHeight="1">
      <c r="A143" s="25"/>
      <c r="B143" s="1"/>
      <c r="C143" s="1"/>
      <c r="D143" s="1"/>
      <c r="E143" s="1"/>
      <c r="F143" s="1"/>
      <c r="G143" s="1"/>
      <c r="H143" s="1"/>
      <c r="I143" s="1"/>
      <c r="J143" s="25"/>
    </row>
    <row r="144" ht="15.0" customHeight="1">
      <c r="A144" s="25"/>
      <c r="B144" s="1"/>
      <c r="C144" s="1"/>
      <c r="D144" s="1"/>
      <c r="E144" s="1"/>
      <c r="F144" s="1"/>
      <c r="G144" s="1"/>
      <c r="H144" s="1"/>
      <c r="I144" s="1"/>
      <c r="J144" s="25"/>
    </row>
    <row r="145" ht="15.0" customHeight="1">
      <c r="A145" s="25"/>
      <c r="B145" s="1"/>
      <c r="C145" s="1"/>
      <c r="D145" s="1"/>
      <c r="E145" s="1"/>
      <c r="F145" s="1"/>
      <c r="G145" s="1"/>
      <c r="H145" s="1"/>
      <c r="I145" s="1"/>
      <c r="J145" s="25"/>
    </row>
    <row r="146" ht="15.0" customHeight="1">
      <c r="A146" s="25"/>
      <c r="B146" s="1"/>
      <c r="C146" s="1"/>
      <c r="D146" s="1"/>
      <c r="E146" s="1"/>
      <c r="F146" s="1"/>
      <c r="G146" s="1"/>
      <c r="H146" s="1"/>
      <c r="I146" s="1"/>
      <c r="J146" s="25"/>
    </row>
    <row r="147" ht="15.0" customHeight="1">
      <c r="A147" s="25"/>
      <c r="B147" s="1"/>
      <c r="C147" s="1"/>
      <c r="D147" s="1"/>
      <c r="E147" s="1"/>
      <c r="F147" s="1"/>
      <c r="G147" s="1"/>
      <c r="H147" s="1"/>
      <c r="I147" s="1"/>
      <c r="J147" s="25"/>
    </row>
    <row r="148" ht="15.0" customHeight="1">
      <c r="A148" s="25"/>
      <c r="B148" s="1"/>
      <c r="C148" s="1"/>
      <c r="D148" s="1"/>
      <c r="E148" s="1"/>
      <c r="F148" s="1"/>
      <c r="G148" s="1"/>
      <c r="H148" s="1"/>
      <c r="I148" s="1"/>
      <c r="J148" s="25"/>
    </row>
    <row r="149" ht="15.0" customHeight="1">
      <c r="A149" s="25"/>
      <c r="B149" s="1"/>
      <c r="C149" s="1"/>
      <c r="D149" s="1"/>
      <c r="E149" s="1"/>
      <c r="F149" s="1"/>
      <c r="G149" s="1"/>
      <c r="H149" s="1"/>
      <c r="I149" s="1"/>
      <c r="J149" s="25"/>
    </row>
    <row r="150" ht="15.0" customHeight="1">
      <c r="A150" s="25"/>
      <c r="B150" s="1"/>
      <c r="C150" s="1"/>
      <c r="D150" s="1"/>
      <c r="E150" s="1"/>
      <c r="F150" s="1"/>
      <c r="G150" s="1"/>
      <c r="H150" s="1"/>
      <c r="I150" s="1"/>
      <c r="J150" s="25"/>
    </row>
    <row r="151" ht="15.0" customHeight="1">
      <c r="A151" s="25"/>
      <c r="B151" s="1"/>
      <c r="C151" s="1"/>
      <c r="D151" s="1"/>
      <c r="E151" s="1"/>
      <c r="F151" s="1"/>
      <c r="G151" s="1"/>
      <c r="H151" s="1"/>
      <c r="I151" s="1"/>
      <c r="J151" s="25"/>
    </row>
    <row r="152" ht="15.0" customHeight="1">
      <c r="A152" s="25"/>
      <c r="B152" s="1"/>
      <c r="C152" s="1"/>
      <c r="D152" s="1"/>
      <c r="E152" s="1"/>
      <c r="F152" s="1"/>
      <c r="G152" s="1"/>
      <c r="H152" s="1"/>
      <c r="I152" s="1"/>
      <c r="J152" s="25"/>
    </row>
    <row r="153" ht="15.0" customHeight="1">
      <c r="A153" s="25"/>
      <c r="B153" s="1"/>
      <c r="C153" s="1"/>
      <c r="D153" s="1"/>
      <c r="E153" s="1"/>
      <c r="F153" s="1"/>
      <c r="G153" s="1"/>
      <c r="H153" s="1"/>
      <c r="I153" s="1"/>
      <c r="J153" s="25"/>
    </row>
    <row r="154" ht="15.0" customHeight="1">
      <c r="A154" s="25"/>
      <c r="B154" s="1"/>
      <c r="C154" s="1"/>
      <c r="D154" s="1"/>
      <c r="E154" s="1"/>
      <c r="F154" s="1"/>
      <c r="G154" s="1"/>
      <c r="H154" s="1"/>
      <c r="I154" s="1"/>
      <c r="J154" s="25"/>
    </row>
    <row r="155" ht="15.0" customHeight="1">
      <c r="A155" s="25"/>
      <c r="B155" s="1"/>
      <c r="C155" s="1"/>
      <c r="D155" s="1"/>
      <c r="E155" s="1"/>
      <c r="F155" s="1"/>
      <c r="G155" s="1"/>
      <c r="H155" s="1"/>
      <c r="I155" s="1"/>
      <c r="J155" s="25"/>
    </row>
    <row r="156" ht="15.0" customHeight="1">
      <c r="A156" s="25"/>
      <c r="B156" s="1"/>
      <c r="C156" s="1"/>
      <c r="D156" s="1"/>
      <c r="E156" s="1"/>
      <c r="F156" s="1"/>
      <c r="G156" s="1"/>
      <c r="H156" s="1"/>
      <c r="I156" s="1"/>
      <c r="J156" s="25"/>
    </row>
    <row r="157" ht="15.0" customHeight="1">
      <c r="A157" s="25"/>
      <c r="B157" s="1"/>
      <c r="C157" s="1"/>
      <c r="D157" s="1"/>
      <c r="E157" s="1"/>
      <c r="F157" s="1"/>
      <c r="G157" s="1"/>
      <c r="H157" s="1"/>
      <c r="I157" s="1"/>
      <c r="J157" s="25"/>
    </row>
    <row r="158" ht="15.0" customHeight="1">
      <c r="A158" s="25"/>
      <c r="B158" s="1"/>
      <c r="C158" s="1"/>
      <c r="D158" s="1"/>
      <c r="E158" s="1"/>
      <c r="F158" s="1"/>
      <c r="G158" s="1"/>
      <c r="H158" s="1"/>
      <c r="I158" s="1"/>
      <c r="J158" s="25"/>
    </row>
    <row r="159" ht="15.0" customHeight="1">
      <c r="A159" s="25"/>
      <c r="B159" s="1"/>
      <c r="C159" s="1"/>
      <c r="D159" s="1"/>
      <c r="E159" s="1"/>
      <c r="F159" s="1"/>
      <c r="G159" s="1"/>
      <c r="H159" s="1"/>
      <c r="I159" s="1"/>
      <c r="J159" s="25"/>
    </row>
    <row r="160" ht="15.0" customHeight="1">
      <c r="A160" s="25"/>
      <c r="B160" s="1"/>
      <c r="C160" s="1"/>
      <c r="D160" s="1"/>
      <c r="E160" s="1"/>
      <c r="F160" s="1"/>
      <c r="G160" s="1"/>
      <c r="H160" s="1"/>
      <c r="I160" s="1"/>
      <c r="J160" s="25"/>
    </row>
    <row r="161" ht="15.0" customHeight="1">
      <c r="A161" s="25"/>
      <c r="B161" s="1"/>
      <c r="C161" s="1"/>
      <c r="D161" s="1"/>
      <c r="E161" s="1"/>
      <c r="F161" s="1"/>
      <c r="G161" s="1"/>
      <c r="H161" s="1"/>
      <c r="I161" s="1"/>
      <c r="J161" s="25"/>
    </row>
    <row r="162" ht="15.0" customHeight="1">
      <c r="A162" s="25"/>
      <c r="B162" s="1"/>
      <c r="C162" s="1"/>
      <c r="D162" s="1"/>
      <c r="E162" s="1"/>
      <c r="F162" s="1"/>
      <c r="G162" s="1"/>
      <c r="H162" s="1"/>
      <c r="I162" s="1"/>
      <c r="J162" s="25"/>
    </row>
    <row r="163" ht="15.0" customHeight="1">
      <c r="A163" s="25"/>
      <c r="B163" s="1"/>
      <c r="C163" s="1"/>
      <c r="D163" s="1"/>
      <c r="E163" s="1"/>
      <c r="F163" s="1"/>
      <c r="G163" s="1"/>
      <c r="H163" s="1"/>
      <c r="I163" s="1"/>
      <c r="J163" s="25"/>
    </row>
    <row r="164" ht="15.0" customHeight="1">
      <c r="A164" s="25"/>
      <c r="B164" s="1"/>
      <c r="C164" s="1"/>
      <c r="D164" s="1"/>
      <c r="E164" s="1"/>
      <c r="F164" s="1"/>
      <c r="G164" s="1"/>
      <c r="H164" s="1"/>
      <c r="I164" s="1"/>
      <c r="J164" s="25"/>
    </row>
    <row r="165" ht="15.0" customHeight="1">
      <c r="A165" s="25"/>
      <c r="B165" s="1"/>
      <c r="C165" s="1"/>
      <c r="D165" s="1"/>
      <c r="E165" s="1"/>
      <c r="F165" s="1"/>
      <c r="G165" s="1"/>
      <c r="H165" s="1"/>
      <c r="I165" s="1"/>
      <c r="J165" s="25"/>
    </row>
    <row r="166" ht="15.0" customHeight="1">
      <c r="A166" s="25"/>
      <c r="B166" s="1"/>
      <c r="C166" s="1"/>
      <c r="D166" s="1"/>
      <c r="E166" s="1"/>
      <c r="F166" s="1"/>
      <c r="G166" s="1"/>
      <c r="H166" s="1"/>
      <c r="I166" s="1"/>
      <c r="J166" s="25"/>
    </row>
    <row r="167" ht="15.0" customHeight="1">
      <c r="A167" s="25"/>
      <c r="B167" s="1"/>
      <c r="C167" s="1"/>
      <c r="D167" s="1"/>
      <c r="E167" s="1"/>
      <c r="F167" s="1"/>
      <c r="G167" s="1"/>
      <c r="H167" s="1"/>
      <c r="I167" s="1"/>
      <c r="J167" s="25"/>
    </row>
    <row r="168" ht="15.0" customHeight="1">
      <c r="A168" s="25"/>
      <c r="B168" s="1"/>
      <c r="C168" s="1"/>
      <c r="D168" s="1"/>
      <c r="E168" s="1"/>
      <c r="F168" s="1"/>
      <c r="G168" s="1"/>
      <c r="H168" s="1"/>
      <c r="I168" s="1"/>
      <c r="J168" s="25"/>
    </row>
    <row r="169" ht="15.0" customHeight="1">
      <c r="A169" s="25"/>
      <c r="B169" s="1"/>
      <c r="C169" s="1"/>
      <c r="D169" s="1"/>
      <c r="E169" s="1"/>
      <c r="F169" s="1"/>
      <c r="G169" s="1"/>
      <c r="H169" s="1"/>
      <c r="I169" s="1"/>
      <c r="J169" s="25"/>
    </row>
    <row r="170" ht="15.0" customHeight="1">
      <c r="A170" s="25"/>
      <c r="B170" s="1"/>
      <c r="C170" s="1"/>
      <c r="D170" s="1"/>
      <c r="E170" s="1"/>
      <c r="F170" s="1"/>
      <c r="G170" s="1"/>
      <c r="H170" s="1"/>
      <c r="I170" s="1"/>
      <c r="J170" s="25"/>
    </row>
    <row r="171" ht="15.0" customHeight="1">
      <c r="A171" s="25"/>
      <c r="B171" s="1"/>
      <c r="C171" s="1"/>
      <c r="D171" s="1"/>
      <c r="E171" s="1"/>
      <c r="F171" s="1"/>
      <c r="G171" s="1"/>
      <c r="H171" s="1"/>
      <c r="I171" s="1"/>
      <c r="J171" s="25"/>
    </row>
    <row r="172" ht="15.0" customHeight="1">
      <c r="A172" s="25"/>
      <c r="B172" s="1"/>
      <c r="C172" s="1"/>
      <c r="D172" s="1"/>
      <c r="E172" s="1"/>
      <c r="F172" s="1"/>
      <c r="G172" s="1"/>
      <c r="H172" s="1"/>
      <c r="I172" s="1"/>
      <c r="J172" s="25"/>
    </row>
    <row r="173" ht="15.0" customHeight="1">
      <c r="A173" s="25"/>
      <c r="B173" s="1"/>
      <c r="C173" s="1"/>
      <c r="D173" s="1"/>
      <c r="E173" s="1"/>
      <c r="F173" s="1"/>
      <c r="G173" s="1"/>
      <c r="H173" s="1"/>
      <c r="I173" s="1"/>
      <c r="J173" s="25"/>
    </row>
    <row r="174" ht="15.0" customHeight="1">
      <c r="A174" s="25"/>
      <c r="B174" s="1"/>
      <c r="C174" s="1"/>
      <c r="D174" s="1"/>
      <c r="E174" s="1"/>
      <c r="F174" s="1"/>
      <c r="G174" s="1"/>
      <c r="H174" s="1"/>
      <c r="I174" s="1"/>
      <c r="J174" s="25"/>
    </row>
    <row r="175" ht="15.0" customHeight="1">
      <c r="A175" s="25"/>
      <c r="B175" s="1"/>
      <c r="C175" s="1"/>
      <c r="D175" s="1"/>
      <c r="E175" s="1"/>
      <c r="F175" s="1"/>
      <c r="G175" s="1"/>
      <c r="H175" s="1"/>
      <c r="I175" s="1"/>
      <c r="J175" s="25"/>
    </row>
    <row r="176" ht="15.0" customHeight="1">
      <c r="A176" s="25"/>
      <c r="B176" s="1"/>
      <c r="C176" s="1"/>
      <c r="D176" s="1"/>
      <c r="E176" s="1"/>
      <c r="F176" s="1"/>
      <c r="G176" s="1"/>
      <c r="H176" s="1"/>
      <c r="I176" s="1"/>
      <c r="J176" s="25"/>
    </row>
    <row r="177" ht="15.0" customHeight="1">
      <c r="A177" s="25"/>
      <c r="B177" s="1"/>
      <c r="C177" s="1"/>
      <c r="D177" s="1"/>
      <c r="E177" s="1"/>
      <c r="F177" s="1"/>
      <c r="G177" s="1"/>
      <c r="H177" s="1"/>
      <c r="I177" s="1"/>
      <c r="J177" s="25"/>
    </row>
    <row r="178" ht="15.0" customHeight="1">
      <c r="A178" s="25"/>
      <c r="B178" s="1"/>
      <c r="C178" s="1"/>
      <c r="D178" s="1"/>
      <c r="E178" s="1"/>
      <c r="F178" s="1"/>
      <c r="G178" s="1"/>
      <c r="H178" s="1"/>
      <c r="I178" s="1"/>
      <c r="J178" s="25"/>
    </row>
    <row r="179" ht="15.0" customHeight="1">
      <c r="A179" s="25"/>
      <c r="B179" s="1"/>
      <c r="C179" s="1"/>
      <c r="D179" s="1"/>
      <c r="E179" s="1"/>
      <c r="F179" s="1"/>
      <c r="G179" s="1"/>
      <c r="H179" s="1"/>
      <c r="I179" s="1"/>
      <c r="J179" s="25"/>
    </row>
    <row r="180" ht="15.0" customHeight="1">
      <c r="A180" s="25"/>
      <c r="B180" s="1"/>
      <c r="C180" s="1"/>
      <c r="D180" s="1"/>
      <c r="E180" s="1"/>
      <c r="F180" s="1"/>
      <c r="G180" s="1"/>
      <c r="H180" s="1"/>
      <c r="I180" s="1"/>
      <c r="J180" s="25"/>
    </row>
    <row r="181" ht="15.0" customHeight="1">
      <c r="A181" s="25"/>
      <c r="B181" s="1"/>
      <c r="C181" s="1"/>
      <c r="D181" s="1"/>
      <c r="E181" s="1"/>
      <c r="F181" s="1"/>
      <c r="G181" s="1"/>
      <c r="H181" s="1"/>
      <c r="I181" s="1"/>
      <c r="J181" s="25"/>
    </row>
    <row r="182" ht="15.0" customHeight="1">
      <c r="A182" s="25"/>
      <c r="B182" s="1"/>
      <c r="C182" s="1"/>
      <c r="D182" s="1"/>
      <c r="E182" s="1"/>
      <c r="F182" s="1"/>
      <c r="G182" s="1"/>
      <c r="H182" s="1"/>
      <c r="I182" s="1"/>
      <c r="J182" s="25"/>
    </row>
    <row r="183" ht="15.0" customHeight="1">
      <c r="A183" s="25"/>
      <c r="B183" s="1"/>
      <c r="C183" s="1"/>
      <c r="D183" s="1"/>
      <c r="E183" s="1"/>
      <c r="F183" s="1"/>
      <c r="G183" s="1"/>
      <c r="H183" s="1"/>
      <c r="I183" s="1"/>
      <c r="J183" s="25"/>
    </row>
    <row r="184" ht="15.0" customHeight="1">
      <c r="A184" s="25"/>
      <c r="B184" s="1"/>
      <c r="C184" s="1"/>
      <c r="D184" s="1"/>
      <c r="E184" s="1"/>
      <c r="F184" s="1"/>
      <c r="G184" s="1"/>
      <c r="H184" s="1"/>
      <c r="I184" s="1"/>
      <c r="J184" s="25"/>
    </row>
    <row r="185" ht="15.0" customHeight="1">
      <c r="A185" s="25"/>
      <c r="B185" s="1"/>
      <c r="C185" s="1"/>
      <c r="D185" s="1"/>
      <c r="E185" s="1"/>
      <c r="F185" s="1"/>
      <c r="G185" s="1"/>
      <c r="H185" s="1"/>
      <c r="I185" s="1"/>
      <c r="J185" s="25"/>
    </row>
    <row r="186" ht="15.0" customHeight="1">
      <c r="A186" s="25"/>
      <c r="B186" s="1"/>
      <c r="C186" s="1"/>
      <c r="D186" s="1"/>
      <c r="E186" s="1"/>
      <c r="F186" s="1"/>
      <c r="G186" s="1"/>
      <c r="H186" s="1"/>
      <c r="I186" s="1"/>
      <c r="J186" s="25"/>
    </row>
    <row r="187" ht="15.0" customHeight="1">
      <c r="A187" s="25"/>
      <c r="B187" s="1"/>
      <c r="C187" s="1"/>
      <c r="D187" s="1"/>
      <c r="E187" s="1"/>
      <c r="F187" s="1"/>
      <c r="G187" s="1"/>
      <c r="H187" s="1"/>
      <c r="I187" s="1"/>
      <c r="J187" s="25"/>
    </row>
    <row r="188" ht="15.0" customHeight="1">
      <c r="A188" s="25"/>
      <c r="B188" s="1"/>
      <c r="C188" s="1"/>
      <c r="D188" s="1"/>
      <c r="E188" s="1"/>
      <c r="F188" s="1"/>
      <c r="G188" s="1"/>
      <c r="H188" s="1"/>
      <c r="I188" s="1"/>
      <c r="J188" s="25"/>
    </row>
    <row r="189" ht="15.0" customHeight="1">
      <c r="A189" s="25"/>
      <c r="B189" s="1"/>
      <c r="C189" s="1"/>
      <c r="D189" s="1"/>
      <c r="E189" s="1"/>
      <c r="F189" s="1"/>
      <c r="G189" s="1"/>
      <c r="H189" s="1"/>
      <c r="I189" s="1"/>
      <c r="J189" s="25"/>
    </row>
    <row r="190" ht="15.0" customHeight="1">
      <c r="A190" s="25"/>
      <c r="B190" s="1"/>
      <c r="C190" s="1"/>
      <c r="D190" s="1"/>
      <c r="E190" s="1"/>
      <c r="F190" s="1"/>
      <c r="G190" s="1"/>
      <c r="H190" s="1"/>
      <c r="I190" s="1"/>
      <c r="J190" s="25"/>
    </row>
    <row r="191" ht="15.0" customHeight="1">
      <c r="A191" s="25"/>
      <c r="B191" s="1"/>
      <c r="C191" s="1"/>
      <c r="D191" s="1"/>
      <c r="E191" s="1"/>
      <c r="F191" s="1"/>
      <c r="G191" s="1"/>
      <c r="H191" s="1"/>
      <c r="I191" s="1"/>
      <c r="J191" s="25"/>
    </row>
    <row r="192" ht="15.0" customHeight="1">
      <c r="A192" s="25"/>
      <c r="B192" s="1"/>
      <c r="C192" s="1"/>
      <c r="D192" s="1"/>
      <c r="E192" s="1"/>
      <c r="F192" s="1"/>
      <c r="G192" s="1"/>
      <c r="H192" s="1"/>
      <c r="I192" s="1"/>
      <c r="J192" s="25"/>
    </row>
    <row r="193" ht="15.0" customHeight="1">
      <c r="A193" s="25"/>
      <c r="B193" s="1"/>
      <c r="C193" s="1"/>
      <c r="D193" s="1"/>
      <c r="E193" s="1"/>
      <c r="F193" s="1"/>
      <c r="G193" s="1"/>
      <c r="H193" s="1"/>
      <c r="I193" s="1"/>
      <c r="J193" s="25"/>
    </row>
    <row r="194" ht="15.0" customHeight="1">
      <c r="A194" s="25"/>
      <c r="B194" s="1"/>
      <c r="C194" s="1"/>
      <c r="D194" s="1"/>
      <c r="E194" s="1"/>
      <c r="F194" s="1"/>
      <c r="G194" s="1"/>
      <c r="H194" s="1"/>
      <c r="I194" s="1"/>
      <c r="J194" s="25"/>
    </row>
    <row r="195" ht="15.0" customHeight="1">
      <c r="A195" s="25"/>
      <c r="B195" s="1"/>
      <c r="C195" s="1"/>
      <c r="D195" s="1"/>
      <c r="E195" s="1"/>
      <c r="F195" s="1"/>
      <c r="G195" s="1"/>
      <c r="H195" s="1"/>
      <c r="I195" s="1"/>
      <c r="J195" s="25"/>
    </row>
    <row r="196" ht="15.0" customHeight="1">
      <c r="A196" s="25"/>
      <c r="B196" s="1"/>
      <c r="C196" s="1"/>
      <c r="D196" s="1"/>
      <c r="E196" s="1"/>
      <c r="F196" s="1"/>
      <c r="G196" s="1"/>
      <c r="H196" s="1"/>
      <c r="I196" s="1"/>
      <c r="J196" s="25"/>
    </row>
    <row r="197" ht="15.0" customHeight="1">
      <c r="A197" s="25"/>
      <c r="B197" s="1"/>
      <c r="C197" s="1"/>
      <c r="D197" s="1"/>
      <c r="E197" s="1"/>
      <c r="F197" s="1"/>
      <c r="G197" s="1"/>
      <c r="H197" s="1"/>
      <c r="I197" s="1"/>
      <c r="J197" s="25"/>
    </row>
    <row r="198" ht="15.0" customHeight="1">
      <c r="A198" s="25"/>
      <c r="B198" s="1"/>
      <c r="C198" s="1"/>
      <c r="D198" s="1"/>
      <c r="E198" s="1"/>
      <c r="F198" s="1"/>
      <c r="G198" s="1"/>
      <c r="H198" s="1"/>
      <c r="I198" s="1"/>
      <c r="J198" s="25"/>
    </row>
    <row r="199" ht="15.0" customHeight="1">
      <c r="A199" s="25"/>
      <c r="B199" s="1"/>
      <c r="C199" s="1"/>
      <c r="D199" s="1"/>
      <c r="E199" s="1"/>
      <c r="F199" s="1"/>
      <c r="G199" s="1"/>
      <c r="H199" s="1"/>
      <c r="I199" s="1"/>
      <c r="J199" s="25"/>
    </row>
    <row r="200" ht="15.0" customHeight="1">
      <c r="A200" s="25"/>
      <c r="B200" s="1"/>
      <c r="C200" s="1"/>
      <c r="D200" s="1"/>
      <c r="E200" s="1"/>
      <c r="F200" s="1"/>
      <c r="G200" s="1"/>
      <c r="H200" s="1"/>
      <c r="I200" s="1"/>
      <c r="J200" s="25"/>
    </row>
    <row r="201" ht="15.0" customHeight="1">
      <c r="A201" s="25"/>
      <c r="B201" s="1"/>
      <c r="C201" s="1"/>
      <c r="D201" s="1"/>
      <c r="E201" s="1"/>
      <c r="F201" s="1"/>
      <c r="G201" s="1"/>
      <c r="H201" s="1"/>
      <c r="I201" s="1"/>
      <c r="J201" s="25"/>
    </row>
    <row r="202" ht="15.0" customHeight="1">
      <c r="A202" s="25"/>
      <c r="B202" s="1"/>
      <c r="C202" s="1"/>
      <c r="D202" s="1"/>
      <c r="E202" s="1"/>
      <c r="F202" s="1"/>
      <c r="G202" s="1"/>
      <c r="H202" s="1"/>
      <c r="I202" s="1"/>
      <c r="J202" s="25"/>
    </row>
    <row r="203" ht="15.0" customHeight="1">
      <c r="A203" s="25"/>
      <c r="B203" s="1"/>
      <c r="C203" s="1"/>
      <c r="D203" s="1"/>
      <c r="E203" s="1"/>
      <c r="F203" s="1"/>
      <c r="G203" s="1"/>
      <c r="H203" s="1"/>
      <c r="I203" s="1"/>
      <c r="J203" s="25"/>
    </row>
    <row r="204" ht="15.0" customHeight="1">
      <c r="A204" s="25"/>
      <c r="B204" s="1"/>
      <c r="C204" s="1"/>
      <c r="D204" s="1"/>
      <c r="E204" s="1"/>
      <c r="F204" s="1"/>
      <c r="G204" s="1"/>
      <c r="H204" s="1"/>
      <c r="I204" s="1"/>
      <c r="J204" s="25"/>
    </row>
    <row r="205" ht="15.0" customHeight="1">
      <c r="A205" s="25"/>
      <c r="B205" s="1"/>
      <c r="C205" s="1"/>
      <c r="D205" s="1"/>
      <c r="E205" s="1"/>
      <c r="F205" s="1"/>
      <c r="G205" s="1"/>
      <c r="H205" s="1"/>
      <c r="I205" s="1"/>
      <c r="J205" s="25"/>
    </row>
    <row r="206" ht="15.0" customHeight="1">
      <c r="A206" s="25"/>
      <c r="B206" s="1"/>
      <c r="C206" s="1"/>
      <c r="D206" s="1"/>
      <c r="E206" s="1"/>
      <c r="F206" s="1"/>
      <c r="G206" s="1"/>
      <c r="H206" s="1"/>
      <c r="I206" s="1"/>
      <c r="J206" s="25"/>
    </row>
    <row r="207" ht="15.0" customHeight="1">
      <c r="A207" s="25"/>
      <c r="B207" s="1"/>
      <c r="C207" s="1"/>
      <c r="D207" s="1"/>
      <c r="E207" s="1"/>
      <c r="F207" s="1"/>
      <c r="G207" s="1"/>
      <c r="H207" s="1"/>
      <c r="I207" s="1"/>
      <c r="J207" s="25"/>
    </row>
    <row r="208" ht="15.0" customHeight="1">
      <c r="A208" s="25"/>
      <c r="B208" s="1"/>
      <c r="C208" s="1"/>
      <c r="D208" s="1"/>
      <c r="E208" s="1"/>
      <c r="F208" s="1"/>
      <c r="G208" s="1"/>
      <c r="H208" s="1"/>
      <c r="I208" s="1"/>
      <c r="J208" s="25"/>
    </row>
    <row r="209" ht="15.0" customHeight="1">
      <c r="A209" s="25"/>
      <c r="B209" s="1"/>
      <c r="C209" s="1"/>
      <c r="D209" s="1"/>
      <c r="E209" s="1"/>
      <c r="F209" s="1"/>
      <c r="G209" s="1"/>
      <c r="H209" s="1"/>
      <c r="I209" s="1"/>
      <c r="J209" s="25"/>
    </row>
    <row r="210" ht="15.0" customHeight="1">
      <c r="A210" s="25"/>
      <c r="B210" s="1"/>
      <c r="C210" s="1"/>
      <c r="D210" s="1"/>
      <c r="E210" s="1"/>
      <c r="F210" s="1"/>
      <c r="G210" s="1"/>
      <c r="H210" s="1"/>
      <c r="I210" s="1"/>
      <c r="J210" s="25"/>
    </row>
    <row r="211" ht="15.0" customHeight="1">
      <c r="A211" s="25"/>
      <c r="B211" s="1"/>
      <c r="C211" s="1"/>
      <c r="D211" s="1"/>
      <c r="E211" s="1"/>
      <c r="F211" s="1"/>
      <c r="G211" s="1"/>
      <c r="H211" s="1"/>
      <c r="I211" s="1"/>
      <c r="J211" s="25"/>
    </row>
    <row r="212" ht="15.0" customHeight="1">
      <c r="A212" s="25"/>
      <c r="B212" s="1"/>
      <c r="C212" s="1"/>
      <c r="D212" s="1"/>
      <c r="E212" s="1"/>
      <c r="F212" s="1"/>
      <c r="G212" s="1"/>
      <c r="H212" s="1"/>
      <c r="I212" s="1"/>
      <c r="J212" s="25"/>
    </row>
    <row r="213" ht="15.0" customHeight="1">
      <c r="A213" s="25"/>
      <c r="B213" s="1"/>
      <c r="C213" s="1"/>
      <c r="D213" s="1"/>
      <c r="E213" s="1"/>
      <c r="F213" s="1"/>
      <c r="G213" s="1"/>
      <c r="H213" s="1"/>
      <c r="I213" s="1"/>
      <c r="J213" s="25"/>
    </row>
    <row r="214" ht="15.0" customHeight="1">
      <c r="A214" s="25"/>
      <c r="B214" s="1"/>
      <c r="C214" s="1"/>
      <c r="D214" s="1"/>
      <c r="E214" s="1"/>
      <c r="F214" s="1"/>
      <c r="G214" s="1"/>
      <c r="H214" s="1"/>
      <c r="I214" s="1"/>
      <c r="J214" s="25"/>
    </row>
    <row r="215" ht="15.0" customHeight="1">
      <c r="A215" s="25"/>
      <c r="B215" s="1"/>
      <c r="C215" s="1"/>
      <c r="D215" s="1"/>
      <c r="E215" s="1"/>
      <c r="F215" s="1"/>
      <c r="G215" s="1"/>
      <c r="H215" s="1"/>
      <c r="I215" s="1"/>
      <c r="J215" s="25"/>
    </row>
    <row r="216" ht="15.0" customHeight="1">
      <c r="A216" s="25"/>
      <c r="B216" s="1"/>
      <c r="C216" s="1"/>
      <c r="D216" s="1"/>
      <c r="E216" s="1"/>
      <c r="F216" s="1"/>
      <c r="G216" s="1"/>
      <c r="H216" s="1"/>
      <c r="I216" s="1"/>
      <c r="J216" s="25"/>
    </row>
    <row r="217" ht="15.0" customHeight="1">
      <c r="A217" s="25"/>
      <c r="B217" s="1"/>
      <c r="C217" s="1"/>
      <c r="D217" s="1"/>
      <c r="E217" s="1"/>
      <c r="F217" s="1"/>
      <c r="G217" s="1"/>
      <c r="H217" s="1"/>
      <c r="I217" s="1"/>
      <c r="J217" s="25"/>
    </row>
    <row r="218" ht="15.0" customHeight="1">
      <c r="A218" s="25"/>
      <c r="B218" s="1"/>
      <c r="C218" s="1"/>
      <c r="D218" s="1"/>
      <c r="E218" s="1"/>
      <c r="F218" s="1"/>
      <c r="G218" s="1"/>
      <c r="H218" s="1"/>
      <c r="I218" s="1"/>
      <c r="J218" s="25"/>
    </row>
    <row r="219" ht="15.0" customHeight="1">
      <c r="A219" s="25"/>
      <c r="B219" s="1"/>
      <c r="C219" s="1"/>
      <c r="D219" s="1"/>
      <c r="E219" s="1"/>
      <c r="F219" s="1"/>
      <c r="G219" s="1"/>
      <c r="H219" s="1"/>
      <c r="I219" s="1"/>
      <c r="J219" s="25"/>
    </row>
    <row r="220" ht="15.0" customHeight="1">
      <c r="A220" s="25"/>
      <c r="B220" s="1"/>
      <c r="C220" s="1"/>
      <c r="D220" s="1"/>
      <c r="E220" s="1"/>
      <c r="F220" s="1"/>
      <c r="G220" s="1"/>
      <c r="H220" s="1"/>
      <c r="I220" s="1"/>
      <c r="J220" s="25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</row>
    <row r="1072" ht="15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</row>
    <row r="1074" ht="15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</row>
    <row r="1117" ht="15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</row>
    <row r="1118" ht="15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</row>
    <row r="1119" ht="15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</row>
    <row r="1120" ht="15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</row>
    <row r="1121" ht="15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</row>
    <row r="1122" ht="15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</row>
    <row r="1123" ht="15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</row>
    <row r="1124" ht="15.7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</row>
    <row r="1125" ht="15.75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</row>
    <row r="1126" ht="15.7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</row>
    <row r="1127" ht="15.75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</row>
    <row r="1128" ht="15.75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</row>
    <row r="1129" ht="15.75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</row>
    <row r="1130" ht="15.75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</row>
    <row r="1131" ht="15.7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</row>
    <row r="1132" ht="15.7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</row>
    <row r="1133" ht="15.7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</row>
    <row r="1134" ht="15.75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</row>
    <row r="1135" ht="15.75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</row>
    <row r="1136" ht="15.75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</row>
    <row r="1137" ht="15.75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</row>
    <row r="1138" ht="15.75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</row>
    <row r="1139" ht="15.75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</row>
    <row r="1140" ht="15.75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</row>
    <row r="1141" ht="15.75" customHeight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</row>
    <row r="1142" ht="15.75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</row>
    <row r="1143" ht="15.75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</row>
    <row r="1144" ht="15.7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</row>
    <row r="1145" ht="15.75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</row>
    <row r="1146" ht="15.7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</row>
    <row r="1147" ht="15.75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</row>
    <row r="1148" ht="15.75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</row>
    <row r="1149" ht="15.75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</row>
    <row r="1150" ht="15.75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</row>
    <row r="1151" ht="15.75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</row>
    <row r="1152" ht="15.75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</row>
    <row r="1153" ht="15.7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</row>
    <row r="1154" ht="15.7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</row>
    <row r="1155" ht="15.75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</row>
    <row r="1156" ht="15.75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</row>
    <row r="1157" ht="15.75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</row>
    <row r="1158" ht="15.75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</row>
    <row r="1159" ht="15.75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</row>
    <row r="1160" ht="15.75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</row>
    <row r="1161" ht="15.75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</row>
    <row r="1162" ht="15.75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</row>
    <row r="1163" ht="15.75" customHeight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</row>
    <row r="1164" ht="15.75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</row>
    <row r="1165" ht="15.75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</row>
    <row r="1166" ht="15.75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</row>
    <row r="1167" ht="15.75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</row>
    <row r="1168" ht="15.75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</row>
    <row r="1169" ht="15.75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</row>
    <row r="1170" ht="15.75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</row>
    <row r="1171" ht="15.75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</row>
    <row r="1172" ht="15.75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</row>
    <row r="1173" ht="15.75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</row>
    <row r="1174" ht="15.75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</row>
    <row r="1175" ht="15.75" customHeight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</row>
    <row r="1176" ht="15.75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</row>
    <row r="1177" ht="15.75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</row>
    <row r="1178" ht="15.75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</row>
    <row r="1179" ht="15.75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</row>
    <row r="1180" ht="15.75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</row>
    <row r="1181" ht="15.75" customHeight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</row>
    <row r="1182" ht="15.75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</row>
    <row r="1183" ht="15.75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</row>
    <row r="1184" ht="15.75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</row>
    <row r="1185" ht="15.75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</row>
    <row r="1186" ht="15.75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</row>
    <row r="1187" ht="15.75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</row>
    <row r="1188" ht="15.75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</row>
    <row r="1189" ht="15.75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</row>
    <row r="1190" ht="15.75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</row>
    <row r="1191" ht="15.75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</row>
    <row r="1192" ht="15.75" customHeight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</row>
    <row r="1193" ht="15.75" customHeight="1">
      <c r="A1193" s="1"/>
      <c r="B1193" s="1"/>
      <c r="C1193" s="1"/>
      <c r="D1193" s="1"/>
      <c r="E1193" s="1"/>
      <c r="F1193" s="1"/>
      <c r="G1193" s="1"/>
      <c r="H1193" s="1"/>
      <c r="I1193" s="1"/>
      <c r="J1193" s="1"/>
    </row>
    <row r="1194" ht="15.75" customHeight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</row>
    <row r="1195" ht="15.75" customHeight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</row>
    <row r="1196" ht="15.75" customHeight="1">
      <c r="A1196" s="1"/>
      <c r="B1196" s="1"/>
      <c r="C1196" s="1"/>
      <c r="D1196" s="1"/>
      <c r="E1196" s="1"/>
      <c r="F1196" s="1"/>
      <c r="G1196" s="1"/>
      <c r="H1196" s="1"/>
      <c r="I1196" s="1"/>
      <c r="J1196" s="1"/>
    </row>
    <row r="1197" ht="15.75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</row>
    <row r="1198" ht="15.75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</row>
    <row r="1199" ht="15.75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</row>
    <row r="1200" ht="15.75" customHeight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</row>
    <row r="1201" ht="15.75" customHeight="1">
      <c r="A1201" s="1"/>
      <c r="B1201" s="1"/>
      <c r="C1201" s="1"/>
      <c r="D1201" s="1"/>
      <c r="E1201" s="1"/>
      <c r="F1201" s="1"/>
      <c r="G1201" s="1"/>
      <c r="H1201" s="1"/>
      <c r="I1201" s="1"/>
      <c r="J1201" s="1"/>
    </row>
    <row r="1202" ht="15.75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</row>
    <row r="1203" ht="15.75" customHeight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</row>
    <row r="1204" ht="15.75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</row>
    <row r="1205" ht="15.75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</row>
    <row r="1206" ht="15.75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</row>
    <row r="1207" ht="15.75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</row>
    <row r="1208" ht="15.75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</row>
    <row r="1209" ht="15.75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</row>
    <row r="1210" ht="15.75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</row>
    <row r="1211" ht="15.75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</row>
    <row r="1212" ht="15.75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</row>
    <row r="1213" ht="15.75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</row>
    <row r="1214" ht="15.75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</row>
    <row r="1215" ht="15.75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</row>
    <row r="1216" ht="15.75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</row>
    <row r="1217" ht="15.75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</row>
    <row r="1218" ht="15.75" customHeight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</row>
    <row r="1219" ht="15.75" customHeight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</row>
    <row r="1220" ht="15.75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</row>
    <row r="1221" ht="15.75" customHeight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</row>
    <row r="1222" ht="15.75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</row>
    <row r="1223" ht="15.75" customHeight="1">
      <c r="A1223" s="1"/>
      <c r="B1223" s="1"/>
      <c r="C1223" s="1"/>
      <c r="D1223" s="1"/>
      <c r="E1223" s="1"/>
      <c r="F1223" s="1"/>
      <c r="G1223" s="1"/>
      <c r="H1223" s="1"/>
      <c r="I1223" s="1"/>
      <c r="J1223" s="1"/>
    </row>
    <row r="1224" ht="15.75" customHeight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</row>
    <row r="1225" ht="15.75" customHeight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</row>
    <row r="1226" ht="15.75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</row>
    <row r="1227" ht="15.75" customHeight="1">
      <c r="A1227" s="1"/>
      <c r="B1227" s="1"/>
      <c r="C1227" s="1"/>
      <c r="D1227" s="1"/>
      <c r="E1227" s="1"/>
      <c r="F1227" s="1"/>
      <c r="G1227" s="1"/>
      <c r="H1227" s="1"/>
      <c r="I1227" s="1"/>
      <c r="J1227" s="1"/>
    </row>
    <row r="1228" ht="15.75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</row>
    <row r="1229" ht="15.75" customHeight="1">
      <c r="A1229" s="1"/>
      <c r="B1229" s="1"/>
      <c r="C1229" s="1"/>
      <c r="D1229" s="1"/>
      <c r="E1229" s="1"/>
      <c r="F1229" s="1"/>
      <c r="G1229" s="1"/>
      <c r="H1229" s="1"/>
      <c r="I1229" s="1"/>
      <c r="J1229" s="1"/>
    </row>
    <row r="1230" ht="15.75" customHeight="1">
      <c r="A1230" s="1"/>
      <c r="B1230" s="1"/>
      <c r="C1230" s="1"/>
      <c r="D1230" s="1"/>
      <c r="E1230" s="1"/>
      <c r="F1230" s="1"/>
      <c r="G1230" s="1"/>
      <c r="H1230" s="1"/>
      <c r="I1230" s="1"/>
      <c r="J1230" s="1"/>
    </row>
    <row r="1231" ht="15.75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</row>
    <row r="1232" ht="15.75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</row>
    <row r="1233" ht="15.75" customHeight="1">
      <c r="A1233" s="1"/>
      <c r="B1233" s="1"/>
      <c r="C1233" s="1"/>
      <c r="D1233" s="1"/>
      <c r="E1233" s="1"/>
      <c r="F1233" s="1"/>
      <c r="G1233" s="1"/>
      <c r="H1233" s="1"/>
      <c r="I1233" s="1"/>
      <c r="J1233" s="1"/>
    </row>
    <row r="1234" ht="15.75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</row>
    <row r="1235" ht="15.75" customHeight="1">
      <c r="A1235" s="1"/>
      <c r="B1235" s="1"/>
      <c r="C1235" s="1"/>
      <c r="D1235" s="1"/>
      <c r="E1235" s="1"/>
      <c r="F1235" s="1"/>
      <c r="G1235" s="1"/>
      <c r="H1235" s="1"/>
      <c r="I1235" s="1"/>
      <c r="J1235" s="1"/>
    </row>
    <row r="1236" ht="15.75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</row>
    <row r="1237" ht="15.75" customHeight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</row>
    <row r="1238" ht="15.75" customHeight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</row>
    <row r="1239" ht="15.75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</row>
    <row r="1240" ht="15.75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</row>
    <row r="1241" ht="15.75" customHeight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</row>
    <row r="1242" ht="15.75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</row>
    <row r="1243" ht="15.75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</row>
    <row r="1244" ht="15.75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</row>
    <row r="1245" ht="15.75" customHeight="1">
      <c r="A1245" s="1"/>
      <c r="B1245" s="1"/>
      <c r="C1245" s="1"/>
      <c r="D1245" s="1"/>
      <c r="E1245" s="1"/>
      <c r="F1245" s="1"/>
      <c r="G1245" s="1"/>
      <c r="H1245" s="1"/>
      <c r="I1245" s="1"/>
      <c r="J1245" s="1"/>
    </row>
    <row r="1246" ht="15.75" customHeight="1">
      <c r="A1246" s="1"/>
      <c r="B1246" s="1"/>
      <c r="C1246" s="1"/>
      <c r="D1246" s="1"/>
      <c r="E1246" s="1"/>
      <c r="F1246" s="1"/>
      <c r="G1246" s="1"/>
      <c r="H1246" s="1"/>
      <c r="I1246" s="1"/>
      <c r="J1246" s="1"/>
    </row>
    <row r="1247" ht="15.75" customHeight="1">
      <c r="A1247" s="1"/>
      <c r="B1247" s="1"/>
      <c r="C1247" s="1"/>
      <c r="D1247" s="1"/>
      <c r="E1247" s="1"/>
      <c r="F1247" s="1"/>
      <c r="G1247" s="1"/>
      <c r="H1247" s="1"/>
      <c r="I1247" s="1"/>
      <c r="J1247" s="1"/>
    </row>
    <row r="1248" ht="15.75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</row>
    <row r="1249" ht="15.75" customHeight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</row>
    <row r="1250" ht="15.75" customHeight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</row>
    <row r="1251" ht="15.75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</row>
    <row r="1252" ht="15.75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</row>
    <row r="1253" ht="15.75" customHeight="1">
      <c r="A1253" s="1"/>
      <c r="B1253" s="1"/>
      <c r="C1253" s="1"/>
      <c r="D1253" s="1"/>
      <c r="E1253" s="1"/>
      <c r="F1253" s="1"/>
      <c r="G1253" s="1"/>
      <c r="H1253" s="1"/>
      <c r="I1253" s="1"/>
      <c r="J1253" s="1"/>
    </row>
    <row r="1254" ht="15.75" customHeight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</row>
    <row r="1255" ht="15.75" customHeight="1">
      <c r="A1255" s="1"/>
      <c r="B1255" s="1"/>
      <c r="C1255" s="1"/>
      <c r="D1255" s="1"/>
      <c r="E1255" s="1"/>
      <c r="F1255" s="1"/>
      <c r="G1255" s="1"/>
      <c r="H1255" s="1"/>
      <c r="I1255" s="1"/>
      <c r="J1255" s="1"/>
    </row>
    <row r="1256" ht="15.75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</row>
    <row r="1257" ht="15.75" customHeight="1">
      <c r="A1257" s="1"/>
      <c r="B1257" s="1"/>
      <c r="C1257" s="1"/>
      <c r="D1257" s="1"/>
      <c r="E1257" s="1"/>
      <c r="F1257" s="1"/>
      <c r="G1257" s="1"/>
      <c r="H1257" s="1"/>
      <c r="I1257" s="1"/>
      <c r="J1257" s="1"/>
    </row>
    <row r="1258" ht="15.75" customHeight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</row>
    <row r="1259" ht="15.75" customHeight="1">
      <c r="A1259" s="1"/>
      <c r="B1259" s="1"/>
      <c r="C1259" s="1"/>
      <c r="D1259" s="1"/>
      <c r="E1259" s="1"/>
      <c r="F1259" s="1"/>
      <c r="G1259" s="1"/>
      <c r="H1259" s="1"/>
      <c r="I1259" s="1"/>
      <c r="J1259" s="1"/>
    </row>
    <row r="1260" ht="15.75" customHeight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</row>
    <row r="1261" ht="15.75" customHeight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</row>
    <row r="1262" ht="15.75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</row>
    <row r="1263" ht="15.75" customHeight="1">
      <c r="A1263" s="1"/>
      <c r="B1263" s="1"/>
      <c r="C1263" s="1"/>
      <c r="D1263" s="1"/>
      <c r="E1263" s="1"/>
      <c r="F1263" s="1"/>
      <c r="G1263" s="1"/>
      <c r="H1263" s="1"/>
      <c r="I1263" s="1"/>
      <c r="J1263" s="1"/>
    </row>
    <row r="1264" ht="15.75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</row>
    <row r="1265" ht="15.75" customHeight="1">
      <c r="A1265" s="1"/>
      <c r="B1265" s="1"/>
      <c r="C1265" s="1"/>
      <c r="D1265" s="1"/>
      <c r="E1265" s="1"/>
      <c r="F1265" s="1"/>
      <c r="G1265" s="1"/>
      <c r="H1265" s="1"/>
      <c r="I1265" s="1"/>
      <c r="J1265" s="1"/>
    </row>
    <row r="1266" ht="15.75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</row>
    <row r="1267" ht="15.75" customHeight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</row>
    <row r="1268" ht="15.75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</row>
    <row r="1269" ht="15.75" customHeight="1">
      <c r="A1269" s="1"/>
      <c r="B1269" s="1"/>
      <c r="C1269" s="1"/>
      <c r="D1269" s="1"/>
      <c r="E1269" s="1"/>
      <c r="F1269" s="1"/>
      <c r="G1269" s="1"/>
      <c r="H1269" s="1"/>
      <c r="I1269" s="1"/>
      <c r="J1269" s="1"/>
    </row>
    <row r="1270" ht="15.75" customHeight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</row>
    <row r="1271" ht="15.75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</row>
    <row r="1272" ht="15.75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</row>
    <row r="1273" ht="15.75" customHeight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</row>
    <row r="1274" ht="15.75" customHeight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</row>
    <row r="1275" ht="15.75" customHeight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</row>
    <row r="1276" ht="15.75" customHeight="1">
      <c r="A1276" s="1"/>
      <c r="B1276" s="1"/>
      <c r="C1276" s="1"/>
      <c r="D1276" s="1"/>
      <c r="E1276" s="1"/>
      <c r="F1276" s="1"/>
      <c r="G1276" s="1"/>
      <c r="H1276" s="1"/>
      <c r="I1276" s="1"/>
      <c r="J1276" s="1"/>
    </row>
    <row r="1277" ht="15.75" customHeight="1">
      <c r="A1277" s="1"/>
      <c r="B1277" s="1"/>
      <c r="C1277" s="1"/>
      <c r="D1277" s="1"/>
      <c r="E1277" s="1"/>
      <c r="F1277" s="1"/>
      <c r="G1277" s="1"/>
      <c r="H1277" s="1"/>
      <c r="I1277" s="1"/>
      <c r="J1277" s="1"/>
    </row>
    <row r="1278" ht="15.75" customHeight="1">
      <c r="A1278" s="1"/>
      <c r="B1278" s="1"/>
      <c r="C1278" s="1"/>
      <c r="D1278" s="1"/>
      <c r="E1278" s="1"/>
      <c r="F1278" s="1"/>
      <c r="G1278" s="1"/>
      <c r="H1278" s="1"/>
      <c r="I1278" s="1"/>
      <c r="J1278" s="1"/>
    </row>
    <row r="1279" ht="15.75" customHeight="1">
      <c r="A1279" s="1"/>
      <c r="B1279" s="1"/>
      <c r="C1279" s="1"/>
      <c r="D1279" s="1"/>
      <c r="E1279" s="1"/>
      <c r="F1279" s="1"/>
      <c r="G1279" s="1"/>
      <c r="H1279" s="1"/>
      <c r="I1279" s="1"/>
      <c r="J1279" s="1"/>
    </row>
    <row r="1280" ht="15.75" customHeight="1">
      <c r="A1280" s="1"/>
      <c r="B1280" s="1"/>
      <c r="C1280" s="1"/>
      <c r="D1280" s="1"/>
      <c r="E1280" s="1"/>
      <c r="F1280" s="1"/>
      <c r="G1280" s="1"/>
      <c r="H1280" s="1"/>
      <c r="I1280" s="1"/>
      <c r="J1280" s="1"/>
    </row>
    <row r="1281" ht="15.75" customHeight="1">
      <c r="A1281" s="1"/>
      <c r="B1281" s="1"/>
      <c r="C1281" s="1"/>
      <c r="D1281" s="1"/>
      <c r="E1281" s="1"/>
      <c r="F1281" s="1"/>
      <c r="G1281" s="1"/>
      <c r="H1281" s="1"/>
      <c r="I1281" s="1"/>
      <c r="J1281" s="1"/>
    </row>
    <row r="1282" ht="15.75" customHeight="1">
      <c r="A1282" s="1"/>
      <c r="B1282" s="1"/>
      <c r="C1282" s="1"/>
      <c r="D1282" s="1"/>
      <c r="E1282" s="1"/>
      <c r="F1282" s="1"/>
      <c r="G1282" s="1"/>
      <c r="H1282" s="1"/>
      <c r="I1282" s="1"/>
      <c r="J1282" s="1"/>
    </row>
    <row r="1283" ht="15.75" customHeight="1">
      <c r="A1283" s="1"/>
      <c r="B1283" s="1"/>
      <c r="C1283" s="1"/>
      <c r="D1283" s="1"/>
      <c r="E1283" s="1"/>
      <c r="F1283" s="1"/>
      <c r="G1283" s="1"/>
      <c r="H1283" s="1"/>
      <c r="I1283" s="1"/>
      <c r="J1283" s="1"/>
    </row>
    <row r="1284" ht="15.75" customHeight="1">
      <c r="A1284" s="1"/>
      <c r="B1284" s="1"/>
      <c r="C1284" s="1"/>
      <c r="D1284" s="1"/>
      <c r="E1284" s="1"/>
      <c r="F1284" s="1"/>
      <c r="G1284" s="1"/>
      <c r="H1284" s="1"/>
      <c r="I1284" s="1"/>
      <c r="J1284" s="1"/>
    </row>
    <row r="1285" ht="15.75" customHeight="1">
      <c r="A1285" s="1"/>
      <c r="B1285" s="1"/>
      <c r="C1285" s="1"/>
      <c r="D1285" s="1"/>
      <c r="E1285" s="1"/>
      <c r="F1285" s="1"/>
      <c r="G1285" s="1"/>
      <c r="H1285" s="1"/>
      <c r="I1285" s="1"/>
      <c r="J1285" s="1"/>
    </row>
    <row r="1286" ht="15.75" customHeight="1">
      <c r="A1286" s="1"/>
      <c r="B1286" s="1"/>
      <c r="C1286" s="1"/>
      <c r="D1286" s="1"/>
      <c r="E1286" s="1"/>
      <c r="F1286" s="1"/>
      <c r="G1286" s="1"/>
      <c r="H1286" s="1"/>
      <c r="I1286" s="1"/>
      <c r="J1286" s="1"/>
    </row>
    <row r="1287" ht="15.75" customHeight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</row>
    <row r="1288" ht="15.75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</row>
    <row r="1289" ht="15.75" customHeight="1">
      <c r="A1289" s="1"/>
      <c r="B1289" s="1"/>
      <c r="C1289" s="1"/>
      <c r="D1289" s="1"/>
      <c r="E1289" s="1"/>
      <c r="F1289" s="1"/>
      <c r="G1289" s="1"/>
      <c r="H1289" s="1"/>
      <c r="I1289" s="1"/>
      <c r="J1289" s="1"/>
    </row>
    <row r="1290" ht="15.75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</row>
    <row r="1291" ht="15.75" customHeight="1">
      <c r="A1291" s="1"/>
      <c r="B1291" s="1"/>
      <c r="C1291" s="1"/>
      <c r="D1291" s="1"/>
      <c r="E1291" s="1"/>
      <c r="F1291" s="1"/>
      <c r="G1291" s="1"/>
      <c r="H1291" s="1"/>
      <c r="I1291" s="1"/>
      <c r="J1291" s="1"/>
    </row>
    <row r="1292" ht="15.75" customHeight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</row>
    <row r="1293" ht="15.75" customHeight="1">
      <c r="A1293" s="1"/>
      <c r="B1293" s="1"/>
      <c r="C1293" s="1"/>
      <c r="D1293" s="1"/>
      <c r="E1293" s="1"/>
      <c r="F1293" s="1"/>
      <c r="G1293" s="1"/>
      <c r="H1293" s="1"/>
      <c r="I1293" s="1"/>
      <c r="J1293" s="1"/>
    </row>
    <row r="1294" ht="15.75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</row>
    <row r="1295" ht="15.75" customHeight="1">
      <c r="A1295" s="1"/>
      <c r="B1295" s="1"/>
      <c r="C1295" s="1"/>
      <c r="D1295" s="1"/>
      <c r="E1295" s="1"/>
      <c r="F1295" s="1"/>
      <c r="G1295" s="1"/>
      <c r="H1295" s="1"/>
      <c r="I1295" s="1"/>
      <c r="J1295" s="1"/>
    </row>
    <row r="1296" ht="15.75" customHeight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</row>
    <row r="1297" ht="15.75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</row>
    <row r="1298" ht="15.75" customHeight="1">
      <c r="A1298" s="1"/>
      <c r="B1298" s="1"/>
      <c r="C1298" s="1"/>
      <c r="D1298" s="1"/>
      <c r="E1298" s="1"/>
      <c r="F1298" s="1"/>
      <c r="G1298" s="1"/>
      <c r="H1298" s="1"/>
      <c r="I1298" s="1"/>
      <c r="J1298" s="1"/>
    </row>
    <row r="1299" ht="15.75" customHeight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</row>
    <row r="1300" ht="15.75" customHeight="1">
      <c r="A1300" s="1"/>
      <c r="B1300" s="1"/>
      <c r="C1300" s="1"/>
      <c r="D1300" s="1"/>
      <c r="E1300" s="1"/>
      <c r="F1300" s="1"/>
      <c r="G1300" s="1"/>
      <c r="H1300" s="1"/>
      <c r="I1300" s="1"/>
      <c r="J1300" s="1"/>
    </row>
    <row r="1301" ht="15.75" customHeight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</row>
    <row r="1302" ht="15.75" customHeight="1">
      <c r="A1302" s="1"/>
      <c r="B1302" s="1"/>
      <c r="C1302" s="1"/>
      <c r="D1302" s="1"/>
      <c r="E1302" s="1"/>
      <c r="F1302" s="1"/>
      <c r="G1302" s="1"/>
      <c r="H1302" s="1"/>
      <c r="I1302" s="1"/>
      <c r="J1302" s="1"/>
    </row>
    <row r="1303" ht="15.75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</row>
    <row r="1304" ht="15.75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</row>
    <row r="1305" ht="15.75" customHeight="1">
      <c r="A1305" s="1"/>
      <c r="B1305" s="1"/>
      <c r="C1305" s="1"/>
      <c r="D1305" s="1"/>
      <c r="E1305" s="1"/>
      <c r="F1305" s="1"/>
      <c r="G1305" s="1"/>
      <c r="H1305" s="1"/>
      <c r="I1305" s="1"/>
      <c r="J1305" s="1"/>
    </row>
    <row r="1306" ht="15.75" customHeight="1">
      <c r="A1306" s="1"/>
      <c r="B1306" s="1"/>
      <c r="C1306" s="1"/>
      <c r="D1306" s="1"/>
      <c r="E1306" s="1"/>
      <c r="F1306" s="1"/>
      <c r="G1306" s="1"/>
      <c r="H1306" s="1"/>
      <c r="I1306" s="1"/>
      <c r="J1306" s="1"/>
    </row>
    <row r="1307" ht="15.75" customHeight="1">
      <c r="A1307" s="1"/>
      <c r="B1307" s="1"/>
      <c r="C1307" s="1"/>
      <c r="D1307" s="1"/>
      <c r="E1307" s="1"/>
      <c r="F1307" s="1"/>
      <c r="G1307" s="1"/>
      <c r="H1307" s="1"/>
      <c r="I1307" s="1"/>
      <c r="J1307" s="1"/>
    </row>
    <row r="1308" ht="15.75" customHeight="1">
      <c r="A1308" s="1"/>
      <c r="B1308" s="1"/>
      <c r="C1308" s="1"/>
      <c r="D1308" s="1"/>
      <c r="E1308" s="1"/>
      <c r="F1308" s="1"/>
      <c r="G1308" s="1"/>
      <c r="H1308" s="1"/>
      <c r="I1308" s="1"/>
      <c r="J1308" s="1"/>
    </row>
    <row r="1309" ht="15.75" customHeight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</row>
    <row r="1310" ht="15.75" customHeight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</row>
    <row r="1311" ht="15.75" customHeight="1">
      <c r="A1311" s="1"/>
      <c r="B1311" s="1"/>
      <c r="C1311" s="1"/>
      <c r="D1311" s="1"/>
      <c r="E1311" s="1"/>
      <c r="F1311" s="1"/>
      <c r="G1311" s="1"/>
      <c r="H1311" s="1"/>
      <c r="I1311" s="1"/>
      <c r="J1311" s="1"/>
    </row>
    <row r="1312" ht="15.75" customHeight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</row>
    <row r="1313" ht="15.75" customHeight="1">
      <c r="A1313" s="1"/>
      <c r="B1313" s="1"/>
      <c r="C1313" s="1"/>
      <c r="D1313" s="1"/>
      <c r="E1313" s="1"/>
      <c r="F1313" s="1"/>
      <c r="G1313" s="1"/>
      <c r="H1313" s="1"/>
      <c r="I1313" s="1"/>
      <c r="J1313" s="1"/>
    </row>
    <row r="1314" ht="15.75" customHeight="1">
      <c r="A1314" s="1"/>
      <c r="B1314" s="1"/>
      <c r="C1314" s="1"/>
      <c r="D1314" s="1"/>
      <c r="E1314" s="1"/>
      <c r="F1314" s="1"/>
      <c r="G1314" s="1"/>
      <c r="H1314" s="1"/>
      <c r="I1314" s="1"/>
      <c r="J1314" s="1"/>
    </row>
    <row r="1315" ht="15.75" customHeight="1">
      <c r="A1315" s="1"/>
      <c r="B1315" s="1"/>
      <c r="C1315" s="1"/>
      <c r="D1315" s="1"/>
      <c r="E1315" s="1"/>
      <c r="F1315" s="1"/>
      <c r="G1315" s="1"/>
      <c r="H1315" s="1"/>
      <c r="I1315" s="1"/>
      <c r="J1315" s="1"/>
    </row>
    <row r="1316" ht="15.75" customHeight="1">
      <c r="A1316" s="1"/>
      <c r="B1316" s="1"/>
      <c r="C1316" s="1"/>
      <c r="D1316" s="1"/>
      <c r="E1316" s="1"/>
      <c r="F1316" s="1"/>
      <c r="G1316" s="1"/>
      <c r="H1316" s="1"/>
      <c r="I1316" s="1"/>
      <c r="J1316" s="1"/>
    </row>
    <row r="1317" ht="15.75" customHeight="1">
      <c r="A1317" s="1"/>
      <c r="B1317" s="1"/>
      <c r="C1317" s="1"/>
      <c r="D1317" s="1"/>
      <c r="E1317" s="1"/>
      <c r="F1317" s="1"/>
      <c r="G1317" s="1"/>
      <c r="H1317" s="1"/>
      <c r="I1317" s="1"/>
      <c r="J1317" s="1"/>
    </row>
    <row r="1318" ht="15.75" customHeight="1">
      <c r="A1318" s="1"/>
      <c r="B1318" s="1"/>
      <c r="C1318" s="1"/>
      <c r="D1318" s="1"/>
      <c r="E1318" s="1"/>
      <c r="F1318" s="1"/>
      <c r="G1318" s="1"/>
      <c r="H1318" s="1"/>
      <c r="I1318" s="1"/>
      <c r="J1318" s="1"/>
    </row>
    <row r="1319" ht="15.75" customHeight="1">
      <c r="A1319" s="1"/>
      <c r="B1319" s="1"/>
      <c r="C1319" s="1"/>
      <c r="D1319" s="1"/>
      <c r="E1319" s="1"/>
      <c r="F1319" s="1"/>
      <c r="G1319" s="1"/>
      <c r="H1319" s="1"/>
      <c r="I1319" s="1"/>
      <c r="J1319" s="1"/>
    </row>
    <row r="1320" ht="15.75" customHeight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</row>
    <row r="1321" ht="15.75" customHeight="1">
      <c r="A1321" s="1"/>
      <c r="B1321" s="1"/>
      <c r="C1321" s="1"/>
      <c r="D1321" s="1"/>
      <c r="E1321" s="1"/>
      <c r="F1321" s="1"/>
      <c r="G1321" s="1"/>
      <c r="H1321" s="1"/>
      <c r="I1321" s="1"/>
      <c r="J1321" s="1"/>
    </row>
    <row r="1322" ht="15.75" customHeight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</row>
    <row r="1323" ht="15.75" customHeight="1">
      <c r="A1323" s="1"/>
      <c r="B1323" s="1"/>
      <c r="C1323" s="1"/>
      <c r="D1323" s="1"/>
      <c r="E1323" s="1"/>
      <c r="F1323" s="1"/>
      <c r="G1323" s="1"/>
      <c r="H1323" s="1"/>
      <c r="I1323" s="1"/>
      <c r="J1323" s="1"/>
    </row>
    <row r="1324" ht="15.75" customHeight="1">
      <c r="A1324" s="1"/>
      <c r="B1324" s="1"/>
      <c r="C1324" s="1"/>
      <c r="D1324" s="1"/>
      <c r="E1324" s="1"/>
      <c r="F1324" s="1"/>
      <c r="G1324" s="1"/>
      <c r="H1324" s="1"/>
      <c r="I1324" s="1"/>
      <c r="J1324" s="1"/>
    </row>
    <row r="1325" ht="15.75" customHeight="1">
      <c r="A1325" s="1"/>
      <c r="B1325" s="1"/>
      <c r="C1325" s="1"/>
      <c r="D1325" s="1"/>
      <c r="E1325" s="1"/>
      <c r="F1325" s="1"/>
      <c r="G1325" s="1"/>
      <c r="H1325" s="1"/>
      <c r="I1325" s="1"/>
      <c r="J1325" s="1"/>
    </row>
    <row r="1326" ht="15.75" customHeight="1">
      <c r="A1326" s="1"/>
      <c r="B1326" s="1"/>
      <c r="C1326" s="1"/>
      <c r="D1326" s="1"/>
      <c r="E1326" s="1"/>
      <c r="F1326" s="1"/>
      <c r="G1326" s="1"/>
      <c r="H1326" s="1"/>
      <c r="I1326" s="1"/>
      <c r="J1326" s="1"/>
    </row>
    <row r="1327" ht="15.75" customHeight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</row>
    <row r="1328" ht="15.75" customHeight="1">
      <c r="A1328" s="1"/>
      <c r="B1328" s="1"/>
      <c r="C1328" s="1"/>
      <c r="D1328" s="1"/>
      <c r="E1328" s="1"/>
      <c r="F1328" s="1"/>
      <c r="G1328" s="1"/>
      <c r="H1328" s="1"/>
      <c r="I1328" s="1"/>
      <c r="J1328" s="1"/>
    </row>
    <row r="1329" ht="15.75" customHeight="1">
      <c r="A1329" s="1"/>
      <c r="B1329" s="1"/>
      <c r="C1329" s="1"/>
      <c r="D1329" s="1"/>
      <c r="E1329" s="1"/>
      <c r="F1329" s="1"/>
      <c r="G1329" s="1"/>
      <c r="H1329" s="1"/>
      <c r="I1329" s="1"/>
      <c r="J1329" s="1"/>
    </row>
    <row r="1330" ht="15.75" customHeight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</row>
    <row r="1331" ht="15.75" customHeight="1">
      <c r="A1331" s="1"/>
      <c r="B1331" s="1"/>
      <c r="C1331" s="1"/>
      <c r="D1331" s="1"/>
      <c r="E1331" s="1"/>
      <c r="F1331" s="1"/>
      <c r="G1331" s="1"/>
      <c r="H1331" s="1"/>
      <c r="I1331" s="1"/>
      <c r="J1331" s="1"/>
    </row>
    <row r="1332" ht="15.75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</row>
    <row r="1333" ht="15.75" customHeight="1">
      <c r="A1333" s="1"/>
      <c r="B1333" s="1"/>
      <c r="C1333" s="1"/>
      <c r="D1333" s="1"/>
      <c r="E1333" s="1"/>
      <c r="F1333" s="1"/>
      <c r="G1333" s="1"/>
      <c r="H1333" s="1"/>
      <c r="I1333" s="1"/>
      <c r="J1333" s="1"/>
    </row>
    <row r="1334" ht="15.75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</row>
    <row r="1335" ht="15.75" customHeight="1">
      <c r="A1335" s="1"/>
      <c r="B1335" s="1"/>
      <c r="C1335" s="1"/>
      <c r="D1335" s="1"/>
      <c r="E1335" s="1"/>
      <c r="F1335" s="1"/>
      <c r="G1335" s="1"/>
      <c r="H1335" s="1"/>
      <c r="I1335" s="1"/>
      <c r="J1335" s="1"/>
    </row>
    <row r="1336" ht="15.75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</row>
    <row r="1337" ht="15.75" customHeight="1">
      <c r="A1337" s="1"/>
      <c r="B1337" s="1"/>
      <c r="C1337" s="1"/>
      <c r="D1337" s="1"/>
      <c r="E1337" s="1"/>
      <c r="F1337" s="1"/>
      <c r="G1337" s="1"/>
      <c r="H1337" s="1"/>
      <c r="I1337" s="1"/>
      <c r="J1337" s="1"/>
    </row>
    <row r="1338" ht="15.75" customHeight="1">
      <c r="A1338" s="1"/>
      <c r="B1338" s="1"/>
      <c r="C1338" s="1"/>
      <c r="D1338" s="1"/>
      <c r="E1338" s="1"/>
      <c r="F1338" s="1"/>
      <c r="G1338" s="1"/>
      <c r="H1338" s="1"/>
      <c r="I1338" s="1"/>
      <c r="J1338" s="1"/>
    </row>
    <row r="1339" ht="15.75" customHeight="1">
      <c r="A1339" s="1"/>
      <c r="B1339" s="1"/>
      <c r="C1339" s="1"/>
      <c r="D1339" s="1"/>
      <c r="E1339" s="1"/>
      <c r="F1339" s="1"/>
      <c r="G1339" s="1"/>
      <c r="H1339" s="1"/>
      <c r="I1339" s="1"/>
      <c r="J1339" s="1"/>
    </row>
    <row r="1340" ht="15.75" customHeight="1">
      <c r="A1340" s="1"/>
      <c r="B1340" s="1"/>
      <c r="C1340" s="1"/>
      <c r="D1340" s="1"/>
      <c r="E1340" s="1"/>
      <c r="F1340" s="1"/>
      <c r="G1340" s="1"/>
      <c r="H1340" s="1"/>
      <c r="I1340" s="1"/>
      <c r="J1340" s="1"/>
    </row>
    <row r="1341" ht="15.75" customHeight="1">
      <c r="A1341" s="1"/>
      <c r="B1341" s="1"/>
      <c r="C1341" s="1"/>
      <c r="D1341" s="1"/>
      <c r="E1341" s="1"/>
      <c r="F1341" s="1"/>
      <c r="G1341" s="1"/>
      <c r="H1341" s="1"/>
      <c r="I1341" s="1"/>
      <c r="J1341" s="1"/>
    </row>
    <row r="1342" ht="15.75" customHeight="1">
      <c r="A1342" s="1"/>
      <c r="B1342" s="1"/>
      <c r="C1342" s="1"/>
      <c r="D1342" s="1"/>
      <c r="E1342" s="1"/>
      <c r="F1342" s="1"/>
      <c r="G1342" s="1"/>
      <c r="H1342" s="1"/>
      <c r="I1342" s="1"/>
      <c r="J1342" s="1"/>
    </row>
    <row r="1343" ht="15.75" customHeight="1">
      <c r="A1343" s="1"/>
      <c r="B1343" s="1"/>
      <c r="C1343" s="1"/>
      <c r="D1343" s="1"/>
      <c r="E1343" s="1"/>
      <c r="F1343" s="1"/>
      <c r="G1343" s="1"/>
      <c r="H1343" s="1"/>
      <c r="I1343" s="1"/>
      <c r="J1343" s="1"/>
    </row>
    <row r="1344" ht="15.75" customHeight="1">
      <c r="A1344" s="1"/>
      <c r="B1344" s="1"/>
      <c r="C1344" s="1"/>
      <c r="D1344" s="1"/>
      <c r="E1344" s="1"/>
      <c r="F1344" s="1"/>
      <c r="G1344" s="1"/>
      <c r="H1344" s="1"/>
      <c r="I1344" s="1"/>
      <c r="J1344" s="1"/>
    </row>
    <row r="1345" ht="15.75" customHeight="1">
      <c r="A1345" s="1"/>
      <c r="B1345" s="1"/>
      <c r="C1345" s="1"/>
      <c r="D1345" s="1"/>
      <c r="E1345" s="1"/>
      <c r="F1345" s="1"/>
      <c r="G1345" s="1"/>
      <c r="H1345" s="1"/>
      <c r="I1345" s="1"/>
      <c r="J1345" s="1"/>
    </row>
    <row r="1346" ht="15.75" customHeight="1">
      <c r="A1346" s="1"/>
      <c r="B1346" s="1"/>
      <c r="C1346" s="1"/>
      <c r="D1346" s="1"/>
      <c r="E1346" s="1"/>
      <c r="F1346" s="1"/>
      <c r="G1346" s="1"/>
      <c r="H1346" s="1"/>
      <c r="I1346" s="1"/>
      <c r="J1346" s="1"/>
    </row>
    <row r="1347" ht="15.75" customHeight="1">
      <c r="A1347" s="1"/>
      <c r="B1347" s="1"/>
      <c r="C1347" s="1"/>
      <c r="D1347" s="1"/>
      <c r="E1347" s="1"/>
      <c r="F1347" s="1"/>
      <c r="G1347" s="1"/>
      <c r="H1347" s="1"/>
      <c r="I1347" s="1"/>
      <c r="J1347" s="1"/>
    </row>
    <row r="1348" ht="15.75" customHeight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</row>
    <row r="1349" ht="15.75" customHeight="1">
      <c r="A1349" s="1"/>
      <c r="B1349" s="1"/>
      <c r="C1349" s="1"/>
      <c r="D1349" s="1"/>
      <c r="E1349" s="1"/>
      <c r="F1349" s="1"/>
      <c r="G1349" s="1"/>
      <c r="H1349" s="1"/>
      <c r="I1349" s="1"/>
      <c r="J1349" s="1"/>
    </row>
    <row r="1350" ht="15.75" customHeight="1">
      <c r="A1350" s="1"/>
      <c r="B1350" s="1"/>
      <c r="C1350" s="1"/>
      <c r="D1350" s="1"/>
      <c r="E1350" s="1"/>
      <c r="F1350" s="1"/>
      <c r="G1350" s="1"/>
      <c r="H1350" s="1"/>
      <c r="I1350" s="1"/>
      <c r="J1350" s="1"/>
    </row>
    <row r="1351" ht="15.75" customHeight="1">
      <c r="A1351" s="1"/>
      <c r="B1351" s="1"/>
      <c r="C1351" s="1"/>
      <c r="D1351" s="1"/>
      <c r="E1351" s="1"/>
      <c r="F1351" s="1"/>
      <c r="G1351" s="1"/>
      <c r="H1351" s="1"/>
      <c r="I1351" s="1"/>
      <c r="J1351" s="1"/>
    </row>
    <row r="1352" ht="15.75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</row>
    <row r="1353" ht="15.75" customHeight="1">
      <c r="A1353" s="1"/>
      <c r="B1353" s="1"/>
      <c r="C1353" s="1"/>
      <c r="D1353" s="1"/>
      <c r="E1353" s="1"/>
      <c r="F1353" s="1"/>
      <c r="G1353" s="1"/>
      <c r="H1353" s="1"/>
      <c r="I1353" s="1"/>
      <c r="J1353" s="1"/>
    </row>
    <row r="1354" ht="15.75" customHeight="1">
      <c r="A1354" s="1"/>
      <c r="B1354" s="1"/>
      <c r="C1354" s="1"/>
      <c r="D1354" s="1"/>
      <c r="E1354" s="1"/>
      <c r="F1354" s="1"/>
      <c r="G1354" s="1"/>
      <c r="H1354" s="1"/>
      <c r="I1354" s="1"/>
      <c r="J1354" s="1"/>
    </row>
    <row r="1355" ht="15.75" customHeight="1">
      <c r="A1355" s="1"/>
      <c r="B1355" s="1"/>
      <c r="C1355" s="1"/>
      <c r="D1355" s="1"/>
      <c r="E1355" s="1"/>
      <c r="F1355" s="1"/>
      <c r="G1355" s="1"/>
      <c r="H1355" s="1"/>
      <c r="I1355" s="1"/>
      <c r="J1355" s="1"/>
    </row>
    <row r="1356" ht="15.75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</row>
    <row r="1357" ht="15.75" customHeight="1">
      <c r="A1357" s="1"/>
      <c r="B1357" s="1"/>
      <c r="C1357" s="1"/>
      <c r="D1357" s="1"/>
      <c r="E1357" s="1"/>
      <c r="F1357" s="1"/>
      <c r="G1357" s="1"/>
      <c r="H1357" s="1"/>
      <c r="I1357" s="1"/>
      <c r="J1357" s="1"/>
    </row>
    <row r="1358" ht="15.75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</row>
    <row r="1359" ht="15.75" customHeight="1">
      <c r="A1359" s="1"/>
      <c r="B1359" s="1"/>
      <c r="C1359" s="1"/>
      <c r="D1359" s="1"/>
      <c r="E1359" s="1"/>
      <c r="F1359" s="1"/>
      <c r="G1359" s="1"/>
      <c r="H1359" s="1"/>
      <c r="I1359" s="1"/>
      <c r="J1359" s="1"/>
    </row>
    <row r="1360" ht="15.75" customHeight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</row>
    <row r="1361" ht="15.75" customHeight="1">
      <c r="A1361" s="1"/>
      <c r="B1361" s="1"/>
      <c r="C1361" s="1"/>
      <c r="D1361" s="1"/>
      <c r="E1361" s="1"/>
      <c r="F1361" s="1"/>
      <c r="G1361" s="1"/>
      <c r="H1361" s="1"/>
      <c r="I1361" s="1"/>
      <c r="J1361" s="1"/>
    </row>
    <row r="1362" ht="15.75" customHeight="1">
      <c r="A1362" s="1"/>
      <c r="B1362" s="1"/>
      <c r="C1362" s="1"/>
      <c r="D1362" s="1"/>
      <c r="E1362" s="1"/>
      <c r="F1362" s="1"/>
      <c r="G1362" s="1"/>
      <c r="H1362" s="1"/>
      <c r="I1362" s="1"/>
      <c r="J1362" s="1"/>
    </row>
    <row r="1363" ht="15.75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</row>
    <row r="1364" ht="15.75" customHeight="1">
      <c r="A1364" s="1"/>
      <c r="B1364" s="1"/>
      <c r="C1364" s="1"/>
      <c r="D1364" s="1"/>
      <c r="E1364" s="1"/>
      <c r="F1364" s="1"/>
      <c r="G1364" s="1"/>
      <c r="H1364" s="1"/>
      <c r="I1364" s="1"/>
      <c r="J1364" s="1"/>
    </row>
    <row r="1365" ht="15.75" customHeight="1">
      <c r="A1365" s="1"/>
      <c r="B1365" s="1"/>
      <c r="C1365" s="1"/>
      <c r="D1365" s="1"/>
      <c r="E1365" s="1"/>
      <c r="F1365" s="1"/>
      <c r="G1365" s="1"/>
      <c r="H1365" s="1"/>
      <c r="I1365" s="1"/>
      <c r="J1365" s="1"/>
    </row>
    <row r="1366" ht="15.75" customHeight="1">
      <c r="A1366" s="1"/>
      <c r="B1366" s="1"/>
      <c r="C1366" s="1"/>
      <c r="D1366" s="1"/>
      <c r="E1366" s="1"/>
      <c r="F1366" s="1"/>
      <c r="G1366" s="1"/>
      <c r="H1366" s="1"/>
      <c r="I1366" s="1"/>
      <c r="J1366" s="1"/>
    </row>
    <row r="1367" ht="15.75" customHeight="1">
      <c r="A1367" s="1"/>
      <c r="B1367" s="1"/>
      <c r="C1367" s="1"/>
      <c r="D1367" s="1"/>
      <c r="E1367" s="1"/>
      <c r="F1367" s="1"/>
      <c r="G1367" s="1"/>
      <c r="H1367" s="1"/>
      <c r="I1367" s="1"/>
      <c r="J1367" s="1"/>
    </row>
    <row r="1368" ht="15.75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</row>
    <row r="1369" ht="15.75" customHeight="1">
      <c r="A1369" s="1"/>
      <c r="B1369" s="1"/>
      <c r="C1369" s="1"/>
      <c r="D1369" s="1"/>
      <c r="E1369" s="1"/>
      <c r="F1369" s="1"/>
      <c r="G1369" s="1"/>
      <c r="H1369" s="1"/>
      <c r="I1369" s="1"/>
      <c r="J1369" s="1"/>
    </row>
    <row r="1370" ht="15.75" customHeight="1">
      <c r="A1370" s="1"/>
      <c r="B1370" s="1"/>
      <c r="C1370" s="1"/>
      <c r="D1370" s="1"/>
      <c r="E1370" s="1"/>
      <c r="F1370" s="1"/>
      <c r="G1370" s="1"/>
      <c r="H1370" s="1"/>
      <c r="I1370" s="1"/>
      <c r="J1370" s="1"/>
    </row>
    <row r="1371" ht="15.75" customHeight="1">
      <c r="A1371" s="1"/>
      <c r="B1371" s="1"/>
      <c r="C1371" s="1"/>
      <c r="D1371" s="1"/>
      <c r="E1371" s="1"/>
      <c r="F1371" s="1"/>
      <c r="G1371" s="1"/>
      <c r="H1371" s="1"/>
      <c r="I1371" s="1"/>
      <c r="J1371" s="1"/>
    </row>
    <row r="1372" ht="15.75" customHeight="1">
      <c r="A1372" s="1"/>
      <c r="B1372" s="1"/>
      <c r="C1372" s="1"/>
      <c r="D1372" s="1"/>
      <c r="E1372" s="1"/>
      <c r="F1372" s="1"/>
      <c r="G1372" s="1"/>
      <c r="H1372" s="1"/>
      <c r="I1372" s="1"/>
      <c r="J1372" s="1"/>
    </row>
    <row r="1373" ht="15.75" customHeight="1">
      <c r="A1373" s="1"/>
      <c r="B1373" s="1"/>
      <c r="C1373" s="1"/>
      <c r="D1373" s="1"/>
      <c r="E1373" s="1"/>
      <c r="F1373" s="1"/>
      <c r="G1373" s="1"/>
      <c r="H1373" s="1"/>
      <c r="I1373" s="1"/>
      <c r="J1373" s="1"/>
    </row>
    <row r="1374" ht="15.75" customHeight="1">
      <c r="A1374" s="1"/>
      <c r="B1374" s="1"/>
      <c r="C1374" s="1"/>
      <c r="D1374" s="1"/>
      <c r="E1374" s="1"/>
      <c r="F1374" s="1"/>
      <c r="G1374" s="1"/>
      <c r="H1374" s="1"/>
      <c r="I1374" s="1"/>
      <c r="J1374" s="1"/>
    </row>
    <row r="1375" ht="15.75" customHeight="1">
      <c r="A1375" s="1"/>
      <c r="B1375" s="1"/>
      <c r="C1375" s="1"/>
      <c r="D1375" s="1"/>
      <c r="E1375" s="1"/>
      <c r="F1375" s="1"/>
      <c r="G1375" s="1"/>
      <c r="H1375" s="1"/>
      <c r="I1375" s="1"/>
      <c r="J1375" s="1"/>
    </row>
    <row r="1376" ht="15.75" customHeight="1">
      <c r="A1376" s="1"/>
      <c r="B1376" s="1"/>
      <c r="C1376" s="1"/>
      <c r="D1376" s="1"/>
      <c r="E1376" s="1"/>
      <c r="F1376" s="1"/>
      <c r="G1376" s="1"/>
      <c r="H1376" s="1"/>
      <c r="I1376" s="1"/>
      <c r="J1376" s="1"/>
    </row>
    <row r="1377" ht="15.75" customHeight="1">
      <c r="A1377" s="1"/>
      <c r="B1377" s="1"/>
      <c r="C1377" s="1"/>
      <c r="D1377" s="1"/>
      <c r="E1377" s="1"/>
      <c r="F1377" s="1"/>
      <c r="G1377" s="1"/>
      <c r="H1377" s="1"/>
      <c r="I1377" s="1"/>
      <c r="J1377" s="1"/>
    </row>
    <row r="1378" ht="15.75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</row>
    <row r="1379" ht="15.75" customHeight="1">
      <c r="A1379" s="1"/>
      <c r="B1379" s="1"/>
      <c r="C1379" s="1"/>
      <c r="D1379" s="1"/>
      <c r="E1379" s="1"/>
      <c r="F1379" s="1"/>
      <c r="G1379" s="1"/>
      <c r="H1379" s="1"/>
      <c r="I1379" s="1"/>
      <c r="J1379" s="1"/>
    </row>
    <row r="1380" ht="15.75" customHeight="1">
      <c r="A1380" s="1"/>
      <c r="B1380" s="1"/>
      <c r="C1380" s="1"/>
      <c r="D1380" s="1"/>
      <c r="E1380" s="1"/>
      <c r="F1380" s="1"/>
      <c r="G1380" s="1"/>
      <c r="H1380" s="1"/>
      <c r="I1380" s="1"/>
      <c r="J1380" s="1"/>
    </row>
    <row r="1381" ht="15.75" customHeight="1">
      <c r="A1381" s="1"/>
      <c r="B1381" s="1"/>
      <c r="C1381" s="1"/>
      <c r="D1381" s="1"/>
      <c r="E1381" s="1"/>
      <c r="F1381" s="1"/>
      <c r="G1381" s="1"/>
      <c r="H1381" s="1"/>
      <c r="I1381" s="1"/>
      <c r="J1381" s="1"/>
    </row>
    <row r="1382" ht="15.75" customHeight="1">
      <c r="A1382" s="1"/>
      <c r="B1382" s="1"/>
      <c r="C1382" s="1"/>
      <c r="D1382" s="1"/>
      <c r="E1382" s="1"/>
      <c r="F1382" s="1"/>
      <c r="G1382" s="1"/>
      <c r="H1382" s="1"/>
      <c r="I1382" s="1"/>
      <c r="J1382" s="1"/>
    </row>
    <row r="1383" ht="15.75" customHeight="1">
      <c r="A1383" s="1"/>
      <c r="B1383" s="1"/>
      <c r="C1383" s="1"/>
      <c r="D1383" s="1"/>
      <c r="E1383" s="1"/>
      <c r="F1383" s="1"/>
      <c r="G1383" s="1"/>
      <c r="H1383" s="1"/>
      <c r="I1383" s="1"/>
      <c r="J1383" s="1"/>
    </row>
    <row r="1384" ht="15.75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</row>
    <row r="1385" ht="15.75" customHeight="1">
      <c r="A1385" s="1"/>
      <c r="B1385" s="1"/>
      <c r="C1385" s="1"/>
      <c r="D1385" s="1"/>
      <c r="E1385" s="1"/>
      <c r="F1385" s="1"/>
      <c r="G1385" s="1"/>
      <c r="H1385" s="1"/>
      <c r="I1385" s="1"/>
      <c r="J1385" s="1"/>
    </row>
    <row r="1386" ht="15.75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</row>
    <row r="1387" ht="15.75" customHeight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</row>
    <row r="1388" ht="15.75" customHeight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</row>
    <row r="1389" ht="15.75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</row>
    <row r="1390" ht="15.75" customHeight="1">
      <c r="A1390" s="1"/>
      <c r="B1390" s="1"/>
      <c r="C1390" s="1"/>
      <c r="D1390" s="1"/>
      <c r="E1390" s="1"/>
      <c r="F1390" s="1"/>
      <c r="G1390" s="1"/>
      <c r="H1390" s="1"/>
      <c r="I1390" s="1"/>
      <c r="J1390" s="1"/>
    </row>
    <row r="1391" ht="15.75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</row>
    <row r="1392" ht="15.75" customHeight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</row>
    <row r="1393" ht="15.75" customHeight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</row>
    <row r="1394" ht="15.75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</row>
    <row r="1395" ht="15.75" customHeight="1">
      <c r="A1395" s="1"/>
      <c r="B1395" s="1"/>
      <c r="C1395" s="1"/>
      <c r="D1395" s="1"/>
      <c r="E1395" s="1"/>
      <c r="F1395" s="1"/>
      <c r="G1395" s="1"/>
      <c r="H1395" s="1"/>
      <c r="I1395" s="1"/>
      <c r="J1395" s="1"/>
    </row>
    <row r="1396" ht="15.75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</row>
    <row r="1397" ht="15.75" customHeight="1">
      <c r="A1397" s="1"/>
      <c r="B1397" s="1"/>
      <c r="C1397" s="1"/>
      <c r="D1397" s="1"/>
      <c r="E1397" s="1"/>
      <c r="F1397" s="1"/>
      <c r="G1397" s="1"/>
      <c r="H1397" s="1"/>
      <c r="I1397" s="1"/>
      <c r="J1397" s="1"/>
    </row>
    <row r="1398" ht="15.75" customHeight="1">
      <c r="A1398" s="1"/>
      <c r="B1398" s="1"/>
      <c r="C1398" s="1"/>
      <c r="D1398" s="1"/>
      <c r="E1398" s="1"/>
      <c r="F1398" s="1"/>
      <c r="G1398" s="1"/>
      <c r="H1398" s="1"/>
      <c r="I1398" s="1"/>
      <c r="J1398" s="1"/>
    </row>
    <row r="1399" ht="15.75" customHeight="1">
      <c r="A1399" s="1"/>
      <c r="B1399" s="1"/>
      <c r="C1399" s="1"/>
      <c r="D1399" s="1"/>
      <c r="E1399" s="1"/>
      <c r="F1399" s="1"/>
      <c r="G1399" s="1"/>
      <c r="H1399" s="1"/>
      <c r="I1399" s="1"/>
      <c r="J1399" s="1"/>
    </row>
    <row r="1400" ht="15.75" customHeight="1">
      <c r="A1400" s="1"/>
      <c r="B1400" s="1"/>
      <c r="C1400" s="1"/>
      <c r="D1400" s="1"/>
      <c r="E1400" s="1"/>
      <c r="F1400" s="1"/>
      <c r="G1400" s="1"/>
      <c r="H1400" s="1"/>
      <c r="I1400" s="1"/>
      <c r="J1400" s="1"/>
    </row>
    <row r="1401" ht="15.75" customHeight="1">
      <c r="A1401" s="1"/>
      <c r="B1401" s="1"/>
      <c r="C1401" s="1"/>
      <c r="D1401" s="1"/>
      <c r="E1401" s="1"/>
      <c r="F1401" s="1"/>
      <c r="G1401" s="1"/>
      <c r="H1401" s="1"/>
      <c r="I1401" s="1"/>
      <c r="J1401" s="1"/>
    </row>
    <row r="1402" ht="15.75" customHeight="1">
      <c r="A1402" s="1"/>
      <c r="B1402" s="1"/>
      <c r="C1402" s="1"/>
      <c r="D1402" s="1"/>
      <c r="E1402" s="1"/>
      <c r="F1402" s="1"/>
      <c r="G1402" s="1"/>
      <c r="H1402" s="1"/>
      <c r="I1402" s="1"/>
      <c r="J1402" s="1"/>
    </row>
    <row r="1403" ht="15.75" customHeight="1">
      <c r="A1403" s="1"/>
      <c r="B1403" s="1"/>
      <c r="C1403" s="1"/>
      <c r="D1403" s="1"/>
      <c r="E1403" s="1"/>
      <c r="F1403" s="1"/>
      <c r="G1403" s="1"/>
      <c r="H1403" s="1"/>
      <c r="I1403" s="1"/>
      <c r="J1403" s="1"/>
    </row>
    <row r="1404" ht="15.75" customHeight="1">
      <c r="A1404" s="1"/>
      <c r="B1404" s="1"/>
      <c r="C1404" s="1"/>
      <c r="D1404" s="1"/>
      <c r="E1404" s="1"/>
      <c r="F1404" s="1"/>
      <c r="G1404" s="1"/>
      <c r="H1404" s="1"/>
      <c r="I1404" s="1"/>
      <c r="J1404" s="1"/>
    </row>
    <row r="1405" ht="15.75" customHeight="1">
      <c r="A1405" s="1"/>
      <c r="B1405" s="1"/>
      <c r="C1405" s="1"/>
      <c r="D1405" s="1"/>
      <c r="E1405" s="1"/>
      <c r="F1405" s="1"/>
      <c r="G1405" s="1"/>
      <c r="H1405" s="1"/>
      <c r="I1405" s="1"/>
      <c r="J1405" s="1"/>
    </row>
    <row r="1406" ht="15.75" customHeight="1">
      <c r="A1406" s="1"/>
      <c r="B1406" s="1"/>
      <c r="C1406" s="1"/>
      <c r="D1406" s="1"/>
      <c r="E1406" s="1"/>
      <c r="F1406" s="1"/>
      <c r="G1406" s="1"/>
      <c r="H1406" s="1"/>
      <c r="I1406" s="1"/>
      <c r="J1406" s="1"/>
    </row>
    <row r="1407" ht="15.75" customHeight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</row>
    <row r="1408" ht="15.75" customHeight="1">
      <c r="A1408" s="1"/>
      <c r="B1408" s="1"/>
      <c r="C1408" s="1"/>
      <c r="D1408" s="1"/>
      <c r="E1408" s="1"/>
      <c r="F1408" s="1"/>
      <c r="G1408" s="1"/>
      <c r="H1408" s="1"/>
      <c r="I1408" s="1"/>
      <c r="J1408" s="1"/>
    </row>
    <row r="1409" ht="15.75" customHeight="1">
      <c r="A1409" s="1"/>
      <c r="B1409" s="1"/>
      <c r="C1409" s="1"/>
      <c r="D1409" s="1"/>
      <c r="E1409" s="1"/>
      <c r="F1409" s="1"/>
      <c r="G1409" s="1"/>
      <c r="H1409" s="1"/>
      <c r="I1409" s="1"/>
      <c r="J1409" s="1"/>
    </row>
    <row r="1410" ht="15.75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</row>
    <row r="1411" ht="15.75" customHeight="1">
      <c r="A1411" s="1"/>
      <c r="B1411" s="1"/>
      <c r="C1411" s="1"/>
      <c r="D1411" s="1"/>
      <c r="E1411" s="1"/>
      <c r="F1411" s="1"/>
      <c r="G1411" s="1"/>
      <c r="H1411" s="1"/>
      <c r="I1411" s="1"/>
      <c r="J1411" s="1"/>
    </row>
    <row r="1412" ht="15.75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</row>
    <row r="1413" ht="15.75" customHeight="1">
      <c r="A1413" s="1"/>
      <c r="B1413" s="1"/>
      <c r="C1413" s="1"/>
      <c r="D1413" s="1"/>
      <c r="E1413" s="1"/>
      <c r="F1413" s="1"/>
      <c r="G1413" s="1"/>
      <c r="H1413" s="1"/>
      <c r="I1413" s="1"/>
      <c r="J1413" s="1"/>
    </row>
    <row r="1414" ht="15.75" customHeight="1">
      <c r="A1414" s="1"/>
      <c r="B1414" s="1"/>
      <c r="C1414" s="1"/>
      <c r="D1414" s="1"/>
      <c r="E1414" s="1"/>
      <c r="F1414" s="1"/>
      <c r="G1414" s="1"/>
      <c r="H1414" s="1"/>
      <c r="I1414" s="1"/>
      <c r="J1414" s="1"/>
    </row>
    <row r="1415" ht="15.75" customHeight="1">
      <c r="A1415" s="1"/>
      <c r="B1415" s="1"/>
      <c r="C1415" s="1"/>
      <c r="D1415" s="1"/>
      <c r="E1415" s="1"/>
      <c r="F1415" s="1"/>
      <c r="G1415" s="1"/>
      <c r="H1415" s="1"/>
      <c r="I1415" s="1"/>
      <c r="J1415" s="1"/>
    </row>
    <row r="1416" ht="15.75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</row>
    <row r="1417" ht="15.75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</row>
    <row r="1418" ht="15.75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</row>
    <row r="1419" ht="15.75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</row>
    <row r="1420" ht="15.75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</row>
    <row r="1421" ht="15.75" customHeight="1">
      <c r="A1421" s="1"/>
      <c r="B1421" s="1"/>
      <c r="C1421" s="1"/>
      <c r="D1421" s="1"/>
      <c r="E1421" s="1"/>
      <c r="F1421" s="1"/>
      <c r="G1421" s="1"/>
      <c r="H1421" s="1"/>
      <c r="I1421" s="1"/>
      <c r="J1421" s="1"/>
    </row>
    <row r="1422" ht="15.75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</row>
    <row r="1423" ht="15.75" customHeight="1">
      <c r="A1423" s="1"/>
      <c r="B1423" s="1"/>
      <c r="C1423" s="1"/>
      <c r="D1423" s="1"/>
      <c r="E1423" s="1"/>
      <c r="F1423" s="1"/>
      <c r="G1423" s="1"/>
      <c r="H1423" s="1"/>
      <c r="I1423" s="1"/>
      <c r="J1423" s="1"/>
    </row>
    <row r="1424" ht="15.75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</row>
    <row r="1425" ht="15.75" customHeight="1">
      <c r="A1425" s="1"/>
      <c r="B1425" s="1"/>
      <c r="C1425" s="1"/>
      <c r="D1425" s="1"/>
      <c r="E1425" s="1"/>
      <c r="F1425" s="1"/>
      <c r="G1425" s="1"/>
      <c r="H1425" s="1"/>
      <c r="I1425" s="1"/>
      <c r="J1425" s="1"/>
    </row>
    <row r="1426" ht="15.75" customHeight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</row>
    <row r="1427" ht="15.75" customHeight="1">
      <c r="A1427" s="1"/>
      <c r="B1427" s="1"/>
      <c r="C1427" s="1"/>
      <c r="D1427" s="1"/>
      <c r="E1427" s="1"/>
      <c r="F1427" s="1"/>
      <c r="G1427" s="1"/>
      <c r="H1427" s="1"/>
      <c r="I1427" s="1"/>
      <c r="J1427" s="1"/>
    </row>
    <row r="1428" ht="15.75" customHeight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</row>
    <row r="1429" ht="15.75" customHeight="1">
      <c r="A1429" s="1"/>
      <c r="B1429" s="1"/>
      <c r="C1429" s="1"/>
      <c r="D1429" s="1"/>
      <c r="E1429" s="1"/>
      <c r="F1429" s="1"/>
      <c r="G1429" s="1"/>
      <c r="H1429" s="1"/>
      <c r="I1429" s="1"/>
      <c r="J1429" s="1"/>
    </row>
    <row r="1430" ht="15.75" customHeight="1">
      <c r="A1430" s="1"/>
      <c r="B1430" s="1"/>
      <c r="C1430" s="1"/>
      <c r="D1430" s="1"/>
      <c r="E1430" s="1"/>
      <c r="F1430" s="1"/>
      <c r="G1430" s="1"/>
      <c r="H1430" s="1"/>
      <c r="I1430" s="1"/>
      <c r="J1430" s="1"/>
    </row>
    <row r="1431" ht="15.75" customHeight="1">
      <c r="A1431" s="1"/>
      <c r="B1431" s="1"/>
      <c r="C1431" s="1"/>
      <c r="D1431" s="1"/>
      <c r="E1431" s="1"/>
      <c r="F1431" s="1"/>
      <c r="G1431" s="1"/>
      <c r="H1431" s="1"/>
      <c r="I1431" s="1"/>
      <c r="J1431" s="1"/>
    </row>
    <row r="1432" ht="15.75" customHeight="1">
      <c r="A1432" s="1"/>
      <c r="B1432" s="1"/>
      <c r="C1432" s="1"/>
      <c r="D1432" s="1"/>
      <c r="E1432" s="1"/>
      <c r="F1432" s="1"/>
      <c r="G1432" s="1"/>
      <c r="H1432" s="1"/>
      <c r="I1432" s="1"/>
      <c r="J1432" s="1"/>
    </row>
    <row r="1433" ht="15.75" customHeight="1">
      <c r="A1433" s="1"/>
      <c r="B1433" s="1"/>
      <c r="C1433" s="1"/>
      <c r="D1433" s="1"/>
      <c r="E1433" s="1"/>
      <c r="F1433" s="1"/>
      <c r="G1433" s="1"/>
      <c r="H1433" s="1"/>
      <c r="I1433" s="1"/>
      <c r="J1433" s="1"/>
    </row>
    <row r="1434" ht="15.75" customHeight="1">
      <c r="A1434" s="1"/>
      <c r="B1434" s="1"/>
      <c r="C1434" s="1"/>
      <c r="D1434" s="1"/>
      <c r="E1434" s="1"/>
      <c r="F1434" s="1"/>
      <c r="G1434" s="1"/>
      <c r="H1434" s="1"/>
      <c r="I1434" s="1"/>
      <c r="J1434" s="1"/>
    </row>
    <row r="1435" ht="15.75" customHeight="1">
      <c r="A1435" s="1"/>
      <c r="B1435" s="1"/>
      <c r="C1435" s="1"/>
      <c r="D1435" s="1"/>
      <c r="E1435" s="1"/>
      <c r="F1435" s="1"/>
      <c r="G1435" s="1"/>
      <c r="H1435" s="1"/>
      <c r="I1435" s="1"/>
      <c r="J1435" s="1"/>
    </row>
    <row r="1436" ht="15.75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</row>
    <row r="1437" ht="15.75" customHeight="1">
      <c r="A1437" s="1"/>
      <c r="B1437" s="1"/>
      <c r="C1437" s="1"/>
      <c r="D1437" s="1"/>
      <c r="E1437" s="1"/>
      <c r="F1437" s="1"/>
      <c r="G1437" s="1"/>
      <c r="H1437" s="1"/>
      <c r="I1437" s="1"/>
      <c r="J1437" s="1"/>
    </row>
    <row r="1438" ht="15.75" customHeight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</row>
    <row r="1439" ht="15.75" customHeight="1">
      <c r="A1439" s="1"/>
      <c r="B1439" s="1"/>
      <c r="C1439" s="1"/>
      <c r="D1439" s="1"/>
      <c r="E1439" s="1"/>
      <c r="F1439" s="1"/>
      <c r="G1439" s="1"/>
      <c r="H1439" s="1"/>
      <c r="I1439" s="1"/>
      <c r="J1439" s="1"/>
    </row>
    <row r="1440" ht="15.75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</row>
    <row r="1441" ht="15.75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</row>
    <row r="1442" ht="15.75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</row>
    <row r="1443" ht="15.75" customHeight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</row>
    <row r="1444" ht="15.75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</row>
    <row r="1445" ht="15.75" customHeight="1">
      <c r="A1445" s="1"/>
      <c r="B1445" s="1"/>
      <c r="C1445" s="1"/>
      <c r="D1445" s="1"/>
      <c r="E1445" s="1"/>
      <c r="F1445" s="1"/>
      <c r="G1445" s="1"/>
      <c r="H1445" s="1"/>
      <c r="I1445" s="1"/>
      <c r="J1445" s="1"/>
    </row>
    <row r="1446" ht="15.75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</row>
    <row r="1447" ht="15.75" customHeight="1">
      <c r="A1447" s="1"/>
      <c r="B1447" s="1"/>
      <c r="C1447" s="1"/>
      <c r="D1447" s="1"/>
      <c r="E1447" s="1"/>
      <c r="F1447" s="1"/>
      <c r="G1447" s="1"/>
      <c r="H1447" s="1"/>
      <c r="I1447" s="1"/>
      <c r="J1447" s="1"/>
    </row>
    <row r="1448" ht="15.75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</row>
    <row r="1449" ht="15.75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</row>
    <row r="1450" ht="15.75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</row>
    <row r="1451" ht="15.75" customHeight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</row>
    <row r="1452" ht="15.75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</row>
    <row r="1453" ht="15.75" customHeight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</row>
    <row r="1454" ht="15.75" customHeight="1">
      <c r="A1454" s="1"/>
      <c r="B1454" s="1"/>
      <c r="C1454" s="1"/>
      <c r="D1454" s="1"/>
      <c r="E1454" s="1"/>
      <c r="F1454" s="1"/>
      <c r="G1454" s="1"/>
      <c r="H1454" s="1"/>
      <c r="I1454" s="1"/>
      <c r="J1454" s="1"/>
    </row>
    <row r="1455" ht="15.75" customHeight="1">
      <c r="A1455" s="1"/>
      <c r="B1455" s="1"/>
      <c r="C1455" s="1"/>
      <c r="D1455" s="1"/>
      <c r="E1455" s="1"/>
      <c r="F1455" s="1"/>
      <c r="G1455" s="1"/>
      <c r="H1455" s="1"/>
      <c r="I1455" s="1"/>
      <c r="J1455" s="1"/>
    </row>
    <row r="1456" ht="15.75" customHeight="1">
      <c r="A1456" s="1"/>
      <c r="B1456" s="1"/>
      <c r="C1456" s="1"/>
      <c r="D1456" s="1"/>
      <c r="E1456" s="1"/>
      <c r="F1456" s="1"/>
      <c r="G1456" s="1"/>
      <c r="H1456" s="1"/>
      <c r="I1456" s="1"/>
      <c r="J1456" s="1"/>
    </row>
    <row r="1457" ht="15.75" customHeight="1">
      <c r="A1457" s="1"/>
      <c r="B1457" s="1"/>
      <c r="C1457" s="1"/>
      <c r="D1457" s="1"/>
      <c r="E1457" s="1"/>
      <c r="F1457" s="1"/>
      <c r="G1457" s="1"/>
      <c r="H1457" s="1"/>
      <c r="I1457" s="1"/>
      <c r="J1457" s="1"/>
    </row>
    <row r="1458" ht="15.75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</row>
    <row r="1459" ht="15.75" customHeight="1">
      <c r="A1459" s="1"/>
      <c r="B1459" s="1"/>
      <c r="C1459" s="1"/>
      <c r="D1459" s="1"/>
      <c r="E1459" s="1"/>
      <c r="F1459" s="1"/>
      <c r="G1459" s="1"/>
      <c r="H1459" s="1"/>
      <c r="I1459" s="1"/>
      <c r="J1459" s="1"/>
    </row>
    <row r="1460" ht="15.75" customHeight="1">
      <c r="A1460" s="1"/>
      <c r="B1460" s="1"/>
      <c r="C1460" s="1"/>
      <c r="D1460" s="1"/>
      <c r="E1460" s="1"/>
      <c r="F1460" s="1"/>
      <c r="G1460" s="1"/>
      <c r="H1460" s="1"/>
      <c r="I1460" s="1"/>
      <c r="J1460" s="1"/>
    </row>
    <row r="1461" ht="15.75" customHeight="1">
      <c r="A1461" s="1"/>
      <c r="B1461" s="1"/>
      <c r="C1461" s="1"/>
      <c r="D1461" s="1"/>
      <c r="E1461" s="1"/>
      <c r="F1461" s="1"/>
      <c r="G1461" s="1"/>
      <c r="H1461" s="1"/>
      <c r="I1461" s="1"/>
      <c r="J1461" s="1"/>
    </row>
    <row r="1462" ht="15.75" customHeight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</row>
    <row r="1463" ht="15.75" customHeight="1">
      <c r="A1463" s="1"/>
      <c r="B1463" s="1"/>
      <c r="C1463" s="1"/>
      <c r="D1463" s="1"/>
      <c r="E1463" s="1"/>
      <c r="F1463" s="1"/>
      <c r="G1463" s="1"/>
      <c r="H1463" s="1"/>
      <c r="I1463" s="1"/>
      <c r="J1463" s="1"/>
    </row>
    <row r="1464" ht="15.75" customHeight="1">
      <c r="A1464" s="1"/>
      <c r="B1464" s="1"/>
      <c r="C1464" s="1"/>
      <c r="D1464" s="1"/>
      <c r="E1464" s="1"/>
      <c r="F1464" s="1"/>
      <c r="G1464" s="1"/>
      <c r="H1464" s="1"/>
      <c r="I1464" s="1"/>
      <c r="J1464" s="1"/>
    </row>
    <row r="1465" ht="15.75" customHeight="1">
      <c r="A1465" s="1"/>
      <c r="B1465" s="1"/>
      <c r="C1465" s="1"/>
      <c r="D1465" s="1"/>
      <c r="E1465" s="1"/>
      <c r="F1465" s="1"/>
      <c r="G1465" s="1"/>
      <c r="H1465" s="1"/>
      <c r="I1465" s="1"/>
      <c r="J1465" s="1"/>
    </row>
    <row r="1466" ht="15.75" customHeight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</row>
    <row r="1467" ht="15.75" customHeight="1">
      <c r="A1467" s="1"/>
      <c r="B1467" s="1"/>
      <c r="C1467" s="1"/>
      <c r="D1467" s="1"/>
      <c r="E1467" s="1"/>
      <c r="F1467" s="1"/>
      <c r="G1467" s="1"/>
      <c r="H1467" s="1"/>
      <c r="I1467" s="1"/>
      <c r="J1467" s="1"/>
    </row>
    <row r="1468" ht="15.75" customHeight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</row>
    <row r="1469" ht="15.75" customHeight="1">
      <c r="A1469" s="1"/>
      <c r="B1469" s="1"/>
      <c r="C1469" s="1"/>
      <c r="D1469" s="1"/>
      <c r="E1469" s="1"/>
      <c r="F1469" s="1"/>
      <c r="G1469" s="1"/>
      <c r="H1469" s="1"/>
      <c r="I1469" s="1"/>
      <c r="J1469" s="1"/>
    </row>
    <row r="1470" ht="15.75" customHeight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</row>
    <row r="1471" ht="15.75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</row>
    <row r="1472" ht="15.75" customHeight="1">
      <c r="A1472" s="1"/>
      <c r="B1472" s="1"/>
      <c r="C1472" s="1"/>
      <c r="D1472" s="1"/>
      <c r="E1472" s="1"/>
      <c r="F1472" s="1"/>
      <c r="G1472" s="1"/>
      <c r="H1472" s="1"/>
      <c r="I1472" s="1"/>
      <c r="J1472" s="1"/>
    </row>
    <row r="1473" ht="15.75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</row>
    <row r="1474" ht="15.75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</row>
    <row r="1475" ht="15.75" customHeight="1">
      <c r="A1475" s="1"/>
      <c r="B1475" s="1"/>
      <c r="C1475" s="1"/>
      <c r="D1475" s="1"/>
      <c r="E1475" s="1"/>
      <c r="F1475" s="1"/>
      <c r="G1475" s="1"/>
      <c r="H1475" s="1"/>
      <c r="I1475" s="1"/>
      <c r="J1475" s="1"/>
    </row>
    <row r="1476" ht="15.75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</row>
    <row r="1477" ht="15.75" customHeight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</row>
    <row r="1478" ht="15.75" customHeight="1">
      <c r="A1478" s="1"/>
      <c r="B1478" s="1"/>
      <c r="C1478" s="1"/>
      <c r="D1478" s="1"/>
      <c r="E1478" s="1"/>
      <c r="F1478" s="1"/>
      <c r="G1478" s="1"/>
      <c r="H1478" s="1"/>
      <c r="I1478" s="1"/>
      <c r="J1478" s="1"/>
    </row>
    <row r="1479" ht="15.75" customHeight="1">
      <c r="A1479" s="1"/>
      <c r="B1479" s="1"/>
      <c r="C1479" s="1"/>
      <c r="D1479" s="1"/>
      <c r="E1479" s="1"/>
      <c r="F1479" s="1"/>
      <c r="G1479" s="1"/>
      <c r="H1479" s="1"/>
      <c r="I1479" s="1"/>
      <c r="J1479" s="1"/>
    </row>
    <row r="1480" ht="15.75" customHeight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</row>
    <row r="1481" ht="15.75" customHeight="1">
      <c r="A1481" s="1"/>
      <c r="B1481" s="1"/>
      <c r="C1481" s="1"/>
      <c r="D1481" s="1"/>
      <c r="E1481" s="1"/>
      <c r="F1481" s="1"/>
      <c r="G1481" s="1"/>
      <c r="H1481" s="1"/>
      <c r="I1481" s="1"/>
      <c r="J1481" s="1"/>
    </row>
    <row r="1482" ht="15.75" customHeight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</row>
    <row r="1483" ht="15.75" customHeight="1">
      <c r="A1483" s="1"/>
      <c r="B1483" s="1"/>
      <c r="C1483" s="1"/>
      <c r="D1483" s="1"/>
      <c r="E1483" s="1"/>
      <c r="F1483" s="1"/>
      <c r="G1483" s="1"/>
      <c r="H1483" s="1"/>
      <c r="I1483" s="1"/>
      <c r="J1483" s="1"/>
    </row>
    <row r="1484" ht="15.75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</row>
    <row r="1485" ht="15.75" customHeight="1">
      <c r="A1485" s="1"/>
      <c r="B1485" s="1"/>
      <c r="C1485" s="1"/>
      <c r="D1485" s="1"/>
      <c r="E1485" s="1"/>
      <c r="F1485" s="1"/>
      <c r="G1485" s="1"/>
      <c r="H1485" s="1"/>
      <c r="I1485" s="1"/>
      <c r="J1485" s="1"/>
    </row>
    <row r="1486" ht="15.75" customHeight="1">
      <c r="A1486" s="1"/>
      <c r="B1486" s="1"/>
      <c r="C1486" s="1"/>
      <c r="D1486" s="1"/>
      <c r="E1486" s="1"/>
      <c r="F1486" s="1"/>
      <c r="G1486" s="1"/>
      <c r="H1486" s="1"/>
      <c r="I1486" s="1"/>
      <c r="J1486" s="1"/>
    </row>
    <row r="1487" ht="15.75" customHeight="1">
      <c r="A1487" s="1"/>
      <c r="B1487" s="1"/>
      <c r="C1487" s="1"/>
      <c r="D1487" s="1"/>
      <c r="E1487" s="1"/>
      <c r="F1487" s="1"/>
      <c r="G1487" s="1"/>
      <c r="H1487" s="1"/>
      <c r="I1487" s="1"/>
      <c r="J1487" s="1"/>
    </row>
    <row r="1488" ht="15.75" customHeight="1">
      <c r="A1488" s="1"/>
      <c r="B1488" s="1"/>
      <c r="C1488" s="1"/>
      <c r="D1488" s="1"/>
      <c r="E1488" s="1"/>
      <c r="F1488" s="1"/>
      <c r="G1488" s="1"/>
      <c r="H1488" s="1"/>
      <c r="I1488" s="1"/>
      <c r="J1488" s="1"/>
    </row>
    <row r="1489" ht="15.75" customHeight="1">
      <c r="A1489" s="1"/>
      <c r="B1489" s="1"/>
      <c r="C1489" s="1"/>
      <c r="D1489" s="1"/>
      <c r="E1489" s="1"/>
      <c r="F1489" s="1"/>
      <c r="G1489" s="1"/>
      <c r="H1489" s="1"/>
      <c r="I1489" s="1"/>
      <c r="J1489" s="1"/>
    </row>
    <row r="1490" ht="15.75" customHeight="1">
      <c r="A1490" s="1"/>
      <c r="B1490" s="1"/>
      <c r="C1490" s="1"/>
      <c r="D1490" s="1"/>
      <c r="E1490" s="1"/>
      <c r="F1490" s="1"/>
      <c r="G1490" s="1"/>
      <c r="H1490" s="1"/>
      <c r="I1490" s="1"/>
      <c r="J1490" s="1"/>
    </row>
    <row r="1491" ht="15.75" customHeight="1">
      <c r="A1491" s="1"/>
      <c r="B1491" s="1"/>
      <c r="C1491" s="1"/>
      <c r="D1491" s="1"/>
      <c r="E1491" s="1"/>
      <c r="F1491" s="1"/>
      <c r="G1491" s="1"/>
      <c r="H1491" s="1"/>
      <c r="I1491" s="1"/>
      <c r="J1491" s="1"/>
    </row>
    <row r="1492" ht="15.75" customHeight="1">
      <c r="A1492" s="1"/>
      <c r="B1492" s="1"/>
      <c r="C1492" s="1"/>
      <c r="D1492" s="1"/>
      <c r="E1492" s="1"/>
      <c r="F1492" s="1"/>
      <c r="G1492" s="1"/>
      <c r="H1492" s="1"/>
      <c r="I1492" s="1"/>
      <c r="J1492" s="1"/>
    </row>
    <row r="1493" ht="15.75" customHeight="1">
      <c r="A1493" s="1"/>
      <c r="B1493" s="1"/>
      <c r="C1493" s="1"/>
      <c r="D1493" s="1"/>
      <c r="E1493" s="1"/>
      <c r="F1493" s="1"/>
      <c r="G1493" s="1"/>
      <c r="H1493" s="1"/>
      <c r="I1493" s="1"/>
      <c r="J1493" s="1"/>
    </row>
    <row r="1494" ht="15.75" customHeight="1">
      <c r="A1494" s="1"/>
      <c r="B1494" s="1"/>
      <c r="C1494" s="1"/>
      <c r="D1494" s="1"/>
      <c r="E1494" s="1"/>
      <c r="F1494" s="1"/>
      <c r="G1494" s="1"/>
      <c r="H1494" s="1"/>
      <c r="I1494" s="1"/>
      <c r="J1494" s="1"/>
    </row>
    <row r="1495" ht="15.75" customHeight="1">
      <c r="A1495" s="1"/>
      <c r="B1495" s="1"/>
      <c r="C1495" s="1"/>
      <c r="D1495" s="1"/>
      <c r="E1495" s="1"/>
      <c r="F1495" s="1"/>
      <c r="G1495" s="1"/>
      <c r="H1495" s="1"/>
      <c r="I1495" s="1"/>
      <c r="J1495" s="1"/>
    </row>
    <row r="1496" ht="15.75" customHeight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</row>
    <row r="1497" ht="15.75" customHeight="1">
      <c r="A1497" s="1"/>
      <c r="B1497" s="1"/>
      <c r="C1497" s="1"/>
      <c r="D1497" s="1"/>
      <c r="E1497" s="1"/>
      <c r="F1497" s="1"/>
      <c r="G1497" s="1"/>
      <c r="H1497" s="1"/>
      <c r="I1497" s="1"/>
      <c r="J1497" s="1"/>
    </row>
    <row r="1498" ht="15.75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</row>
    <row r="1499" ht="15.75" customHeight="1">
      <c r="A1499" s="1"/>
      <c r="B1499" s="1"/>
      <c r="C1499" s="1"/>
      <c r="D1499" s="1"/>
      <c r="E1499" s="1"/>
      <c r="F1499" s="1"/>
      <c r="G1499" s="1"/>
      <c r="H1499" s="1"/>
      <c r="I1499" s="1"/>
      <c r="J1499" s="1"/>
    </row>
    <row r="1500" ht="15.75" customHeight="1">
      <c r="A1500" s="1"/>
      <c r="B1500" s="1"/>
      <c r="C1500" s="1"/>
      <c r="D1500" s="1"/>
      <c r="E1500" s="1"/>
      <c r="F1500" s="1"/>
      <c r="G1500" s="1"/>
      <c r="H1500" s="1"/>
      <c r="I1500" s="1"/>
      <c r="J1500" s="1"/>
    </row>
    <row r="1501" ht="15.75" customHeight="1">
      <c r="A1501" s="1"/>
      <c r="B1501" s="1"/>
      <c r="C1501" s="1"/>
      <c r="D1501" s="1"/>
      <c r="E1501" s="1"/>
      <c r="F1501" s="1"/>
      <c r="G1501" s="1"/>
      <c r="H1501" s="1"/>
      <c r="I1501" s="1"/>
      <c r="J1501" s="1"/>
    </row>
    <row r="1502" ht="15.75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</row>
    <row r="1503" ht="15.75" customHeight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</row>
    <row r="1504" ht="15.75" customHeight="1">
      <c r="A1504" s="1"/>
      <c r="B1504" s="1"/>
      <c r="C1504" s="1"/>
      <c r="D1504" s="1"/>
      <c r="E1504" s="1"/>
      <c r="F1504" s="1"/>
      <c r="G1504" s="1"/>
      <c r="H1504" s="1"/>
      <c r="I1504" s="1"/>
      <c r="J1504" s="1"/>
    </row>
    <row r="1505" ht="15.75" customHeight="1">
      <c r="A1505" s="1"/>
      <c r="B1505" s="1"/>
      <c r="C1505" s="1"/>
      <c r="D1505" s="1"/>
      <c r="E1505" s="1"/>
      <c r="F1505" s="1"/>
      <c r="G1505" s="1"/>
      <c r="H1505" s="1"/>
      <c r="I1505" s="1"/>
      <c r="J1505" s="1"/>
    </row>
    <row r="1506" ht="15.75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</row>
    <row r="1507" ht="15.75" customHeight="1">
      <c r="A1507" s="1"/>
      <c r="B1507" s="1"/>
      <c r="C1507" s="1"/>
      <c r="D1507" s="1"/>
      <c r="E1507" s="1"/>
      <c r="F1507" s="1"/>
      <c r="G1507" s="1"/>
      <c r="H1507" s="1"/>
      <c r="I1507" s="1"/>
      <c r="J1507" s="1"/>
    </row>
    <row r="1508" ht="15.75" customHeight="1">
      <c r="A1508" s="1"/>
      <c r="B1508" s="1"/>
      <c r="C1508" s="1"/>
      <c r="D1508" s="1"/>
      <c r="E1508" s="1"/>
      <c r="F1508" s="1"/>
      <c r="G1508" s="1"/>
      <c r="H1508" s="1"/>
      <c r="I1508" s="1"/>
      <c r="J1508" s="1"/>
    </row>
    <row r="1509" ht="15.75" customHeight="1">
      <c r="A1509" s="1"/>
      <c r="B1509" s="1"/>
      <c r="C1509" s="1"/>
      <c r="D1509" s="1"/>
      <c r="E1509" s="1"/>
      <c r="F1509" s="1"/>
      <c r="G1509" s="1"/>
      <c r="H1509" s="1"/>
      <c r="I1509" s="1"/>
      <c r="J1509" s="1"/>
    </row>
    <row r="1510" ht="15.75" customHeight="1">
      <c r="A1510" s="1"/>
      <c r="B1510" s="1"/>
      <c r="C1510" s="1"/>
      <c r="D1510" s="1"/>
      <c r="E1510" s="1"/>
      <c r="F1510" s="1"/>
      <c r="G1510" s="1"/>
      <c r="H1510" s="1"/>
      <c r="I1510" s="1"/>
      <c r="J1510" s="1"/>
    </row>
    <row r="1511" ht="15.75" customHeight="1">
      <c r="A1511" s="1"/>
      <c r="B1511" s="1"/>
      <c r="C1511" s="1"/>
      <c r="D1511" s="1"/>
      <c r="E1511" s="1"/>
      <c r="F1511" s="1"/>
      <c r="G1511" s="1"/>
      <c r="H1511" s="1"/>
      <c r="I1511" s="1"/>
      <c r="J1511" s="1"/>
    </row>
    <row r="1512" ht="15.75" customHeight="1">
      <c r="A1512" s="1"/>
      <c r="B1512" s="1"/>
      <c r="C1512" s="1"/>
      <c r="D1512" s="1"/>
      <c r="E1512" s="1"/>
      <c r="F1512" s="1"/>
      <c r="G1512" s="1"/>
      <c r="H1512" s="1"/>
      <c r="I1512" s="1"/>
      <c r="J1512" s="1"/>
    </row>
    <row r="1513" ht="15.75" customHeight="1">
      <c r="A1513" s="1"/>
      <c r="B1513" s="1"/>
      <c r="C1513" s="1"/>
      <c r="D1513" s="1"/>
      <c r="E1513" s="1"/>
      <c r="F1513" s="1"/>
      <c r="G1513" s="1"/>
      <c r="H1513" s="1"/>
      <c r="I1513" s="1"/>
      <c r="J1513" s="1"/>
    </row>
    <row r="1514" ht="15.75" customHeight="1">
      <c r="A1514" s="1"/>
      <c r="B1514" s="1"/>
      <c r="C1514" s="1"/>
      <c r="D1514" s="1"/>
      <c r="E1514" s="1"/>
      <c r="F1514" s="1"/>
      <c r="G1514" s="1"/>
      <c r="H1514" s="1"/>
      <c r="I1514" s="1"/>
      <c r="J1514" s="1"/>
    </row>
    <row r="1515" ht="15.75" customHeight="1">
      <c r="A1515" s="1"/>
      <c r="B1515" s="1"/>
      <c r="C1515" s="1"/>
      <c r="D1515" s="1"/>
      <c r="E1515" s="1"/>
      <c r="F1515" s="1"/>
      <c r="G1515" s="1"/>
      <c r="H1515" s="1"/>
      <c r="I1515" s="1"/>
      <c r="J1515" s="1"/>
    </row>
    <row r="1516" ht="15.75" customHeight="1">
      <c r="A1516" s="1"/>
      <c r="B1516" s="1"/>
      <c r="C1516" s="1"/>
      <c r="D1516" s="1"/>
      <c r="E1516" s="1"/>
      <c r="F1516" s="1"/>
      <c r="G1516" s="1"/>
      <c r="H1516" s="1"/>
      <c r="I1516" s="1"/>
      <c r="J1516" s="1"/>
    </row>
    <row r="1517" ht="15.75" customHeight="1">
      <c r="A1517" s="1"/>
      <c r="B1517" s="1"/>
      <c r="C1517" s="1"/>
      <c r="D1517" s="1"/>
      <c r="E1517" s="1"/>
      <c r="F1517" s="1"/>
      <c r="G1517" s="1"/>
      <c r="H1517" s="1"/>
      <c r="I1517" s="1"/>
      <c r="J1517" s="1"/>
    </row>
    <row r="1518" ht="15.75" customHeight="1">
      <c r="A1518" s="1"/>
      <c r="B1518" s="1"/>
      <c r="C1518" s="1"/>
      <c r="D1518" s="1"/>
      <c r="E1518" s="1"/>
      <c r="F1518" s="1"/>
      <c r="G1518" s="1"/>
      <c r="H1518" s="1"/>
      <c r="I1518" s="1"/>
      <c r="J1518" s="1"/>
    </row>
    <row r="1519" ht="15.75" customHeight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</row>
    <row r="1520" ht="15.75" customHeight="1">
      <c r="A1520" s="1"/>
      <c r="B1520" s="1"/>
      <c r="C1520" s="1"/>
      <c r="D1520" s="1"/>
      <c r="E1520" s="1"/>
      <c r="F1520" s="1"/>
      <c r="G1520" s="1"/>
      <c r="H1520" s="1"/>
      <c r="I1520" s="1"/>
      <c r="J1520" s="1"/>
    </row>
    <row r="1521" ht="15.75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</row>
    <row r="1522" ht="15.75" customHeight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</row>
    <row r="1523" ht="15.75" customHeight="1">
      <c r="A1523" s="1"/>
      <c r="B1523" s="1"/>
      <c r="C1523" s="1"/>
      <c r="D1523" s="1"/>
      <c r="E1523" s="1"/>
      <c r="F1523" s="1"/>
      <c r="G1523" s="1"/>
      <c r="H1523" s="1"/>
      <c r="I1523" s="1"/>
      <c r="J1523" s="1"/>
    </row>
    <row r="1524" ht="15.75" customHeight="1">
      <c r="A1524" s="1"/>
      <c r="B1524" s="1"/>
      <c r="C1524" s="1"/>
      <c r="D1524" s="1"/>
      <c r="E1524" s="1"/>
      <c r="F1524" s="1"/>
      <c r="G1524" s="1"/>
      <c r="H1524" s="1"/>
      <c r="I1524" s="1"/>
      <c r="J1524" s="1"/>
    </row>
    <row r="1525" ht="15.75" customHeight="1">
      <c r="A1525" s="1"/>
      <c r="B1525" s="1"/>
      <c r="C1525" s="1"/>
      <c r="D1525" s="1"/>
      <c r="E1525" s="1"/>
      <c r="F1525" s="1"/>
      <c r="G1525" s="1"/>
      <c r="H1525" s="1"/>
      <c r="I1525" s="1"/>
      <c r="J1525" s="1"/>
    </row>
    <row r="1526" ht="15.75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</row>
    <row r="1527" ht="15.75" customHeight="1">
      <c r="A1527" s="1"/>
      <c r="B1527" s="1"/>
      <c r="C1527" s="1"/>
      <c r="D1527" s="1"/>
      <c r="E1527" s="1"/>
      <c r="F1527" s="1"/>
      <c r="G1527" s="1"/>
      <c r="H1527" s="1"/>
      <c r="I1527" s="1"/>
      <c r="J1527" s="1"/>
    </row>
    <row r="1528" ht="15.75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</row>
    <row r="1529" ht="15.75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</row>
    <row r="1530" ht="15.75" customHeight="1">
      <c r="A1530" s="1"/>
      <c r="B1530" s="1"/>
      <c r="C1530" s="1"/>
      <c r="D1530" s="1"/>
      <c r="E1530" s="1"/>
      <c r="F1530" s="1"/>
      <c r="G1530" s="1"/>
      <c r="H1530" s="1"/>
      <c r="I1530" s="1"/>
      <c r="J1530" s="1"/>
    </row>
    <row r="1531" ht="15.75" customHeight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</row>
    <row r="1532" ht="15.75" customHeight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</row>
    <row r="1533" ht="15.75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</row>
    <row r="1534" ht="15.75" customHeight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</row>
    <row r="1535" ht="15.75" customHeight="1">
      <c r="A1535" s="1"/>
      <c r="B1535" s="1"/>
      <c r="C1535" s="1"/>
      <c r="D1535" s="1"/>
      <c r="E1535" s="1"/>
      <c r="F1535" s="1"/>
      <c r="G1535" s="1"/>
      <c r="H1535" s="1"/>
      <c r="I1535" s="1"/>
      <c r="J1535" s="1"/>
    </row>
    <row r="1536" ht="15.75" customHeight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</row>
    <row r="1537" ht="15.75" customHeight="1">
      <c r="A1537" s="1"/>
      <c r="B1537" s="1"/>
      <c r="C1537" s="1"/>
      <c r="D1537" s="1"/>
      <c r="E1537" s="1"/>
      <c r="F1537" s="1"/>
      <c r="G1537" s="1"/>
      <c r="H1537" s="1"/>
      <c r="I1537" s="1"/>
      <c r="J1537" s="1"/>
    </row>
    <row r="1538" ht="15.75" customHeight="1">
      <c r="A1538" s="1"/>
      <c r="B1538" s="1"/>
      <c r="C1538" s="1"/>
      <c r="D1538" s="1"/>
      <c r="E1538" s="1"/>
      <c r="F1538" s="1"/>
      <c r="G1538" s="1"/>
      <c r="H1538" s="1"/>
      <c r="I1538" s="1"/>
      <c r="J1538" s="1"/>
    </row>
    <row r="1539" ht="15.75" customHeight="1">
      <c r="A1539" s="1"/>
      <c r="B1539" s="1"/>
      <c r="C1539" s="1"/>
      <c r="D1539" s="1"/>
      <c r="E1539" s="1"/>
      <c r="F1539" s="1"/>
      <c r="G1539" s="1"/>
      <c r="H1539" s="1"/>
      <c r="I1539" s="1"/>
      <c r="J1539" s="1"/>
    </row>
    <row r="1540" ht="15.75" customHeight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</row>
    <row r="1541" ht="15.75" customHeight="1">
      <c r="A1541" s="1"/>
      <c r="B1541" s="1"/>
      <c r="C1541" s="1"/>
      <c r="D1541" s="1"/>
      <c r="E1541" s="1"/>
      <c r="F1541" s="1"/>
      <c r="G1541" s="1"/>
      <c r="H1541" s="1"/>
      <c r="I1541" s="1"/>
      <c r="J1541" s="1"/>
    </row>
    <row r="1542" ht="15.75" customHeight="1">
      <c r="A1542" s="1"/>
      <c r="B1542" s="1"/>
      <c r="C1542" s="1"/>
      <c r="D1542" s="1"/>
      <c r="E1542" s="1"/>
      <c r="F1542" s="1"/>
      <c r="G1542" s="1"/>
      <c r="H1542" s="1"/>
      <c r="I1542" s="1"/>
      <c r="J1542" s="1"/>
    </row>
    <row r="1543" ht="15.75" customHeight="1">
      <c r="A1543" s="1"/>
      <c r="B1543" s="1"/>
      <c r="C1543" s="1"/>
      <c r="D1543" s="1"/>
      <c r="E1543" s="1"/>
      <c r="F1543" s="1"/>
      <c r="G1543" s="1"/>
      <c r="H1543" s="1"/>
      <c r="I1543" s="1"/>
      <c r="J1543" s="1"/>
    </row>
    <row r="1544" ht="15.75" customHeight="1">
      <c r="A1544" s="1"/>
      <c r="B1544" s="1"/>
      <c r="C1544" s="1"/>
      <c r="D1544" s="1"/>
      <c r="E1544" s="1"/>
      <c r="F1544" s="1"/>
      <c r="G1544" s="1"/>
      <c r="H1544" s="1"/>
      <c r="I1544" s="1"/>
      <c r="J1544" s="1"/>
    </row>
    <row r="1545" ht="15.75" customHeight="1">
      <c r="A1545" s="1"/>
      <c r="B1545" s="1"/>
      <c r="C1545" s="1"/>
      <c r="D1545" s="1"/>
      <c r="E1545" s="1"/>
      <c r="F1545" s="1"/>
      <c r="G1545" s="1"/>
      <c r="H1545" s="1"/>
      <c r="I1545" s="1"/>
      <c r="J1545" s="1"/>
    </row>
    <row r="1546" ht="15.75" customHeight="1">
      <c r="A1546" s="1"/>
      <c r="B1546" s="1"/>
      <c r="C1546" s="1"/>
      <c r="D1546" s="1"/>
      <c r="E1546" s="1"/>
      <c r="F1546" s="1"/>
      <c r="G1546" s="1"/>
      <c r="H1546" s="1"/>
      <c r="I1546" s="1"/>
      <c r="J1546" s="1"/>
    </row>
    <row r="1547" ht="15.75" customHeight="1">
      <c r="A1547" s="1"/>
      <c r="B1547" s="1"/>
      <c r="C1547" s="1"/>
      <c r="D1547" s="1"/>
      <c r="E1547" s="1"/>
      <c r="F1547" s="1"/>
      <c r="G1547" s="1"/>
      <c r="H1547" s="1"/>
      <c r="I1547" s="1"/>
      <c r="J1547" s="1"/>
    </row>
    <row r="1548" ht="15.75" customHeight="1">
      <c r="A1548" s="1"/>
      <c r="B1548" s="1"/>
      <c r="C1548" s="1"/>
      <c r="D1548" s="1"/>
      <c r="E1548" s="1"/>
      <c r="F1548" s="1"/>
      <c r="G1548" s="1"/>
      <c r="H1548" s="1"/>
      <c r="I1548" s="1"/>
      <c r="J1548" s="1"/>
    </row>
    <row r="1549" ht="15.75" customHeight="1">
      <c r="A1549" s="1"/>
      <c r="B1549" s="1"/>
      <c r="C1549" s="1"/>
      <c r="D1549" s="1"/>
      <c r="E1549" s="1"/>
      <c r="F1549" s="1"/>
      <c r="G1549" s="1"/>
      <c r="H1549" s="1"/>
      <c r="I1549" s="1"/>
      <c r="J1549" s="1"/>
    </row>
    <row r="1550" ht="15.75" customHeight="1">
      <c r="A1550" s="1"/>
      <c r="B1550" s="1"/>
      <c r="C1550" s="1"/>
      <c r="D1550" s="1"/>
      <c r="E1550" s="1"/>
      <c r="F1550" s="1"/>
      <c r="G1550" s="1"/>
      <c r="H1550" s="1"/>
      <c r="I1550" s="1"/>
      <c r="J1550" s="1"/>
    </row>
    <row r="1551" ht="15.75" customHeight="1">
      <c r="A1551" s="1"/>
      <c r="B1551" s="1"/>
      <c r="C1551" s="1"/>
      <c r="D1551" s="1"/>
      <c r="E1551" s="1"/>
      <c r="F1551" s="1"/>
      <c r="G1551" s="1"/>
      <c r="H1551" s="1"/>
      <c r="I1551" s="1"/>
      <c r="J1551" s="1"/>
    </row>
    <row r="1552" ht="15.75" customHeight="1">
      <c r="A1552" s="1"/>
      <c r="B1552" s="1"/>
      <c r="C1552" s="1"/>
      <c r="D1552" s="1"/>
      <c r="E1552" s="1"/>
      <c r="F1552" s="1"/>
      <c r="G1552" s="1"/>
      <c r="H1552" s="1"/>
      <c r="I1552" s="1"/>
      <c r="J1552" s="1"/>
    </row>
    <row r="1553" ht="15.75" customHeight="1">
      <c r="A1553" s="1"/>
      <c r="B1553" s="1"/>
      <c r="C1553" s="1"/>
      <c r="D1553" s="1"/>
      <c r="E1553" s="1"/>
      <c r="F1553" s="1"/>
      <c r="G1553" s="1"/>
      <c r="H1553" s="1"/>
      <c r="I1553" s="1"/>
      <c r="J1553" s="1"/>
    </row>
    <row r="1554" ht="15.75" customHeight="1">
      <c r="A1554" s="1"/>
      <c r="B1554" s="1"/>
      <c r="C1554" s="1"/>
      <c r="D1554" s="1"/>
      <c r="E1554" s="1"/>
      <c r="F1554" s="1"/>
      <c r="G1554" s="1"/>
      <c r="H1554" s="1"/>
      <c r="I1554" s="1"/>
      <c r="J1554" s="1"/>
    </row>
    <row r="1555" ht="15.75" customHeight="1">
      <c r="A1555" s="1"/>
      <c r="B1555" s="1"/>
      <c r="C1555" s="1"/>
      <c r="D1555" s="1"/>
      <c r="E1555" s="1"/>
      <c r="F1555" s="1"/>
      <c r="G1555" s="1"/>
      <c r="H1555" s="1"/>
      <c r="I1555" s="1"/>
      <c r="J1555" s="1"/>
    </row>
    <row r="1556" ht="15.75" customHeight="1">
      <c r="A1556" s="1"/>
      <c r="B1556" s="1"/>
      <c r="C1556" s="1"/>
      <c r="D1556" s="1"/>
      <c r="E1556" s="1"/>
      <c r="F1556" s="1"/>
      <c r="G1556" s="1"/>
      <c r="H1556" s="1"/>
      <c r="I1556" s="1"/>
      <c r="J1556" s="1"/>
    </row>
    <row r="1557" ht="15.75" customHeight="1">
      <c r="A1557" s="1"/>
      <c r="B1557" s="1"/>
      <c r="C1557" s="1"/>
      <c r="D1557" s="1"/>
      <c r="E1557" s="1"/>
      <c r="F1557" s="1"/>
      <c r="G1557" s="1"/>
      <c r="H1557" s="1"/>
      <c r="I1557" s="1"/>
      <c r="J1557" s="1"/>
    </row>
    <row r="1558" ht="15.75" customHeight="1">
      <c r="A1558" s="1"/>
      <c r="B1558" s="1"/>
      <c r="C1558" s="1"/>
      <c r="D1558" s="1"/>
      <c r="E1558" s="1"/>
      <c r="F1558" s="1"/>
      <c r="G1558" s="1"/>
      <c r="H1558" s="1"/>
      <c r="I1558" s="1"/>
      <c r="J1558" s="1"/>
    </row>
    <row r="1559" ht="15.75" customHeight="1">
      <c r="A1559" s="1"/>
      <c r="B1559" s="1"/>
      <c r="C1559" s="1"/>
      <c r="D1559" s="1"/>
      <c r="E1559" s="1"/>
      <c r="F1559" s="1"/>
      <c r="G1559" s="1"/>
      <c r="H1559" s="1"/>
      <c r="I1559" s="1"/>
      <c r="J1559" s="1"/>
    </row>
    <row r="1560" ht="15.75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</row>
    <row r="1561" ht="15.75" customHeight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</row>
    <row r="1562" ht="15.75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</row>
    <row r="1563" ht="15.75" customHeight="1">
      <c r="A1563" s="1"/>
      <c r="B1563" s="1"/>
      <c r="C1563" s="1"/>
      <c r="D1563" s="1"/>
      <c r="E1563" s="1"/>
      <c r="F1563" s="1"/>
      <c r="G1563" s="1"/>
      <c r="H1563" s="1"/>
      <c r="I1563" s="1"/>
      <c r="J1563" s="1"/>
    </row>
    <row r="1564" ht="15.75" customHeight="1">
      <c r="A1564" s="1"/>
      <c r="B1564" s="1"/>
      <c r="C1564" s="1"/>
      <c r="D1564" s="1"/>
      <c r="E1564" s="1"/>
      <c r="F1564" s="1"/>
      <c r="G1564" s="1"/>
      <c r="H1564" s="1"/>
      <c r="I1564" s="1"/>
      <c r="J1564" s="1"/>
    </row>
    <row r="1565" ht="15.75" customHeight="1">
      <c r="A1565" s="1"/>
      <c r="B1565" s="1"/>
      <c r="C1565" s="1"/>
      <c r="D1565" s="1"/>
      <c r="E1565" s="1"/>
      <c r="F1565" s="1"/>
      <c r="G1565" s="1"/>
      <c r="H1565" s="1"/>
      <c r="I1565" s="1"/>
      <c r="J1565" s="1"/>
    </row>
    <row r="1566" ht="15.75" customHeight="1">
      <c r="A1566" s="1"/>
      <c r="B1566" s="1"/>
      <c r="C1566" s="1"/>
      <c r="D1566" s="1"/>
      <c r="E1566" s="1"/>
      <c r="F1566" s="1"/>
      <c r="G1566" s="1"/>
      <c r="H1566" s="1"/>
      <c r="I1566" s="1"/>
      <c r="J1566" s="1"/>
    </row>
    <row r="1567" ht="15.75" customHeight="1">
      <c r="A1567" s="1"/>
      <c r="B1567" s="1"/>
      <c r="C1567" s="1"/>
      <c r="D1567" s="1"/>
      <c r="E1567" s="1"/>
      <c r="F1567" s="1"/>
      <c r="G1567" s="1"/>
      <c r="H1567" s="1"/>
      <c r="I1567" s="1"/>
      <c r="J1567" s="1"/>
    </row>
    <row r="1568" ht="15.75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</row>
    <row r="1569" ht="15.75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</row>
    <row r="1570" ht="15.75" customHeight="1">
      <c r="A1570" s="1"/>
      <c r="B1570" s="1"/>
      <c r="C1570" s="1"/>
      <c r="D1570" s="1"/>
      <c r="E1570" s="1"/>
      <c r="F1570" s="1"/>
      <c r="G1570" s="1"/>
      <c r="H1570" s="1"/>
      <c r="I1570" s="1"/>
      <c r="J1570" s="1"/>
    </row>
    <row r="1571" ht="15.75" customHeight="1">
      <c r="A1571" s="1"/>
      <c r="B1571" s="1"/>
      <c r="C1571" s="1"/>
      <c r="D1571" s="1"/>
      <c r="E1571" s="1"/>
      <c r="F1571" s="1"/>
      <c r="G1571" s="1"/>
      <c r="H1571" s="1"/>
      <c r="I1571" s="1"/>
      <c r="J1571" s="1"/>
    </row>
    <row r="1572" ht="15.75" customHeight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</row>
    <row r="1573" ht="15.75" customHeight="1">
      <c r="A1573" s="1"/>
      <c r="B1573" s="1"/>
      <c r="C1573" s="1"/>
      <c r="D1573" s="1"/>
      <c r="E1573" s="1"/>
      <c r="F1573" s="1"/>
      <c r="G1573" s="1"/>
      <c r="H1573" s="1"/>
      <c r="I1573" s="1"/>
      <c r="J1573" s="1"/>
    </row>
    <row r="1574" ht="15.75" customHeight="1">
      <c r="A1574" s="1"/>
      <c r="B1574" s="1"/>
      <c r="C1574" s="1"/>
      <c r="D1574" s="1"/>
      <c r="E1574" s="1"/>
      <c r="F1574" s="1"/>
      <c r="G1574" s="1"/>
      <c r="H1574" s="1"/>
      <c r="I1574" s="1"/>
      <c r="J1574" s="1"/>
    </row>
    <row r="1575" ht="15.75" customHeight="1">
      <c r="A1575" s="1"/>
      <c r="B1575" s="1"/>
      <c r="C1575" s="1"/>
      <c r="D1575" s="1"/>
      <c r="E1575" s="1"/>
      <c r="F1575" s="1"/>
      <c r="G1575" s="1"/>
      <c r="H1575" s="1"/>
      <c r="I1575" s="1"/>
      <c r="J1575" s="1"/>
    </row>
    <row r="1576" ht="15.75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</row>
    <row r="1577" ht="15.75" customHeight="1">
      <c r="A1577" s="1"/>
      <c r="B1577" s="1"/>
      <c r="C1577" s="1"/>
      <c r="D1577" s="1"/>
      <c r="E1577" s="1"/>
      <c r="F1577" s="1"/>
      <c r="G1577" s="1"/>
      <c r="H1577" s="1"/>
      <c r="I1577" s="1"/>
      <c r="J1577" s="1"/>
    </row>
    <row r="1578" ht="15.75" customHeight="1">
      <c r="A1578" s="1"/>
      <c r="B1578" s="1"/>
      <c r="C1578" s="1"/>
      <c r="D1578" s="1"/>
      <c r="E1578" s="1"/>
      <c r="F1578" s="1"/>
      <c r="G1578" s="1"/>
      <c r="H1578" s="1"/>
      <c r="I1578" s="1"/>
      <c r="J1578" s="1"/>
    </row>
    <row r="1579" ht="15.75" customHeight="1">
      <c r="A1579" s="1"/>
      <c r="B1579" s="1"/>
      <c r="C1579" s="1"/>
      <c r="D1579" s="1"/>
      <c r="E1579" s="1"/>
      <c r="F1579" s="1"/>
      <c r="G1579" s="1"/>
      <c r="H1579" s="1"/>
      <c r="I1579" s="1"/>
      <c r="J1579" s="1"/>
    </row>
    <row r="1580" ht="15.75" customHeight="1">
      <c r="A1580" s="1"/>
      <c r="B1580" s="1"/>
      <c r="C1580" s="1"/>
      <c r="D1580" s="1"/>
      <c r="E1580" s="1"/>
      <c r="F1580" s="1"/>
      <c r="G1580" s="1"/>
      <c r="H1580" s="1"/>
      <c r="I1580" s="1"/>
      <c r="J1580" s="1"/>
    </row>
    <row r="1581" ht="15.75" customHeight="1">
      <c r="A1581" s="1"/>
      <c r="B1581" s="1"/>
      <c r="C1581" s="1"/>
      <c r="D1581" s="1"/>
      <c r="E1581" s="1"/>
      <c r="F1581" s="1"/>
      <c r="G1581" s="1"/>
      <c r="H1581" s="1"/>
      <c r="I1581" s="1"/>
      <c r="J1581" s="1"/>
    </row>
    <row r="1582" ht="15.75" customHeight="1">
      <c r="A1582" s="1"/>
      <c r="B1582" s="1"/>
      <c r="C1582" s="1"/>
      <c r="D1582" s="1"/>
      <c r="E1582" s="1"/>
      <c r="F1582" s="1"/>
      <c r="G1582" s="1"/>
      <c r="H1582" s="1"/>
      <c r="I1582" s="1"/>
      <c r="J1582" s="1"/>
    </row>
    <row r="1583" ht="15.75" customHeight="1">
      <c r="A1583" s="1"/>
      <c r="B1583" s="1"/>
      <c r="C1583" s="1"/>
      <c r="D1583" s="1"/>
      <c r="E1583" s="1"/>
      <c r="F1583" s="1"/>
      <c r="G1583" s="1"/>
      <c r="H1583" s="1"/>
      <c r="I1583" s="1"/>
      <c r="J1583" s="1"/>
    </row>
    <row r="1584" ht="15.75" customHeight="1">
      <c r="A1584" s="1"/>
      <c r="B1584" s="1"/>
      <c r="C1584" s="1"/>
      <c r="D1584" s="1"/>
      <c r="E1584" s="1"/>
      <c r="F1584" s="1"/>
      <c r="G1584" s="1"/>
      <c r="H1584" s="1"/>
      <c r="I1584" s="1"/>
      <c r="J1584" s="1"/>
    </row>
    <row r="1585" ht="15.75" customHeight="1">
      <c r="A1585" s="1"/>
      <c r="B1585" s="1"/>
      <c r="C1585" s="1"/>
      <c r="D1585" s="1"/>
      <c r="E1585" s="1"/>
      <c r="F1585" s="1"/>
      <c r="G1585" s="1"/>
      <c r="H1585" s="1"/>
      <c r="I1585" s="1"/>
      <c r="J1585" s="1"/>
    </row>
    <row r="1586" ht="15.75" customHeight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</row>
    <row r="1587" ht="15.75" customHeight="1">
      <c r="A1587" s="1"/>
      <c r="B1587" s="1"/>
      <c r="C1587" s="1"/>
      <c r="D1587" s="1"/>
      <c r="E1587" s="1"/>
      <c r="F1587" s="1"/>
      <c r="G1587" s="1"/>
      <c r="H1587" s="1"/>
      <c r="I1587" s="1"/>
      <c r="J1587" s="1"/>
    </row>
    <row r="1588" ht="15.75" customHeight="1">
      <c r="A1588" s="1"/>
      <c r="B1588" s="1"/>
      <c r="C1588" s="1"/>
      <c r="D1588" s="1"/>
      <c r="E1588" s="1"/>
      <c r="F1588" s="1"/>
      <c r="G1588" s="1"/>
      <c r="H1588" s="1"/>
      <c r="I1588" s="1"/>
      <c r="J1588" s="1"/>
    </row>
    <row r="1589" ht="15.75" customHeight="1">
      <c r="A1589" s="1"/>
      <c r="B1589" s="1"/>
      <c r="C1589" s="1"/>
      <c r="D1589" s="1"/>
      <c r="E1589" s="1"/>
      <c r="F1589" s="1"/>
      <c r="G1589" s="1"/>
      <c r="H1589" s="1"/>
      <c r="I1589" s="1"/>
      <c r="J1589" s="1"/>
    </row>
    <row r="1590" ht="15.75" customHeight="1">
      <c r="A1590" s="1"/>
      <c r="B1590" s="1"/>
      <c r="C1590" s="1"/>
      <c r="D1590" s="1"/>
      <c r="E1590" s="1"/>
      <c r="F1590" s="1"/>
      <c r="G1590" s="1"/>
      <c r="H1590" s="1"/>
      <c r="I1590" s="1"/>
      <c r="J1590" s="1"/>
    </row>
    <row r="1591" ht="15.75" customHeight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</row>
    <row r="1592" ht="15.75" customHeight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</row>
    <row r="1593" ht="15.75" customHeight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</row>
    <row r="1594" ht="15.75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</row>
    <row r="1595" ht="15.75" customHeight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</row>
    <row r="1596" ht="15.75" customHeight="1">
      <c r="A1596" s="1"/>
      <c r="B1596" s="1"/>
      <c r="C1596" s="1"/>
      <c r="D1596" s="1"/>
      <c r="E1596" s="1"/>
      <c r="F1596" s="1"/>
      <c r="G1596" s="1"/>
      <c r="H1596" s="1"/>
      <c r="I1596" s="1"/>
      <c r="J1596" s="1"/>
    </row>
    <row r="1597" ht="15.75" customHeight="1">
      <c r="A1597" s="1"/>
      <c r="B1597" s="1"/>
      <c r="C1597" s="1"/>
      <c r="D1597" s="1"/>
      <c r="E1597" s="1"/>
      <c r="F1597" s="1"/>
      <c r="G1597" s="1"/>
      <c r="H1597" s="1"/>
      <c r="I1597" s="1"/>
      <c r="J1597" s="1"/>
    </row>
    <row r="1598" ht="15.75" customHeight="1">
      <c r="A1598" s="1"/>
      <c r="B1598" s="1"/>
      <c r="C1598" s="1"/>
      <c r="D1598" s="1"/>
      <c r="E1598" s="1"/>
      <c r="F1598" s="1"/>
      <c r="G1598" s="1"/>
      <c r="H1598" s="1"/>
      <c r="I1598" s="1"/>
      <c r="J1598" s="1"/>
    </row>
    <row r="1599" ht="15.75" customHeight="1">
      <c r="A1599" s="1"/>
      <c r="B1599" s="1"/>
      <c r="C1599" s="1"/>
      <c r="D1599" s="1"/>
      <c r="E1599" s="1"/>
      <c r="F1599" s="1"/>
      <c r="G1599" s="1"/>
      <c r="H1599" s="1"/>
      <c r="I1599" s="1"/>
      <c r="J1599" s="1"/>
    </row>
    <row r="1600" ht="15.75" customHeight="1">
      <c r="A1600" s="1"/>
      <c r="B1600" s="1"/>
      <c r="C1600" s="1"/>
      <c r="D1600" s="1"/>
      <c r="E1600" s="1"/>
      <c r="F1600" s="1"/>
      <c r="G1600" s="1"/>
      <c r="H1600" s="1"/>
      <c r="I1600" s="1"/>
      <c r="J1600" s="1"/>
    </row>
    <row r="1601" ht="15.75" customHeight="1">
      <c r="A1601" s="1"/>
      <c r="B1601" s="1"/>
      <c r="C1601" s="1"/>
      <c r="D1601" s="1"/>
      <c r="E1601" s="1"/>
      <c r="F1601" s="1"/>
      <c r="G1601" s="1"/>
      <c r="H1601" s="1"/>
      <c r="I1601" s="1"/>
      <c r="J1601" s="1"/>
    </row>
    <row r="1602" ht="15.75" customHeight="1">
      <c r="A1602" s="1"/>
      <c r="B1602" s="1"/>
      <c r="C1602" s="1"/>
      <c r="D1602" s="1"/>
      <c r="E1602" s="1"/>
      <c r="F1602" s="1"/>
      <c r="G1602" s="1"/>
      <c r="H1602" s="1"/>
      <c r="I1602" s="1"/>
      <c r="J1602" s="1"/>
    </row>
    <row r="1603" ht="15.75" customHeight="1">
      <c r="A1603" s="1"/>
      <c r="B1603" s="1"/>
      <c r="C1603" s="1"/>
      <c r="D1603" s="1"/>
      <c r="E1603" s="1"/>
      <c r="F1603" s="1"/>
      <c r="G1603" s="1"/>
      <c r="H1603" s="1"/>
      <c r="I1603" s="1"/>
      <c r="J1603" s="1"/>
    </row>
    <row r="1604" ht="15.75" customHeight="1">
      <c r="A1604" s="1"/>
      <c r="B1604" s="1"/>
      <c r="C1604" s="1"/>
      <c r="D1604" s="1"/>
      <c r="E1604" s="1"/>
      <c r="F1604" s="1"/>
      <c r="G1604" s="1"/>
      <c r="H1604" s="1"/>
      <c r="I1604" s="1"/>
      <c r="J1604" s="1"/>
    </row>
    <row r="1605" ht="15.75" customHeight="1">
      <c r="A1605" s="1"/>
      <c r="B1605" s="1"/>
      <c r="C1605" s="1"/>
      <c r="D1605" s="1"/>
      <c r="E1605" s="1"/>
      <c r="F1605" s="1"/>
      <c r="G1605" s="1"/>
      <c r="H1605" s="1"/>
      <c r="I1605" s="1"/>
      <c r="J1605" s="1"/>
    </row>
    <row r="1606" ht="15.75" customHeight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</row>
    <row r="1607" ht="15.75" customHeight="1">
      <c r="A1607" s="1"/>
      <c r="B1607" s="1"/>
      <c r="C1607" s="1"/>
      <c r="D1607" s="1"/>
      <c r="E1607" s="1"/>
      <c r="F1607" s="1"/>
      <c r="G1607" s="1"/>
      <c r="H1607" s="1"/>
      <c r="I1607" s="1"/>
      <c r="J1607" s="1"/>
    </row>
    <row r="1608" ht="15.75" customHeight="1">
      <c r="A1608" s="1"/>
      <c r="B1608" s="1"/>
      <c r="C1608" s="1"/>
      <c r="D1608" s="1"/>
      <c r="E1608" s="1"/>
      <c r="F1608" s="1"/>
      <c r="G1608" s="1"/>
      <c r="H1608" s="1"/>
      <c r="I1608" s="1"/>
      <c r="J1608" s="1"/>
    </row>
    <row r="1609" ht="15.75" customHeight="1">
      <c r="A1609" s="1"/>
      <c r="B1609" s="1"/>
      <c r="C1609" s="1"/>
      <c r="D1609" s="1"/>
      <c r="E1609" s="1"/>
      <c r="F1609" s="1"/>
      <c r="G1609" s="1"/>
      <c r="H1609" s="1"/>
      <c r="I1609" s="1"/>
      <c r="J1609" s="1"/>
    </row>
    <row r="1610" ht="15.75" customHeight="1">
      <c r="A1610" s="1"/>
      <c r="B1610" s="1"/>
      <c r="C1610" s="1"/>
      <c r="D1610" s="1"/>
      <c r="E1610" s="1"/>
      <c r="F1610" s="1"/>
      <c r="G1610" s="1"/>
      <c r="H1610" s="1"/>
      <c r="I1610" s="1"/>
      <c r="J1610" s="1"/>
    </row>
    <row r="1611" ht="15.75" customHeight="1">
      <c r="A1611" s="1"/>
      <c r="B1611" s="1"/>
      <c r="C1611" s="1"/>
      <c r="D1611" s="1"/>
      <c r="E1611" s="1"/>
      <c r="F1611" s="1"/>
      <c r="G1611" s="1"/>
      <c r="H1611" s="1"/>
      <c r="I1611" s="1"/>
      <c r="J1611" s="1"/>
    </row>
    <row r="1612" ht="15.75" customHeight="1">
      <c r="A1612" s="1"/>
      <c r="B1612" s="1"/>
      <c r="C1612" s="1"/>
      <c r="D1612" s="1"/>
      <c r="E1612" s="1"/>
      <c r="F1612" s="1"/>
      <c r="G1612" s="1"/>
      <c r="H1612" s="1"/>
      <c r="I1612" s="1"/>
      <c r="J1612" s="1"/>
    </row>
    <row r="1613" ht="15.75" customHeight="1">
      <c r="A1613" s="1"/>
      <c r="B1613" s="1"/>
      <c r="C1613" s="1"/>
      <c r="D1613" s="1"/>
      <c r="E1613" s="1"/>
      <c r="F1613" s="1"/>
      <c r="G1613" s="1"/>
      <c r="H1613" s="1"/>
      <c r="I1613" s="1"/>
      <c r="J1613" s="1"/>
    </row>
    <row r="1614" ht="15.75" customHeight="1">
      <c r="A1614" s="1"/>
      <c r="B1614" s="1"/>
      <c r="C1614" s="1"/>
      <c r="D1614" s="1"/>
      <c r="E1614" s="1"/>
      <c r="F1614" s="1"/>
      <c r="G1614" s="1"/>
      <c r="H1614" s="1"/>
      <c r="I1614" s="1"/>
      <c r="J1614" s="1"/>
    </row>
    <row r="1615" ht="15.75" customHeight="1">
      <c r="A1615" s="1"/>
      <c r="B1615" s="1"/>
      <c r="C1615" s="1"/>
      <c r="D1615" s="1"/>
      <c r="E1615" s="1"/>
      <c r="F1615" s="1"/>
      <c r="G1615" s="1"/>
      <c r="H1615" s="1"/>
      <c r="I1615" s="1"/>
      <c r="J1615" s="1"/>
    </row>
    <row r="1616" ht="15.75" customHeight="1">
      <c r="A1616" s="1"/>
      <c r="B1616" s="1"/>
      <c r="C1616" s="1"/>
      <c r="D1616" s="1"/>
      <c r="E1616" s="1"/>
      <c r="F1616" s="1"/>
      <c r="G1616" s="1"/>
      <c r="H1616" s="1"/>
      <c r="I1616" s="1"/>
      <c r="J1616" s="1"/>
    </row>
    <row r="1617" ht="15.75" customHeight="1">
      <c r="A1617" s="1"/>
      <c r="B1617" s="1"/>
      <c r="C1617" s="1"/>
      <c r="D1617" s="1"/>
      <c r="E1617" s="1"/>
      <c r="F1617" s="1"/>
      <c r="G1617" s="1"/>
      <c r="H1617" s="1"/>
      <c r="I1617" s="1"/>
      <c r="J1617" s="1"/>
    </row>
    <row r="1618" ht="15.75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</row>
    <row r="1619" ht="15.75" customHeight="1">
      <c r="A1619" s="1"/>
      <c r="B1619" s="1"/>
      <c r="C1619" s="1"/>
      <c r="D1619" s="1"/>
      <c r="E1619" s="1"/>
      <c r="F1619" s="1"/>
      <c r="G1619" s="1"/>
      <c r="H1619" s="1"/>
      <c r="I1619" s="1"/>
      <c r="J1619" s="1"/>
    </row>
    <row r="1620" ht="15.75" customHeight="1">
      <c r="A1620" s="1"/>
      <c r="B1620" s="1"/>
      <c r="C1620" s="1"/>
      <c r="D1620" s="1"/>
      <c r="E1620" s="1"/>
      <c r="F1620" s="1"/>
      <c r="G1620" s="1"/>
      <c r="H1620" s="1"/>
      <c r="I1620" s="1"/>
      <c r="J1620" s="1"/>
    </row>
    <row r="1621" ht="15.75" customHeight="1">
      <c r="A1621" s="1"/>
      <c r="B1621" s="1"/>
      <c r="C1621" s="1"/>
      <c r="D1621" s="1"/>
      <c r="E1621" s="1"/>
      <c r="F1621" s="1"/>
      <c r="G1621" s="1"/>
      <c r="H1621" s="1"/>
      <c r="I1621" s="1"/>
      <c r="J1621" s="1"/>
    </row>
    <row r="1622" ht="15.75" customHeight="1">
      <c r="A1622" s="1"/>
      <c r="B1622" s="1"/>
      <c r="C1622" s="1"/>
      <c r="D1622" s="1"/>
      <c r="E1622" s="1"/>
      <c r="F1622" s="1"/>
      <c r="G1622" s="1"/>
      <c r="H1622" s="1"/>
      <c r="I1622" s="1"/>
      <c r="J1622" s="1"/>
    </row>
    <row r="1623" ht="15.75" customHeight="1">
      <c r="A1623" s="1"/>
      <c r="B1623" s="1"/>
      <c r="C1623" s="1"/>
      <c r="D1623" s="1"/>
      <c r="E1623" s="1"/>
      <c r="F1623" s="1"/>
      <c r="G1623" s="1"/>
      <c r="H1623" s="1"/>
      <c r="I1623" s="1"/>
      <c r="J1623" s="1"/>
    </row>
    <row r="1624" ht="15.75" customHeight="1">
      <c r="A1624" s="1"/>
      <c r="B1624" s="1"/>
      <c r="C1624" s="1"/>
      <c r="D1624" s="1"/>
      <c r="E1624" s="1"/>
      <c r="F1624" s="1"/>
      <c r="G1624" s="1"/>
      <c r="H1624" s="1"/>
      <c r="I1624" s="1"/>
      <c r="J1624" s="1"/>
    </row>
    <row r="1625" ht="15.75" customHeight="1">
      <c r="A1625" s="1"/>
      <c r="B1625" s="1"/>
      <c r="C1625" s="1"/>
      <c r="D1625" s="1"/>
      <c r="E1625" s="1"/>
      <c r="F1625" s="1"/>
      <c r="G1625" s="1"/>
      <c r="H1625" s="1"/>
      <c r="I1625" s="1"/>
      <c r="J1625" s="1"/>
    </row>
    <row r="1626" ht="15.75" customHeight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</row>
    <row r="1627" ht="15.75" customHeight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</row>
    <row r="1628" ht="15.75" customHeight="1">
      <c r="A1628" s="1"/>
      <c r="B1628" s="1"/>
      <c r="C1628" s="1"/>
      <c r="D1628" s="1"/>
      <c r="E1628" s="1"/>
      <c r="F1628" s="1"/>
      <c r="G1628" s="1"/>
      <c r="H1628" s="1"/>
      <c r="I1628" s="1"/>
      <c r="J1628" s="1"/>
    </row>
    <row r="1629" ht="15.75" customHeight="1">
      <c r="A1629" s="1"/>
      <c r="B1629" s="1"/>
      <c r="C1629" s="1"/>
      <c r="D1629" s="1"/>
      <c r="E1629" s="1"/>
      <c r="F1629" s="1"/>
      <c r="G1629" s="1"/>
      <c r="H1629" s="1"/>
      <c r="I1629" s="1"/>
      <c r="J1629" s="1"/>
    </row>
    <row r="1630" ht="15.75" customHeight="1">
      <c r="A1630" s="1"/>
      <c r="B1630" s="1"/>
      <c r="C1630" s="1"/>
      <c r="D1630" s="1"/>
      <c r="E1630" s="1"/>
      <c r="F1630" s="1"/>
      <c r="G1630" s="1"/>
      <c r="H1630" s="1"/>
      <c r="I1630" s="1"/>
      <c r="J1630" s="1"/>
    </row>
    <row r="1631" ht="15.75" customHeight="1">
      <c r="A1631" s="1"/>
      <c r="B1631" s="1"/>
      <c r="C1631" s="1"/>
      <c r="D1631" s="1"/>
      <c r="E1631" s="1"/>
      <c r="F1631" s="1"/>
      <c r="G1631" s="1"/>
      <c r="H1631" s="1"/>
      <c r="I1631" s="1"/>
      <c r="J1631" s="1"/>
    </row>
    <row r="1632" ht="15.75" customHeight="1">
      <c r="A1632" s="1"/>
      <c r="B1632" s="1"/>
      <c r="C1632" s="1"/>
      <c r="D1632" s="1"/>
      <c r="E1632" s="1"/>
      <c r="F1632" s="1"/>
      <c r="G1632" s="1"/>
      <c r="H1632" s="1"/>
      <c r="I1632" s="1"/>
      <c r="J1632" s="1"/>
    </row>
    <row r="1633" ht="15.75" customHeight="1">
      <c r="A1633" s="1"/>
      <c r="B1633" s="1"/>
      <c r="C1633" s="1"/>
      <c r="D1633" s="1"/>
      <c r="E1633" s="1"/>
      <c r="F1633" s="1"/>
      <c r="G1633" s="1"/>
      <c r="H1633" s="1"/>
      <c r="I1633" s="1"/>
      <c r="J1633" s="1"/>
    </row>
    <row r="1634" ht="15.75" customHeight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</row>
    <row r="1635" ht="15.75" customHeight="1">
      <c r="A1635" s="1"/>
      <c r="B1635" s="1"/>
      <c r="C1635" s="1"/>
      <c r="D1635" s="1"/>
      <c r="E1635" s="1"/>
      <c r="F1635" s="1"/>
      <c r="G1635" s="1"/>
      <c r="H1635" s="1"/>
      <c r="I1635" s="1"/>
      <c r="J1635" s="1"/>
    </row>
    <row r="1636" ht="15.75" customHeight="1">
      <c r="A1636" s="1"/>
      <c r="B1636" s="1"/>
      <c r="C1636" s="1"/>
      <c r="D1636" s="1"/>
      <c r="E1636" s="1"/>
      <c r="F1636" s="1"/>
      <c r="G1636" s="1"/>
      <c r="H1636" s="1"/>
      <c r="I1636" s="1"/>
      <c r="J1636" s="1"/>
    </row>
    <row r="1637" ht="15.75" customHeight="1">
      <c r="A1637" s="1"/>
      <c r="B1637" s="1"/>
      <c r="C1637" s="1"/>
      <c r="D1637" s="1"/>
      <c r="E1637" s="1"/>
      <c r="F1637" s="1"/>
      <c r="G1637" s="1"/>
      <c r="H1637" s="1"/>
      <c r="I1637" s="1"/>
      <c r="J1637" s="1"/>
    </row>
    <row r="1638" ht="15.75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</row>
    <row r="1639" ht="15.75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</row>
    <row r="1640" ht="15.75" customHeight="1">
      <c r="A1640" s="1"/>
      <c r="B1640" s="1"/>
      <c r="C1640" s="1"/>
      <c r="D1640" s="1"/>
      <c r="E1640" s="1"/>
      <c r="F1640" s="1"/>
      <c r="G1640" s="1"/>
      <c r="H1640" s="1"/>
      <c r="I1640" s="1"/>
      <c r="J1640" s="1"/>
    </row>
    <row r="1641" ht="15.75" customHeight="1">
      <c r="A1641" s="1"/>
      <c r="B1641" s="1"/>
      <c r="C1641" s="1"/>
      <c r="D1641" s="1"/>
      <c r="E1641" s="1"/>
      <c r="F1641" s="1"/>
      <c r="G1641" s="1"/>
      <c r="H1641" s="1"/>
      <c r="I1641" s="1"/>
      <c r="J1641" s="1"/>
    </row>
    <row r="1642" ht="15.75" customHeight="1">
      <c r="A1642" s="1"/>
      <c r="B1642" s="1"/>
      <c r="C1642" s="1"/>
      <c r="D1642" s="1"/>
      <c r="E1642" s="1"/>
      <c r="F1642" s="1"/>
      <c r="G1642" s="1"/>
      <c r="H1642" s="1"/>
      <c r="I1642" s="1"/>
      <c r="J1642" s="1"/>
    </row>
    <row r="1643" ht="15.75" customHeight="1">
      <c r="A1643" s="1"/>
      <c r="B1643" s="1"/>
      <c r="C1643" s="1"/>
      <c r="D1643" s="1"/>
      <c r="E1643" s="1"/>
      <c r="F1643" s="1"/>
      <c r="G1643" s="1"/>
      <c r="H1643" s="1"/>
      <c r="I1643" s="1"/>
      <c r="J1643" s="1"/>
    </row>
    <row r="1644" ht="15.75" customHeight="1">
      <c r="A1644" s="1"/>
      <c r="B1644" s="1"/>
      <c r="C1644" s="1"/>
      <c r="D1644" s="1"/>
      <c r="E1644" s="1"/>
      <c r="F1644" s="1"/>
      <c r="G1644" s="1"/>
      <c r="H1644" s="1"/>
      <c r="I1644" s="1"/>
      <c r="J1644" s="1"/>
    </row>
    <row r="1645" ht="15.75" customHeight="1">
      <c r="A1645" s="1"/>
      <c r="B1645" s="1"/>
      <c r="C1645" s="1"/>
      <c r="D1645" s="1"/>
      <c r="E1645" s="1"/>
      <c r="F1645" s="1"/>
      <c r="G1645" s="1"/>
      <c r="H1645" s="1"/>
      <c r="I1645" s="1"/>
      <c r="J1645" s="1"/>
    </row>
    <row r="1646" ht="15.75" customHeight="1">
      <c r="A1646" s="1"/>
      <c r="B1646" s="1"/>
      <c r="C1646" s="1"/>
      <c r="D1646" s="1"/>
      <c r="E1646" s="1"/>
      <c r="F1646" s="1"/>
      <c r="G1646" s="1"/>
      <c r="H1646" s="1"/>
      <c r="I1646" s="1"/>
      <c r="J1646" s="1"/>
    </row>
    <row r="1647" ht="15.75" customHeight="1">
      <c r="A1647" s="1"/>
      <c r="B1647" s="1"/>
      <c r="C1647" s="1"/>
      <c r="D1647" s="1"/>
      <c r="E1647" s="1"/>
      <c r="F1647" s="1"/>
      <c r="G1647" s="1"/>
      <c r="H1647" s="1"/>
      <c r="I1647" s="1"/>
      <c r="J1647" s="1"/>
    </row>
    <row r="1648" ht="15.75" customHeight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</row>
    <row r="1649" ht="15.75" customHeight="1">
      <c r="A1649" s="1"/>
      <c r="B1649" s="1"/>
      <c r="C1649" s="1"/>
      <c r="D1649" s="1"/>
      <c r="E1649" s="1"/>
      <c r="F1649" s="1"/>
      <c r="G1649" s="1"/>
      <c r="H1649" s="1"/>
      <c r="I1649" s="1"/>
      <c r="J1649" s="1"/>
    </row>
    <row r="1650" ht="15.75" customHeight="1">
      <c r="A1650" s="1"/>
      <c r="B1650" s="1"/>
      <c r="C1650" s="1"/>
      <c r="D1650" s="1"/>
      <c r="E1650" s="1"/>
      <c r="F1650" s="1"/>
      <c r="G1650" s="1"/>
      <c r="H1650" s="1"/>
      <c r="I1650" s="1"/>
      <c r="J1650" s="1"/>
    </row>
    <row r="1651" ht="15.75" customHeight="1">
      <c r="A1651" s="1"/>
      <c r="B1651" s="1"/>
      <c r="C1651" s="1"/>
      <c r="D1651" s="1"/>
      <c r="E1651" s="1"/>
      <c r="F1651" s="1"/>
      <c r="G1651" s="1"/>
      <c r="H1651" s="1"/>
      <c r="I1651" s="1"/>
      <c r="J1651" s="1"/>
    </row>
    <row r="1652" ht="15.75" customHeight="1">
      <c r="A1652" s="1"/>
      <c r="B1652" s="1"/>
      <c r="C1652" s="1"/>
      <c r="D1652" s="1"/>
      <c r="E1652" s="1"/>
      <c r="F1652" s="1"/>
      <c r="G1652" s="1"/>
      <c r="H1652" s="1"/>
      <c r="I1652" s="1"/>
      <c r="J1652" s="1"/>
    </row>
    <row r="1653" ht="15.75" customHeight="1">
      <c r="A1653" s="1"/>
      <c r="B1653" s="1"/>
      <c r="C1653" s="1"/>
      <c r="D1653" s="1"/>
      <c r="E1653" s="1"/>
      <c r="F1653" s="1"/>
      <c r="G1653" s="1"/>
      <c r="H1653" s="1"/>
      <c r="I1653" s="1"/>
      <c r="J1653" s="1"/>
    </row>
    <row r="1654" ht="15.75" customHeight="1">
      <c r="A1654" s="1"/>
      <c r="B1654" s="1"/>
      <c r="C1654" s="1"/>
      <c r="D1654" s="1"/>
      <c r="E1654" s="1"/>
      <c r="F1654" s="1"/>
      <c r="G1654" s="1"/>
      <c r="H1654" s="1"/>
      <c r="I1654" s="1"/>
      <c r="J1654" s="1"/>
    </row>
    <row r="1655" ht="15.75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</row>
    <row r="1656" ht="15.75" customHeight="1">
      <c r="A1656" s="1"/>
      <c r="B1656" s="1"/>
      <c r="C1656" s="1"/>
      <c r="D1656" s="1"/>
      <c r="E1656" s="1"/>
      <c r="F1656" s="1"/>
      <c r="G1656" s="1"/>
      <c r="H1656" s="1"/>
      <c r="I1656" s="1"/>
      <c r="J1656" s="1"/>
    </row>
    <row r="1657" ht="15.75" customHeight="1">
      <c r="A1657" s="1"/>
      <c r="B1657" s="1"/>
      <c r="C1657" s="1"/>
      <c r="D1657" s="1"/>
      <c r="E1657" s="1"/>
      <c r="F1657" s="1"/>
      <c r="G1657" s="1"/>
      <c r="H1657" s="1"/>
      <c r="I1657" s="1"/>
      <c r="J1657" s="1"/>
    </row>
    <row r="1658" ht="15.75" customHeight="1">
      <c r="A1658" s="1"/>
      <c r="B1658" s="1"/>
      <c r="C1658" s="1"/>
      <c r="D1658" s="1"/>
      <c r="E1658" s="1"/>
      <c r="F1658" s="1"/>
      <c r="G1658" s="1"/>
      <c r="H1658" s="1"/>
      <c r="I1658" s="1"/>
      <c r="J1658" s="1"/>
    </row>
    <row r="1659" ht="15.75" customHeight="1">
      <c r="A1659" s="1"/>
      <c r="B1659" s="1"/>
      <c r="C1659" s="1"/>
      <c r="D1659" s="1"/>
      <c r="E1659" s="1"/>
      <c r="F1659" s="1"/>
      <c r="G1659" s="1"/>
      <c r="H1659" s="1"/>
      <c r="I1659" s="1"/>
      <c r="J1659" s="1"/>
    </row>
    <row r="1660" ht="15.75" customHeight="1">
      <c r="A1660" s="1"/>
      <c r="B1660" s="1"/>
      <c r="C1660" s="1"/>
      <c r="D1660" s="1"/>
      <c r="E1660" s="1"/>
      <c r="F1660" s="1"/>
      <c r="G1660" s="1"/>
      <c r="H1660" s="1"/>
      <c r="I1660" s="1"/>
      <c r="J1660" s="1"/>
    </row>
    <row r="1661" ht="15.75" customHeight="1">
      <c r="A1661" s="1"/>
      <c r="B1661" s="1"/>
      <c r="C1661" s="1"/>
      <c r="D1661" s="1"/>
      <c r="E1661" s="1"/>
      <c r="F1661" s="1"/>
      <c r="G1661" s="1"/>
      <c r="H1661" s="1"/>
      <c r="I1661" s="1"/>
      <c r="J1661" s="1"/>
    </row>
    <row r="1662" ht="15.75" customHeight="1">
      <c r="A1662" s="1"/>
      <c r="B1662" s="1"/>
      <c r="C1662" s="1"/>
      <c r="D1662" s="1"/>
      <c r="E1662" s="1"/>
      <c r="F1662" s="1"/>
      <c r="G1662" s="1"/>
      <c r="H1662" s="1"/>
      <c r="I1662" s="1"/>
      <c r="J1662" s="1"/>
    </row>
    <row r="1663" ht="15.75" customHeight="1">
      <c r="A1663" s="1"/>
      <c r="B1663" s="1"/>
      <c r="C1663" s="1"/>
      <c r="D1663" s="1"/>
      <c r="E1663" s="1"/>
      <c r="F1663" s="1"/>
      <c r="G1663" s="1"/>
      <c r="H1663" s="1"/>
      <c r="I1663" s="1"/>
      <c r="J1663" s="1"/>
    </row>
    <row r="1664" ht="15.75" customHeight="1">
      <c r="A1664" s="1"/>
      <c r="B1664" s="1"/>
      <c r="C1664" s="1"/>
      <c r="D1664" s="1"/>
      <c r="E1664" s="1"/>
      <c r="F1664" s="1"/>
      <c r="G1664" s="1"/>
      <c r="H1664" s="1"/>
      <c r="I1664" s="1"/>
      <c r="J1664" s="1"/>
    </row>
    <row r="1665" ht="15.75" customHeight="1">
      <c r="A1665" s="1"/>
      <c r="B1665" s="1"/>
      <c r="C1665" s="1"/>
      <c r="D1665" s="1"/>
      <c r="E1665" s="1"/>
      <c r="F1665" s="1"/>
      <c r="G1665" s="1"/>
      <c r="H1665" s="1"/>
      <c r="I1665" s="1"/>
      <c r="J1665" s="1"/>
    </row>
    <row r="1666" ht="15.75" customHeight="1">
      <c r="A1666" s="1"/>
      <c r="B1666" s="1"/>
      <c r="C1666" s="1"/>
      <c r="D1666" s="1"/>
      <c r="E1666" s="1"/>
      <c r="F1666" s="1"/>
      <c r="G1666" s="1"/>
      <c r="H1666" s="1"/>
      <c r="I1666" s="1"/>
      <c r="J1666" s="1"/>
    </row>
    <row r="1667" ht="15.75" customHeight="1">
      <c r="A1667" s="1"/>
      <c r="B1667" s="1"/>
      <c r="C1667" s="1"/>
      <c r="D1667" s="1"/>
      <c r="E1667" s="1"/>
      <c r="F1667" s="1"/>
      <c r="G1667" s="1"/>
      <c r="H1667" s="1"/>
      <c r="I1667" s="1"/>
      <c r="J1667" s="1"/>
    </row>
    <row r="1668" ht="15.75" customHeight="1">
      <c r="A1668" s="1"/>
      <c r="B1668" s="1"/>
      <c r="C1668" s="1"/>
      <c r="D1668" s="1"/>
      <c r="E1668" s="1"/>
      <c r="F1668" s="1"/>
      <c r="G1668" s="1"/>
      <c r="H1668" s="1"/>
      <c r="I1668" s="1"/>
      <c r="J1668" s="1"/>
    </row>
    <row r="1669" ht="15.75" customHeight="1">
      <c r="A1669" s="1"/>
      <c r="B1669" s="1"/>
      <c r="C1669" s="1"/>
      <c r="D1669" s="1"/>
      <c r="E1669" s="1"/>
      <c r="F1669" s="1"/>
      <c r="G1669" s="1"/>
      <c r="H1669" s="1"/>
      <c r="I1669" s="1"/>
      <c r="J1669" s="1"/>
    </row>
    <row r="1670" ht="15.75" customHeight="1">
      <c r="A1670" s="1"/>
      <c r="B1670" s="1"/>
      <c r="C1670" s="1"/>
      <c r="D1670" s="1"/>
      <c r="E1670" s="1"/>
      <c r="F1670" s="1"/>
      <c r="G1670" s="1"/>
      <c r="H1670" s="1"/>
      <c r="I1670" s="1"/>
      <c r="J1670" s="1"/>
    </row>
    <row r="1671" ht="15.75" customHeight="1">
      <c r="A1671" s="1"/>
      <c r="B1671" s="1"/>
      <c r="C1671" s="1"/>
      <c r="D1671" s="1"/>
      <c r="E1671" s="1"/>
      <c r="F1671" s="1"/>
      <c r="G1671" s="1"/>
      <c r="H1671" s="1"/>
      <c r="I1671" s="1"/>
      <c r="J1671" s="1"/>
    </row>
    <row r="1672" ht="15.75" customHeight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</row>
    <row r="1673" ht="15.75" customHeight="1">
      <c r="A1673" s="1"/>
      <c r="B1673" s="1"/>
      <c r="C1673" s="1"/>
      <c r="D1673" s="1"/>
      <c r="E1673" s="1"/>
      <c r="F1673" s="1"/>
      <c r="G1673" s="1"/>
      <c r="H1673" s="1"/>
      <c r="I1673" s="1"/>
      <c r="J1673" s="1"/>
    </row>
    <row r="1674" ht="15.75" customHeight="1">
      <c r="A1674" s="1"/>
      <c r="B1674" s="1"/>
      <c r="C1674" s="1"/>
      <c r="D1674" s="1"/>
      <c r="E1674" s="1"/>
      <c r="F1674" s="1"/>
      <c r="G1674" s="1"/>
      <c r="H1674" s="1"/>
      <c r="I1674" s="1"/>
      <c r="J1674" s="1"/>
    </row>
    <row r="1675" ht="15.75" customHeight="1">
      <c r="A1675" s="1"/>
      <c r="B1675" s="1"/>
      <c r="C1675" s="1"/>
      <c r="D1675" s="1"/>
      <c r="E1675" s="1"/>
      <c r="F1675" s="1"/>
      <c r="G1675" s="1"/>
      <c r="H1675" s="1"/>
      <c r="I1675" s="1"/>
      <c r="J1675" s="1"/>
    </row>
    <row r="1676" ht="15.75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</row>
    <row r="1677" ht="15.75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</row>
    <row r="1678" ht="15.75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</row>
    <row r="1679" ht="15.75" customHeight="1">
      <c r="A1679" s="1"/>
      <c r="B1679" s="1"/>
      <c r="C1679" s="1"/>
      <c r="D1679" s="1"/>
      <c r="E1679" s="1"/>
      <c r="F1679" s="1"/>
      <c r="G1679" s="1"/>
      <c r="H1679" s="1"/>
      <c r="I1679" s="1"/>
      <c r="J1679" s="1"/>
    </row>
    <row r="1680" ht="15.75" customHeight="1">
      <c r="A1680" s="1"/>
      <c r="B1680" s="1"/>
      <c r="C1680" s="1"/>
      <c r="D1680" s="1"/>
      <c r="E1680" s="1"/>
      <c r="F1680" s="1"/>
      <c r="G1680" s="1"/>
      <c r="H1680" s="1"/>
      <c r="I1680" s="1"/>
      <c r="J1680" s="1"/>
    </row>
    <row r="1681" ht="15.75" customHeight="1">
      <c r="A1681" s="1"/>
      <c r="B1681" s="1"/>
      <c r="C1681" s="1"/>
      <c r="D1681" s="1"/>
      <c r="E1681" s="1"/>
      <c r="F1681" s="1"/>
      <c r="G1681" s="1"/>
      <c r="H1681" s="1"/>
      <c r="I1681" s="1"/>
      <c r="J1681" s="1"/>
    </row>
    <row r="1682" ht="15.75" customHeight="1">
      <c r="A1682" s="1"/>
      <c r="B1682" s="1"/>
      <c r="C1682" s="1"/>
      <c r="D1682" s="1"/>
      <c r="E1682" s="1"/>
      <c r="F1682" s="1"/>
      <c r="G1682" s="1"/>
      <c r="H1682" s="1"/>
      <c r="I1682" s="1"/>
      <c r="J1682" s="1"/>
    </row>
    <row r="1683" ht="15.75" customHeight="1">
      <c r="A1683" s="1"/>
      <c r="B1683" s="1"/>
      <c r="C1683" s="1"/>
      <c r="D1683" s="1"/>
      <c r="E1683" s="1"/>
      <c r="F1683" s="1"/>
      <c r="G1683" s="1"/>
      <c r="H1683" s="1"/>
      <c r="I1683" s="1"/>
      <c r="J1683" s="1"/>
    </row>
    <row r="1684" ht="15.75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</row>
    <row r="1685" ht="15.75" customHeight="1">
      <c r="A1685" s="1"/>
      <c r="B1685" s="1"/>
      <c r="C1685" s="1"/>
      <c r="D1685" s="1"/>
      <c r="E1685" s="1"/>
      <c r="F1685" s="1"/>
      <c r="G1685" s="1"/>
      <c r="H1685" s="1"/>
      <c r="I1685" s="1"/>
      <c r="J1685" s="1"/>
    </row>
    <row r="1686" ht="15.75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</row>
    <row r="1687" ht="15.75" customHeight="1">
      <c r="A1687" s="1"/>
      <c r="B1687" s="1"/>
      <c r="C1687" s="1"/>
      <c r="D1687" s="1"/>
      <c r="E1687" s="1"/>
      <c r="F1687" s="1"/>
      <c r="G1687" s="1"/>
      <c r="H1687" s="1"/>
      <c r="I1687" s="1"/>
      <c r="J1687" s="1"/>
    </row>
    <row r="1688" ht="15.75" customHeight="1">
      <c r="A1688" s="1"/>
      <c r="B1688" s="1"/>
      <c r="C1688" s="1"/>
      <c r="D1688" s="1"/>
      <c r="E1688" s="1"/>
      <c r="F1688" s="1"/>
      <c r="G1688" s="1"/>
      <c r="H1688" s="1"/>
      <c r="I1688" s="1"/>
      <c r="J1688" s="1"/>
    </row>
    <row r="1689" ht="15.75" customHeight="1">
      <c r="A1689" s="1"/>
      <c r="B1689" s="1"/>
      <c r="C1689" s="1"/>
      <c r="D1689" s="1"/>
      <c r="E1689" s="1"/>
      <c r="F1689" s="1"/>
      <c r="G1689" s="1"/>
      <c r="H1689" s="1"/>
      <c r="I1689" s="1"/>
      <c r="J1689" s="1"/>
    </row>
    <row r="1690" ht="15.75" customHeight="1">
      <c r="A1690" s="1"/>
      <c r="B1690" s="1"/>
      <c r="C1690" s="1"/>
      <c r="D1690" s="1"/>
      <c r="E1690" s="1"/>
      <c r="F1690" s="1"/>
      <c r="G1690" s="1"/>
      <c r="H1690" s="1"/>
      <c r="I1690" s="1"/>
      <c r="J1690" s="1"/>
    </row>
    <row r="1691" ht="15.75" customHeight="1">
      <c r="A1691" s="1"/>
      <c r="B1691" s="1"/>
      <c r="C1691" s="1"/>
      <c r="D1691" s="1"/>
      <c r="E1691" s="1"/>
      <c r="F1691" s="1"/>
      <c r="G1691" s="1"/>
      <c r="H1691" s="1"/>
      <c r="I1691" s="1"/>
      <c r="J1691" s="1"/>
    </row>
    <row r="1692" ht="15.75" customHeight="1">
      <c r="A1692" s="1"/>
      <c r="B1692" s="1"/>
      <c r="C1692" s="1"/>
      <c r="D1692" s="1"/>
      <c r="E1692" s="1"/>
      <c r="F1692" s="1"/>
      <c r="G1692" s="1"/>
      <c r="H1692" s="1"/>
      <c r="I1692" s="1"/>
      <c r="J1692" s="1"/>
    </row>
    <row r="1693" ht="15.75" customHeight="1">
      <c r="A1693" s="1"/>
      <c r="B1693" s="1"/>
      <c r="C1693" s="1"/>
      <c r="D1693" s="1"/>
      <c r="E1693" s="1"/>
      <c r="F1693" s="1"/>
      <c r="G1693" s="1"/>
      <c r="H1693" s="1"/>
      <c r="I1693" s="1"/>
      <c r="J1693" s="1"/>
    </row>
    <row r="1694" ht="15.75" customHeight="1">
      <c r="A1694" s="1"/>
      <c r="B1694" s="1"/>
      <c r="C1694" s="1"/>
      <c r="D1694" s="1"/>
      <c r="E1694" s="1"/>
      <c r="F1694" s="1"/>
      <c r="G1694" s="1"/>
      <c r="H1694" s="1"/>
      <c r="I1694" s="1"/>
      <c r="J1694" s="1"/>
    </row>
    <row r="1695" ht="15.75" customHeight="1">
      <c r="A1695" s="1"/>
      <c r="B1695" s="1"/>
      <c r="C1695" s="1"/>
      <c r="D1695" s="1"/>
      <c r="E1695" s="1"/>
      <c r="F1695" s="1"/>
      <c r="G1695" s="1"/>
      <c r="H1695" s="1"/>
      <c r="I1695" s="1"/>
      <c r="J1695" s="1"/>
    </row>
    <row r="1696" ht="15.75" customHeight="1">
      <c r="A1696" s="1"/>
      <c r="B1696" s="1"/>
      <c r="C1696" s="1"/>
      <c r="D1696" s="1"/>
      <c r="E1696" s="1"/>
      <c r="F1696" s="1"/>
      <c r="G1696" s="1"/>
      <c r="H1696" s="1"/>
      <c r="I1696" s="1"/>
      <c r="J1696" s="1"/>
    </row>
    <row r="1697" ht="15.75" customHeight="1">
      <c r="A1697" s="1"/>
      <c r="B1697" s="1"/>
      <c r="C1697" s="1"/>
      <c r="D1697" s="1"/>
      <c r="E1697" s="1"/>
      <c r="F1697" s="1"/>
      <c r="G1697" s="1"/>
      <c r="H1697" s="1"/>
      <c r="I1697" s="1"/>
      <c r="J1697" s="1"/>
    </row>
    <row r="1698" ht="15.75" customHeight="1">
      <c r="A1698" s="1"/>
      <c r="B1698" s="1"/>
      <c r="C1698" s="1"/>
      <c r="D1698" s="1"/>
      <c r="E1698" s="1"/>
      <c r="F1698" s="1"/>
      <c r="G1698" s="1"/>
      <c r="H1698" s="1"/>
      <c r="I1698" s="1"/>
      <c r="J1698" s="1"/>
    </row>
    <row r="1699" ht="15.75" customHeight="1">
      <c r="A1699" s="1"/>
      <c r="B1699" s="1"/>
      <c r="C1699" s="1"/>
      <c r="D1699" s="1"/>
      <c r="E1699" s="1"/>
      <c r="F1699" s="1"/>
      <c r="G1699" s="1"/>
      <c r="H1699" s="1"/>
      <c r="I1699" s="1"/>
      <c r="J1699" s="1"/>
    </row>
    <row r="1700" ht="15.75" customHeight="1">
      <c r="A1700" s="1"/>
      <c r="B1700" s="1"/>
      <c r="C1700" s="1"/>
      <c r="D1700" s="1"/>
      <c r="E1700" s="1"/>
      <c r="F1700" s="1"/>
      <c r="G1700" s="1"/>
      <c r="H1700" s="1"/>
      <c r="I1700" s="1"/>
      <c r="J1700" s="1"/>
    </row>
    <row r="1701" ht="15.75" customHeight="1">
      <c r="A1701" s="1"/>
      <c r="B1701" s="1"/>
      <c r="C1701" s="1"/>
      <c r="D1701" s="1"/>
      <c r="E1701" s="1"/>
      <c r="F1701" s="1"/>
      <c r="G1701" s="1"/>
      <c r="H1701" s="1"/>
      <c r="I1701" s="1"/>
      <c r="J1701" s="1"/>
    </row>
    <row r="1702" ht="15.75" customHeight="1">
      <c r="A1702" s="1"/>
      <c r="B1702" s="1"/>
      <c r="C1702" s="1"/>
      <c r="D1702" s="1"/>
      <c r="E1702" s="1"/>
      <c r="F1702" s="1"/>
      <c r="G1702" s="1"/>
      <c r="H1702" s="1"/>
      <c r="I1702" s="1"/>
      <c r="J1702" s="1"/>
    </row>
    <row r="1703" ht="15.75" customHeight="1">
      <c r="A1703" s="1"/>
      <c r="B1703" s="1"/>
      <c r="C1703" s="1"/>
      <c r="D1703" s="1"/>
      <c r="E1703" s="1"/>
      <c r="F1703" s="1"/>
      <c r="G1703" s="1"/>
      <c r="H1703" s="1"/>
      <c r="I1703" s="1"/>
      <c r="J1703" s="1"/>
    </row>
    <row r="1704" ht="15.75" customHeight="1">
      <c r="A1704" s="1"/>
      <c r="B1704" s="1"/>
      <c r="C1704" s="1"/>
      <c r="D1704" s="1"/>
      <c r="E1704" s="1"/>
      <c r="F1704" s="1"/>
      <c r="G1704" s="1"/>
      <c r="H1704" s="1"/>
      <c r="I1704" s="1"/>
      <c r="J1704" s="1"/>
    </row>
    <row r="1705" ht="15.75" customHeight="1">
      <c r="A1705" s="1"/>
      <c r="B1705" s="1"/>
      <c r="C1705" s="1"/>
      <c r="D1705" s="1"/>
      <c r="E1705" s="1"/>
      <c r="F1705" s="1"/>
      <c r="G1705" s="1"/>
      <c r="H1705" s="1"/>
      <c r="I1705" s="1"/>
      <c r="J1705" s="1"/>
    </row>
    <row r="1706" ht="15.75" customHeight="1">
      <c r="A1706" s="1"/>
      <c r="B1706" s="1"/>
      <c r="C1706" s="1"/>
      <c r="D1706" s="1"/>
      <c r="E1706" s="1"/>
      <c r="F1706" s="1"/>
      <c r="G1706" s="1"/>
      <c r="H1706" s="1"/>
      <c r="I1706" s="1"/>
      <c r="J1706" s="1"/>
    </row>
    <row r="1707" ht="15.75" customHeight="1">
      <c r="A1707" s="1"/>
      <c r="B1707" s="1"/>
      <c r="C1707" s="1"/>
      <c r="D1707" s="1"/>
      <c r="E1707" s="1"/>
      <c r="F1707" s="1"/>
      <c r="G1707" s="1"/>
      <c r="H1707" s="1"/>
      <c r="I1707" s="1"/>
      <c r="J1707" s="1"/>
    </row>
    <row r="1708" ht="15.75" customHeight="1">
      <c r="A1708" s="1"/>
      <c r="B1708" s="1"/>
      <c r="C1708" s="1"/>
      <c r="D1708" s="1"/>
      <c r="E1708" s="1"/>
      <c r="F1708" s="1"/>
      <c r="G1708" s="1"/>
      <c r="H1708" s="1"/>
      <c r="I1708" s="1"/>
      <c r="J1708" s="1"/>
    </row>
    <row r="1709" ht="15.75" customHeight="1">
      <c r="A1709" s="1"/>
      <c r="B1709" s="1"/>
      <c r="C1709" s="1"/>
      <c r="D1709" s="1"/>
      <c r="E1709" s="1"/>
      <c r="F1709" s="1"/>
      <c r="G1709" s="1"/>
      <c r="H1709" s="1"/>
      <c r="I1709" s="1"/>
      <c r="J1709" s="1"/>
    </row>
    <row r="1710" ht="15.75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</row>
    <row r="1711" ht="15.75" customHeight="1">
      <c r="A1711" s="1"/>
      <c r="B1711" s="1"/>
      <c r="C1711" s="1"/>
      <c r="D1711" s="1"/>
      <c r="E1711" s="1"/>
      <c r="F1711" s="1"/>
      <c r="G1711" s="1"/>
      <c r="H1711" s="1"/>
      <c r="I1711" s="1"/>
      <c r="J1711" s="1"/>
    </row>
    <row r="1712" ht="15.75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</row>
    <row r="1713" ht="15.75" customHeight="1">
      <c r="A1713" s="1"/>
      <c r="B1713" s="1"/>
      <c r="C1713" s="1"/>
      <c r="D1713" s="1"/>
      <c r="E1713" s="1"/>
      <c r="F1713" s="1"/>
      <c r="G1713" s="1"/>
      <c r="H1713" s="1"/>
      <c r="I1713" s="1"/>
      <c r="J1713" s="1"/>
    </row>
    <row r="1714" ht="15.75" customHeight="1">
      <c r="A1714" s="1"/>
      <c r="B1714" s="1"/>
      <c r="C1714" s="1"/>
      <c r="D1714" s="1"/>
      <c r="E1714" s="1"/>
      <c r="F1714" s="1"/>
      <c r="G1714" s="1"/>
      <c r="H1714" s="1"/>
      <c r="I1714" s="1"/>
      <c r="J1714" s="1"/>
    </row>
    <row r="1715" ht="15.75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</row>
    <row r="1716" ht="15.75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</row>
    <row r="1717" ht="15.75" customHeight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</row>
    <row r="1718" ht="15.75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</row>
    <row r="1719" ht="15.75" customHeight="1">
      <c r="A1719" s="1"/>
      <c r="B1719" s="1"/>
      <c r="C1719" s="1"/>
      <c r="D1719" s="1"/>
      <c r="E1719" s="1"/>
      <c r="F1719" s="1"/>
      <c r="G1719" s="1"/>
      <c r="H1719" s="1"/>
      <c r="I1719" s="1"/>
      <c r="J1719" s="1"/>
    </row>
    <row r="1720" ht="15.75" customHeight="1">
      <c r="A1720" s="1"/>
      <c r="B1720" s="1"/>
      <c r="C1720" s="1"/>
      <c r="D1720" s="1"/>
      <c r="E1720" s="1"/>
      <c r="F1720" s="1"/>
      <c r="G1720" s="1"/>
      <c r="H1720" s="1"/>
      <c r="I1720" s="1"/>
      <c r="J1720" s="1"/>
    </row>
    <row r="1721" ht="15.75" customHeight="1">
      <c r="A1721" s="1"/>
      <c r="B1721" s="1"/>
      <c r="C1721" s="1"/>
      <c r="D1721" s="1"/>
      <c r="E1721" s="1"/>
      <c r="F1721" s="1"/>
      <c r="G1721" s="1"/>
      <c r="H1721" s="1"/>
      <c r="I1721" s="1"/>
      <c r="J1721" s="1"/>
    </row>
    <row r="1722" ht="15.75" customHeight="1">
      <c r="A1722" s="1"/>
      <c r="B1722" s="1"/>
      <c r="C1722" s="1"/>
      <c r="D1722" s="1"/>
      <c r="E1722" s="1"/>
      <c r="F1722" s="1"/>
      <c r="G1722" s="1"/>
      <c r="H1722" s="1"/>
      <c r="I1722" s="1"/>
      <c r="J1722" s="1"/>
    </row>
    <row r="1723" ht="15.75" customHeight="1">
      <c r="A1723" s="1"/>
      <c r="B1723" s="1"/>
      <c r="C1723" s="1"/>
      <c r="D1723" s="1"/>
      <c r="E1723" s="1"/>
      <c r="F1723" s="1"/>
      <c r="G1723" s="1"/>
      <c r="H1723" s="1"/>
      <c r="I1723" s="1"/>
      <c r="J1723" s="1"/>
    </row>
    <row r="1724" ht="15.75" customHeight="1">
      <c r="A1724" s="1"/>
      <c r="B1724" s="1"/>
      <c r="C1724" s="1"/>
      <c r="D1724" s="1"/>
      <c r="E1724" s="1"/>
      <c r="F1724" s="1"/>
      <c r="G1724" s="1"/>
      <c r="H1724" s="1"/>
      <c r="I1724" s="1"/>
      <c r="J1724" s="1"/>
    </row>
    <row r="1725" ht="15.75" customHeight="1">
      <c r="A1725" s="1"/>
      <c r="B1725" s="1"/>
      <c r="C1725" s="1"/>
      <c r="D1725" s="1"/>
      <c r="E1725" s="1"/>
      <c r="F1725" s="1"/>
      <c r="G1725" s="1"/>
      <c r="H1725" s="1"/>
      <c r="I1725" s="1"/>
      <c r="J1725" s="1"/>
    </row>
    <row r="1726" ht="15.75" customHeight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</row>
    <row r="1727" ht="15.75" customHeight="1">
      <c r="A1727" s="1"/>
      <c r="B1727" s="1"/>
      <c r="C1727" s="1"/>
      <c r="D1727" s="1"/>
      <c r="E1727" s="1"/>
      <c r="F1727" s="1"/>
      <c r="G1727" s="1"/>
      <c r="H1727" s="1"/>
      <c r="I1727" s="1"/>
      <c r="J1727" s="1"/>
    </row>
    <row r="1728" ht="15.75" customHeight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</row>
    <row r="1729" ht="15.75" customHeight="1">
      <c r="A1729" s="1"/>
      <c r="B1729" s="1"/>
      <c r="C1729" s="1"/>
      <c r="D1729" s="1"/>
      <c r="E1729" s="1"/>
      <c r="F1729" s="1"/>
      <c r="G1729" s="1"/>
      <c r="H1729" s="1"/>
      <c r="I1729" s="1"/>
      <c r="J1729" s="1"/>
    </row>
    <row r="1730" ht="15.75" customHeight="1">
      <c r="A1730" s="1"/>
      <c r="B1730" s="1"/>
      <c r="C1730" s="1"/>
      <c r="D1730" s="1"/>
      <c r="E1730" s="1"/>
      <c r="F1730" s="1"/>
      <c r="G1730" s="1"/>
      <c r="H1730" s="1"/>
      <c r="I1730" s="1"/>
      <c r="J1730" s="1"/>
    </row>
    <row r="1731" ht="15.75" customHeight="1">
      <c r="A1731" s="1"/>
      <c r="B1731" s="1"/>
      <c r="C1731" s="1"/>
      <c r="D1731" s="1"/>
      <c r="E1731" s="1"/>
      <c r="F1731" s="1"/>
      <c r="G1731" s="1"/>
      <c r="H1731" s="1"/>
      <c r="I1731" s="1"/>
      <c r="J1731" s="1"/>
    </row>
    <row r="1732" ht="15.75" customHeight="1">
      <c r="A1732" s="1"/>
      <c r="B1732" s="1"/>
      <c r="C1732" s="1"/>
      <c r="D1732" s="1"/>
      <c r="E1732" s="1"/>
      <c r="F1732" s="1"/>
      <c r="G1732" s="1"/>
      <c r="H1732" s="1"/>
      <c r="I1732" s="1"/>
      <c r="J1732" s="1"/>
    </row>
    <row r="1733" ht="15.75" customHeight="1">
      <c r="A1733" s="1"/>
      <c r="B1733" s="1"/>
      <c r="C1733" s="1"/>
      <c r="D1733" s="1"/>
      <c r="E1733" s="1"/>
      <c r="F1733" s="1"/>
      <c r="G1733" s="1"/>
      <c r="H1733" s="1"/>
      <c r="I1733" s="1"/>
      <c r="J1733" s="1"/>
    </row>
    <row r="1734" ht="15.75" customHeight="1">
      <c r="A1734" s="1"/>
      <c r="B1734" s="1"/>
      <c r="C1734" s="1"/>
      <c r="D1734" s="1"/>
      <c r="E1734" s="1"/>
      <c r="F1734" s="1"/>
      <c r="G1734" s="1"/>
      <c r="H1734" s="1"/>
      <c r="I1734" s="1"/>
      <c r="J1734" s="1"/>
    </row>
    <row r="1735" ht="15.75" customHeight="1">
      <c r="A1735" s="1"/>
      <c r="B1735" s="1"/>
      <c r="C1735" s="1"/>
      <c r="D1735" s="1"/>
      <c r="E1735" s="1"/>
      <c r="F1735" s="1"/>
      <c r="G1735" s="1"/>
      <c r="H1735" s="1"/>
      <c r="I1735" s="1"/>
      <c r="J1735" s="1"/>
    </row>
    <row r="1736" ht="15.75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</row>
    <row r="1737" ht="15.75" customHeight="1">
      <c r="A1737" s="1"/>
      <c r="B1737" s="1"/>
      <c r="C1737" s="1"/>
      <c r="D1737" s="1"/>
      <c r="E1737" s="1"/>
      <c r="F1737" s="1"/>
      <c r="G1737" s="1"/>
      <c r="H1737" s="1"/>
      <c r="I1737" s="1"/>
      <c r="J1737" s="1"/>
    </row>
    <row r="1738" ht="15.75" customHeight="1">
      <c r="A1738" s="1"/>
      <c r="B1738" s="1"/>
      <c r="C1738" s="1"/>
      <c r="D1738" s="1"/>
      <c r="E1738" s="1"/>
      <c r="F1738" s="1"/>
      <c r="G1738" s="1"/>
      <c r="H1738" s="1"/>
      <c r="I1738" s="1"/>
      <c r="J1738" s="1"/>
    </row>
    <row r="1739" ht="15.75" customHeight="1">
      <c r="A1739" s="1"/>
      <c r="B1739" s="1"/>
      <c r="C1739" s="1"/>
      <c r="D1739" s="1"/>
      <c r="E1739" s="1"/>
      <c r="F1739" s="1"/>
      <c r="G1739" s="1"/>
      <c r="H1739" s="1"/>
      <c r="I1739" s="1"/>
      <c r="J1739" s="1"/>
    </row>
    <row r="1740" ht="15.75" customHeight="1">
      <c r="A1740" s="1"/>
      <c r="B1740" s="1"/>
      <c r="C1740" s="1"/>
      <c r="D1740" s="1"/>
      <c r="E1740" s="1"/>
      <c r="F1740" s="1"/>
      <c r="G1740" s="1"/>
      <c r="H1740" s="1"/>
      <c r="I1740" s="1"/>
      <c r="J1740" s="1"/>
    </row>
    <row r="1741" ht="15.75" customHeight="1">
      <c r="A1741" s="1"/>
      <c r="B1741" s="1"/>
      <c r="C1741" s="1"/>
      <c r="D1741" s="1"/>
      <c r="E1741" s="1"/>
      <c r="F1741" s="1"/>
      <c r="G1741" s="1"/>
      <c r="H1741" s="1"/>
      <c r="I1741" s="1"/>
      <c r="J1741" s="1"/>
    </row>
    <row r="1742" ht="15.75" customHeight="1">
      <c r="A1742" s="1"/>
      <c r="B1742" s="1"/>
      <c r="C1742" s="1"/>
      <c r="D1742" s="1"/>
      <c r="E1742" s="1"/>
      <c r="F1742" s="1"/>
      <c r="G1742" s="1"/>
      <c r="H1742" s="1"/>
      <c r="I1742" s="1"/>
      <c r="J1742" s="1"/>
    </row>
    <row r="1743" ht="15.75" customHeight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</row>
    <row r="1744" ht="15.75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</row>
    <row r="1745" ht="15.75" customHeight="1">
      <c r="A1745" s="1"/>
      <c r="B1745" s="1"/>
      <c r="C1745" s="1"/>
      <c r="D1745" s="1"/>
      <c r="E1745" s="1"/>
      <c r="F1745" s="1"/>
      <c r="G1745" s="1"/>
      <c r="H1745" s="1"/>
      <c r="I1745" s="1"/>
      <c r="J1745" s="1"/>
    </row>
    <row r="1746" ht="15.75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</row>
    <row r="1747" ht="15.75" customHeight="1">
      <c r="A1747" s="1"/>
      <c r="B1747" s="1"/>
      <c r="C1747" s="1"/>
      <c r="D1747" s="1"/>
      <c r="E1747" s="1"/>
      <c r="F1747" s="1"/>
      <c r="G1747" s="1"/>
      <c r="H1747" s="1"/>
      <c r="I1747" s="1"/>
      <c r="J1747" s="1"/>
    </row>
    <row r="1748" ht="15.75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</row>
    <row r="1749" ht="15.75" customHeight="1">
      <c r="A1749" s="1"/>
      <c r="B1749" s="1"/>
      <c r="C1749" s="1"/>
      <c r="D1749" s="1"/>
      <c r="E1749" s="1"/>
      <c r="F1749" s="1"/>
      <c r="G1749" s="1"/>
      <c r="H1749" s="1"/>
      <c r="I1749" s="1"/>
      <c r="J1749" s="1"/>
    </row>
    <row r="1750" ht="15.75" customHeight="1">
      <c r="A1750" s="1"/>
      <c r="B1750" s="1"/>
      <c r="C1750" s="1"/>
      <c r="D1750" s="1"/>
      <c r="E1750" s="1"/>
      <c r="F1750" s="1"/>
      <c r="G1750" s="1"/>
      <c r="H1750" s="1"/>
      <c r="I1750" s="1"/>
      <c r="J1750" s="1"/>
    </row>
    <row r="1751" ht="15.75" customHeight="1">
      <c r="A1751" s="1"/>
      <c r="B1751" s="1"/>
      <c r="C1751" s="1"/>
      <c r="D1751" s="1"/>
      <c r="E1751" s="1"/>
      <c r="F1751" s="1"/>
      <c r="G1751" s="1"/>
      <c r="H1751" s="1"/>
      <c r="I1751" s="1"/>
      <c r="J1751" s="1"/>
    </row>
    <row r="1752" ht="15.75" customHeight="1">
      <c r="A1752" s="1"/>
      <c r="B1752" s="1"/>
      <c r="C1752" s="1"/>
      <c r="D1752" s="1"/>
      <c r="E1752" s="1"/>
      <c r="F1752" s="1"/>
      <c r="G1752" s="1"/>
      <c r="H1752" s="1"/>
      <c r="I1752" s="1"/>
      <c r="J1752" s="1"/>
    </row>
    <row r="1753" ht="15.75" customHeight="1">
      <c r="A1753" s="1"/>
      <c r="B1753" s="1"/>
      <c r="C1753" s="1"/>
      <c r="D1753" s="1"/>
      <c r="E1753" s="1"/>
      <c r="F1753" s="1"/>
      <c r="G1753" s="1"/>
      <c r="H1753" s="1"/>
      <c r="I1753" s="1"/>
      <c r="J1753" s="1"/>
    </row>
    <row r="1754" ht="15.75" customHeight="1">
      <c r="A1754" s="1"/>
      <c r="B1754" s="1"/>
      <c r="C1754" s="1"/>
      <c r="D1754" s="1"/>
      <c r="E1754" s="1"/>
      <c r="F1754" s="1"/>
      <c r="G1754" s="1"/>
      <c r="H1754" s="1"/>
      <c r="I1754" s="1"/>
      <c r="J1754" s="1"/>
    </row>
    <row r="1755" ht="15.75" customHeight="1">
      <c r="A1755" s="1"/>
      <c r="B1755" s="1"/>
      <c r="C1755" s="1"/>
      <c r="D1755" s="1"/>
      <c r="E1755" s="1"/>
      <c r="F1755" s="1"/>
      <c r="G1755" s="1"/>
      <c r="H1755" s="1"/>
      <c r="I1755" s="1"/>
      <c r="J1755" s="1"/>
    </row>
    <row r="1756" ht="15.75" customHeight="1">
      <c r="A1756" s="1"/>
      <c r="B1756" s="1"/>
      <c r="C1756" s="1"/>
      <c r="D1756" s="1"/>
      <c r="E1756" s="1"/>
      <c r="F1756" s="1"/>
      <c r="G1756" s="1"/>
      <c r="H1756" s="1"/>
      <c r="I1756" s="1"/>
      <c r="J1756" s="1"/>
    </row>
    <row r="1757" ht="15.75" customHeight="1">
      <c r="A1757" s="1"/>
      <c r="B1757" s="1"/>
      <c r="C1757" s="1"/>
      <c r="D1757" s="1"/>
      <c r="E1757" s="1"/>
      <c r="F1757" s="1"/>
      <c r="G1757" s="1"/>
      <c r="H1757" s="1"/>
      <c r="I1757" s="1"/>
      <c r="J1757" s="1"/>
    </row>
    <row r="1758" ht="15.75" customHeight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</row>
    <row r="1759" ht="15.75" customHeight="1">
      <c r="A1759" s="1"/>
      <c r="B1759" s="1"/>
      <c r="C1759" s="1"/>
      <c r="D1759" s="1"/>
      <c r="E1759" s="1"/>
      <c r="F1759" s="1"/>
      <c r="G1759" s="1"/>
      <c r="H1759" s="1"/>
      <c r="I1759" s="1"/>
      <c r="J1759" s="1"/>
    </row>
    <row r="1760" ht="15.75" customHeight="1">
      <c r="A1760" s="1"/>
      <c r="B1760" s="1"/>
      <c r="C1760" s="1"/>
      <c r="D1760" s="1"/>
      <c r="E1760" s="1"/>
      <c r="F1760" s="1"/>
      <c r="G1760" s="1"/>
      <c r="H1760" s="1"/>
      <c r="I1760" s="1"/>
      <c r="J1760" s="1"/>
    </row>
    <row r="1761" ht="15.75" customHeight="1">
      <c r="A1761" s="1"/>
      <c r="B1761" s="1"/>
      <c r="C1761" s="1"/>
      <c r="D1761" s="1"/>
      <c r="E1761" s="1"/>
      <c r="F1761" s="1"/>
      <c r="G1761" s="1"/>
      <c r="H1761" s="1"/>
      <c r="I1761" s="1"/>
      <c r="J1761" s="1"/>
    </row>
    <row r="1762" ht="15.75" customHeight="1">
      <c r="A1762" s="1"/>
      <c r="B1762" s="1"/>
      <c r="C1762" s="1"/>
      <c r="D1762" s="1"/>
      <c r="E1762" s="1"/>
      <c r="F1762" s="1"/>
      <c r="G1762" s="1"/>
      <c r="H1762" s="1"/>
      <c r="I1762" s="1"/>
      <c r="J1762" s="1"/>
    </row>
    <row r="1763" ht="15.75" customHeight="1">
      <c r="A1763" s="1"/>
      <c r="B1763" s="1"/>
      <c r="C1763" s="1"/>
      <c r="D1763" s="1"/>
      <c r="E1763" s="1"/>
      <c r="F1763" s="1"/>
      <c r="G1763" s="1"/>
      <c r="H1763" s="1"/>
      <c r="I1763" s="1"/>
      <c r="J1763" s="1"/>
    </row>
    <row r="1764" ht="15.75" customHeight="1">
      <c r="A1764" s="1"/>
      <c r="B1764" s="1"/>
      <c r="C1764" s="1"/>
      <c r="D1764" s="1"/>
      <c r="E1764" s="1"/>
      <c r="F1764" s="1"/>
      <c r="G1764" s="1"/>
      <c r="H1764" s="1"/>
      <c r="I1764" s="1"/>
      <c r="J1764" s="1"/>
    </row>
    <row r="1765" ht="15.75" customHeight="1">
      <c r="A1765" s="1"/>
      <c r="B1765" s="1"/>
      <c r="C1765" s="1"/>
      <c r="D1765" s="1"/>
      <c r="E1765" s="1"/>
      <c r="F1765" s="1"/>
      <c r="G1765" s="1"/>
      <c r="H1765" s="1"/>
      <c r="I1765" s="1"/>
      <c r="J1765" s="1"/>
    </row>
    <row r="1766" ht="15.75" customHeight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</row>
    <row r="1767" ht="15.75" customHeight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</row>
    <row r="1768" ht="15.75" customHeight="1">
      <c r="A1768" s="1"/>
      <c r="B1768" s="1"/>
      <c r="C1768" s="1"/>
      <c r="D1768" s="1"/>
      <c r="E1768" s="1"/>
      <c r="F1768" s="1"/>
      <c r="G1768" s="1"/>
      <c r="H1768" s="1"/>
      <c r="I1768" s="1"/>
      <c r="J1768" s="1"/>
    </row>
    <row r="1769" ht="15.75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</row>
    <row r="1770" ht="15.75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</row>
    <row r="1771" ht="15.75" customHeight="1">
      <c r="A1771" s="1"/>
      <c r="B1771" s="1"/>
      <c r="C1771" s="1"/>
      <c r="D1771" s="1"/>
      <c r="E1771" s="1"/>
      <c r="F1771" s="1"/>
      <c r="G1771" s="1"/>
      <c r="H1771" s="1"/>
      <c r="I1771" s="1"/>
      <c r="J1771" s="1"/>
    </row>
    <row r="1772" ht="15.75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</row>
    <row r="1773" ht="15.75" customHeight="1">
      <c r="A1773" s="1"/>
      <c r="B1773" s="1"/>
      <c r="C1773" s="1"/>
      <c r="D1773" s="1"/>
      <c r="E1773" s="1"/>
      <c r="F1773" s="1"/>
      <c r="G1773" s="1"/>
      <c r="H1773" s="1"/>
      <c r="I1773" s="1"/>
      <c r="J1773" s="1"/>
    </row>
    <row r="1774" ht="15.75" customHeight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</row>
    <row r="1775" ht="15.75" customHeight="1">
      <c r="A1775" s="1"/>
      <c r="B1775" s="1"/>
      <c r="C1775" s="1"/>
      <c r="D1775" s="1"/>
      <c r="E1775" s="1"/>
      <c r="F1775" s="1"/>
      <c r="G1775" s="1"/>
      <c r="H1775" s="1"/>
      <c r="I1775" s="1"/>
      <c r="J1775" s="1"/>
    </row>
    <row r="1776" ht="15.75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</row>
    <row r="1777" ht="15.75" customHeight="1">
      <c r="A1777" s="1"/>
      <c r="B1777" s="1"/>
      <c r="C1777" s="1"/>
      <c r="D1777" s="1"/>
      <c r="E1777" s="1"/>
      <c r="F1777" s="1"/>
      <c r="G1777" s="1"/>
      <c r="H1777" s="1"/>
      <c r="I1777" s="1"/>
      <c r="J1777" s="1"/>
    </row>
    <row r="1778" ht="15.75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</row>
    <row r="1779" ht="15.75" customHeight="1">
      <c r="A1779" s="1"/>
      <c r="B1779" s="1"/>
      <c r="C1779" s="1"/>
      <c r="D1779" s="1"/>
      <c r="E1779" s="1"/>
      <c r="F1779" s="1"/>
      <c r="G1779" s="1"/>
      <c r="H1779" s="1"/>
      <c r="I1779" s="1"/>
      <c r="J1779" s="1"/>
    </row>
    <row r="1780" ht="15.75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</row>
    <row r="1781" ht="15.75" customHeight="1">
      <c r="A1781" s="1"/>
      <c r="B1781" s="1"/>
      <c r="C1781" s="1"/>
      <c r="D1781" s="1"/>
      <c r="E1781" s="1"/>
      <c r="F1781" s="1"/>
      <c r="G1781" s="1"/>
      <c r="H1781" s="1"/>
      <c r="I1781" s="1"/>
      <c r="J1781" s="1"/>
    </row>
    <row r="1782" ht="15.75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</row>
    <row r="1783" ht="15.75" customHeight="1">
      <c r="A1783" s="1"/>
      <c r="B1783" s="1"/>
      <c r="C1783" s="1"/>
      <c r="D1783" s="1"/>
      <c r="E1783" s="1"/>
      <c r="F1783" s="1"/>
      <c r="G1783" s="1"/>
      <c r="H1783" s="1"/>
      <c r="I1783" s="1"/>
      <c r="J1783" s="1"/>
    </row>
    <row r="1784" ht="15.75" customHeight="1">
      <c r="A1784" s="1"/>
      <c r="B1784" s="1"/>
      <c r="C1784" s="1"/>
      <c r="D1784" s="1"/>
      <c r="E1784" s="1"/>
      <c r="F1784" s="1"/>
      <c r="G1784" s="1"/>
      <c r="H1784" s="1"/>
      <c r="I1784" s="1"/>
      <c r="J1784" s="1"/>
    </row>
    <row r="1785" ht="15.75" customHeight="1">
      <c r="A1785" s="1"/>
      <c r="B1785" s="1"/>
      <c r="C1785" s="1"/>
      <c r="D1785" s="1"/>
      <c r="E1785" s="1"/>
      <c r="F1785" s="1"/>
      <c r="G1785" s="1"/>
      <c r="H1785" s="1"/>
      <c r="I1785" s="1"/>
      <c r="J1785" s="1"/>
    </row>
    <row r="1786" ht="15.75" customHeight="1">
      <c r="A1786" s="1"/>
      <c r="B1786" s="1"/>
      <c r="C1786" s="1"/>
      <c r="D1786" s="1"/>
      <c r="E1786" s="1"/>
      <c r="F1786" s="1"/>
      <c r="G1786" s="1"/>
      <c r="H1786" s="1"/>
      <c r="I1786" s="1"/>
      <c r="J1786" s="1"/>
    </row>
    <row r="1787" ht="15.75" customHeight="1">
      <c r="A1787" s="1"/>
      <c r="B1787" s="1"/>
      <c r="C1787" s="1"/>
      <c r="D1787" s="1"/>
      <c r="E1787" s="1"/>
      <c r="F1787" s="1"/>
      <c r="G1787" s="1"/>
      <c r="H1787" s="1"/>
      <c r="I1787" s="1"/>
      <c r="J1787" s="1"/>
    </row>
    <row r="1788" ht="15.75" customHeight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</row>
    <row r="1789" ht="15.75" customHeight="1">
      <c r="A1789" s="1"/>
      <c r="B1789" s="1"/>
      <c r="C1789" s="1"/>
      <c r="D1789" s="1"/>
      <c r="E1789" s="1"/>
      <c r="F1789" s="1"/>
      <c r="G1789" s="1"/>
      <c r="H1789" s="1"/>
      <c r="I1789" s="1"/>
      <c r="J1789" s="1"/>
    </row>
    <row r="1790" ht="15.75" customHeight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</row>
    <row r="1791" ht="15.75" customHeight="1">
      <c r="A1791" s="1"/>
      <c r="B1791" s="1"/>
      <c r="C1791" s="1"/>
      <c r="D1791" s="1"/>
      <c r="E1791" s="1"/>
      <c r="F1791" s="1"/>
      <c r="G1791" s="1"/>
      <c r="H1791" s="1"/>
      <c r="I1791" s="1"/>
      <c r="J1791" s="1"/>
    </row>
    <row r="1792" ht="15.75" customHeight="1">
      <c r="A1792" s="1"/>
      <c r="B1792" s="1"/>
      <c r="C1792" s="1"/>
      <c r="D1792" s="1"/>
      <c r="E1792" s="1"/>
      <c r="F1792" s="1"/>
      <c r="G1792" s="1"/>
      <c r="H1792" s="1"/>
      <c r="I1792" s="1"/>
      <c r="J1792" s="1"/>
    </row>
    <row r="1793" ht="15.75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</row>
    <row r="1794" ht="15.75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</row>
    <row r="1795" ht="15.75" customHeight="1">
      <c r="A1795" s="1"/>
      <c r="B1795" s="1"/>
      <c r="C1795" s="1"/>
      <c r="D1795" s="1"/>
      <c r="E1795" s="1"/>
      <c r="F1795" s="1"/>
      <c r="G1795" s="1"/>
      <c r="H1795" s="1"/>
      <c r="I1795" s="1"/>
      <c r="J1795" s="1"/>
    </row>
    <row r="1796" ht="15.75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</row>
    <row r="1797" ht="15.75" customHeight="1">
      <c r="A1797" s="1"/>
      <c r="B1797" s="1"/>
      <c r="C1797" s="1"/>
      <c r="D1797" s="1"/>
      <c r="E1797" s="1"/>
      <c r="F1797" s="1"/>
      <c r="G1797" s="1"/>
      <c r="H1797" s="1"/>
      <c r="I1797" s="1"/>
      <c r="J1797" s="1"/>
    </row>
    <row r="1798" ht="15.75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</row>
    <row r="1799" ht="15.75" customHeight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</row>
    <row r="1800" ht="15.75" customHeight="1">
      <c r="A1800" s="1"/>
      <c r="B1800" s="1"/>
      <c r="C1800" s="1"/>
      <c r="D1800" s="1"/>
      <c r="E1800" s="1"/>
      <c r="F1800" s="1"/>
      <c r="G1800" s="1"/>
      <c r="H1800" s="1"/>
      <c r="I1800" s="1"/>
      <c r="J1800" s="1"/>
    </row>
    <row r="1801" ht="15.75" customHeight="1">
      <c r="A1801" s="1"/>
      <c r="B1801" s="1"/>
      <c r="C1801" s="1"/>
      <c r="D1801" s="1"/>
      <c r="E1801" s="1"/>
      <c r="F1801" s="1"/>
      <c r="G1801" s="1"/>
      <c r="H1801" s="1"/>
      <c r="I1801" s="1"/>
      <c r="J1801" s="1"/>
    </row>
    <row r="1802" ht="15.75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</row>
    <row r="1803" ht="15.75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</row>
    <row r="1804" ht="15.75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</row>
    <row r="1805" ht="15.75" customHeight="1">
      <c r="A1805" s="1"/>
      <c r="B1805" s="1"/>
      <c r="C1805" s="1"/>
      <c r="D1805" s="1"/>
      <c r="E1805" s="1"/>
      <c r="F1805" s="1"/>
      <c r="G1805" s="1"/>
      <c r="H1805" s="1"/>
      <c r="I1805" s="1"/>
      <c r="J1805" s="1"/>
    </row>
    <row r="1806" ht="15.75" customHeight="1">
      <c r="A1806" s="1"/>
      <c r="B1806" s="1"/>
      <c r="C1806" s="1"/>
      <c r="D1806" s="1"/>
      <c r="E1806" s="1"/>
      <c r="F1806" s="1"/>
      <c r="G1806" s="1"/>
      <c r="H1806" s="1"/>
      <c r="I1806" s="1"/>
      <c r="J1806" s="1"/>
    </row>
    <row r="1807" ht="15.75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</row>
    <row r="1808" ht="15.75" customHeight="1">
      <c r="A1808" s="1"/>
      <c r="B1808" s="1"/>
      <c r="C1808" s="1"/>
      <c r="D1808" s="1"/>
      <c r="E1808" s="1"/>
      <c r="F1808" s="1"/>
      <c r="G1808" s="1"/>
      <c r="H1808" s="1"/>
      <c r="I1808" s="1"/>
      <c r="J1808" s="1"/>
    </row>
    <row r="1809" ht="15.75" customHeight="1">
      <c r="A1809" s="1"/>
      <c r="B1809" s="1"/>
      <c r="C1809" s="1"/>
      <c r="D1809" s="1"/>
      <c r="E1809" s="1"/>
      <c r="F1809" s="1"/>
      <c r="G1809" s="1"/>
      <c r="H1809" s="1"/>
      <c r="I1809" s="1"/>
      <c r="J1809" s="1"/>
    </row>
    <row r="1810" ht="15.75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</row>
    <row r="1811" ht="15.75" customHeight="1">
      <c r="A1811" s="1"/>
      <c r="B1811" s="1"/>
      <c r="C1811" s="1"/>
      <c r="D1811" s="1"/>
      <c r="E1811" s="1"/>
      <c r="F1811" s="1"/>
      <c r="G1811" s="1"/>
      <c r="H1811" s="1"/>
      <c r="I1811" s="1"/>
      <c r="J1811" s="1"/>
    </row>
    <row r="1812" ht="15.75" customHeight="1">
      <c r="A1812" s="1"/>
      <c r="B1812" s="1"/>
      <c r="C1812" s="1"/>
      <c r="D1812" s="1"/>
      <c r="E1812" s="1"/>
      <c r="F1812" s="1"/>
      <c r="G1812" s="1"/>
      <c r="H1812" s="1"/>
      <c r="I1812" s="1"/>
      <c r="J1812" s="1"/>
    </row>
    <row r="1813" ht="15.75" customHeight="1">
      <c r="A1813" s="1"/>
      <c r="B1813" s="1"/>
      <c r="C1813" s="1"/>
      <c r="D1813" s="1"/>
      <c r="E1813" s="1"/>
      <c r="F1813" s="1"/>
      <c r="G1813" s="1"/>
      <c r="H1813" s="1"/>
      <c r="I1813" s="1"/>
      <c r="J1813" s="1"/>
    </row>
    <row r="1814" ht="15.75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</row>
    <row r="1815" ht="15.75" customHeight="1">
      <c r="A1815" s="1"/>
      <c r="B1815" s="1"/>
      <c r="C1815" s="1"/>
      <c r="D1815" s="1"/>
      <c r="E1815" s="1"/>
      <c r="F1815" s="1"/>
      <c r="G1815" s="1"/>
      <c r="H1815" s="1"/>
      <c r="I1815" s="1"/>
      <c r="J1815" s="1"/>
    </row>
    <row r="1816" ht="15.75" customHeight="1">
      <c r="A1816" s="1"/>
      <c r="B1816" s="1"/>
      <c r="C1816" s="1"/>
      <c r="D1816" s="1"/>
      <c r="E1816" s="1"/>
      <c r="F1816" s="1"/>
      <c r="G1816" s="1"/>
      <c r="H1816" s="1"/>
      <c r="I1816" s="1"/>
      <c r="J1816" s="1"/>
    </row>
    <row r="1817" ht="15.75" customHeight="1">
      <c r="A1817" s="1"/>
      <c r="B1817" s="1"/>
      <c r="C1817" s="1"/>
      <c r="D1817" s="1"/>
      <c r="E1817" s="1"/>
      <c r="F1817" s="1"/>
      <c r="G1817" s="1"/>
      <c r="H1817" s="1"/>
      <c r="I1817" s="1"/>
      <c r="J1817" s="1"/>
    </row>
    <row r="1818" ht="15.75" customHeight="1">
      <c r="A1818" s="1"/>
      <c r="B1818" s="1"/>
      <c r="C1818" s="1"/>
      <c r="D1818" s="1"/>
      <c r="E1818" s="1"/>
      <c r="F1818" s="1"/>
      <c r="G1818" s="1"/>
      <c r="H1818" s="1"/>
      <c r="I1818" s="1"/>
      <c r="J1818" s="1"/>
    </row>
    <row r="1819" ht="15.75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</row>
    <row r="1820" ht="15.75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</row>
    <row r="1821" ht="15.75" customHeight="1">
      <c r="A1821" s="1"/>
      <c r="B1821" s="1"/>
      <c r="C1821" s="1"/>
      <c r="D1821" s="1"/>
      <c r="E1821" s="1"/>
      <c r="F1821" s="1"/>
      <c r="G1821" s="1"/>
      <c r="H1821" s="1"/>
      <c r="I1821" s="1"/>
      <c r="J1821" s="1"/>
    </row>
    <row r="1822" ht="15.75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</row>
    <row r="1823" ht="15.75" customHeight="1">
      <c r="A1823" s="1"/>
      <c r="B1823" s="1"/>
      <c r="C1823" s="1"/>
      <c r="D1823" s="1"/>
      <c r="E1823" s="1"/>
      <c r="F1823" s="1"/>
      <c r="G1823" s="1"/>
      <c r="H1823" s="1"/>
      <c r="I1823" s="1"/>
      <c r="J1823" s="1"/>
    </row>
    <row r="1824" ht="15.75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</row>
    <row r="1825" ht="15.75" customHeight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</row>
    <row r="1826" ht="15.75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</row>
    <row r="1827" ht="15.75" customHeight="1">
      <c r="A1827" s="1"/>
      <c r="B1827" s="1"/>
      <c r="C1827" s="1"/>
      <c r="D1827" s="1"/>
      <c r="E1827" s="1"/>
      <c r="F1827" s="1"/>
      <c r="G1827" s="1"/>
      <c r="H1827" s="1"/>
      <c r="I1827" s="1"/>
      <c r="J1827" s="1"/>
    </row>
    <row r="1828" ht="15.75" customHeight="1">
      <c r="A1828" s="1"/>
      <c r="B1828" s="1"/>
      <c r="C1828" s="1"/>
      <c r="D1828" s="1"/>
      <c r="E1828" s="1"/>
      <c r="F1828" s="1"/>
      <c r="G1828" s="1"/>
      <c r="H1828" s="1"/>
      <c r="I1828" s="1"/>
      <c r="J1828" s="1"/>
    </row>
    <row r="1829" ht="15.75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</row>
    <row r="1830" ht="15.75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</row>
    <row r="1831" ht="15.75" customHeight="1">
      <c r="A1831" s="1"/>
      <c r="B1831" s="1"/>
      <c r="C1831" s="1"/>
      <c r="D1831" s="1"/>
      <c r="E1831" s="1"/>
      <c r="F1831" s="1"/>
      <c r="G1831" s="1"/>
      <c r="H1831" s="1"/>
      <c r="I1831" s="1"/>
      <c r="J1831" s="1"/>
    </row>
    <row r="1832" ht="15.75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</row>
    <row r="1833" ht="15.75" customHeight="1">
      <c r="A1833" s="1"/>
      <c r="B1833" s="1"/>
      <c r="C1833" s="1"/>
      <c r="D1833" s="1"/>
      <c r="E1833" s="1"/>
      <c r="F1833" s="1"/>
      <c r="G1833" s="1"/>
      <c r="H1833" s="1"/>
      <c r="I1833" s="1"/>
      <c r="J1833" s="1"/>
    </row>
    <row r="1834" ht="15.75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</row>
    <row r="1835" ht="15.75" customHeight="1">
      <c r="A1835" s="1"/>
      <c r="B1835" s="1"/>
      <c r="C1835" s="1"/>
      <c r="D1835" s="1"/>
      <c r="E1835" s="1"/>
      <c r="F1835" s="1"/>
      <c r="G1835" s="1"/>
      <c r="H1835" s="1"/>
      <c r="I1835" s="1"/>
      <c r="J1835" s="1"/>
    </row>
    <row r="1836" ht="15.75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</row>
    <row r="1837" ht="15.75" customHeight="1">
      <c r="A1837" s="1"/>
      <c r="B1837" s="1"/>
      <c r="C1837" s="1"/>
      <c r="D1837" s="1"/>
      <c r="E1837" s="1"/>
      <c r="F1837" s="1"/>
      <c r="G1837" s="1"/>
      <c r="H1837" s="1"/>
      <c r="I1837" s="1"/>
      <c r="J1837" s="1"/>
    </row>
    <row r="1838" ht="15.75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</row>
    <row r="1839" ht="15.75" customHeight="1">
      <c r="A1839" s="1"/>
      <c r="B1839" s="1"/>
      <c r="C1839" s="1"/>
      <c r="D1839" s="1"/>
      <c r="E1839" s="1"/>
      <c r="F1839" s="1"/>
      <c r="G1839" s="1"/>
      <c r="H1839" s="1"/>
      <c r="I1839" s="1"/>
      <c r="J1839" s="1"/>
    </row>
    <row r="1840" ht="15.75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</row>
    <row r="1841" ht="15.75" customHeight="1">
      <c r="A1841" s="1"/>
      <c r="B1841" s="1"/>
      <c r="C1841" s="1"/>
      <c r="D1841" s="1"/>
      <c r="E1841" s="1"/>
      <c r="F1841" s="1"/>
      <c r="G1841" s="1"/>
      <c r="H1841" s="1"/>
      <c r="I1841" s="1"/>
      <c r="J1841" s="1"/>
    </row>
    <row r="1842" ht="15.75" customHeight="1">
      <c r="A1842" s="1"/>
      <c r="B1842" s="1"/>
      <c r="C1842" s="1"/>
      <c r="D1842" s="1"/>
      <c r="E1842" s="1"/>
      <c r="F1842" s="1"/>
      <c r="G1842" s="1"/>
      <c r="H1842" s="1"/>
      <c r="I1842" s="1"/>
      <c r="J1842" s="1"/>
    </row>
    <row r="1843" ht="15.75" customHeight="1">
      <c r="A1843" s="1"/>
      <c r="B1843" s="1"/>
      <c r="C1843" s="1"/>
      <c r="D1843" s="1"/>
      <c r="E1843" s="1"/>
      <c r="F1843" s="1"/>
      <c r="G1843" s="1"/>
      <c r="H1843" s="1"/>
      <c r="I1843" s="1"/>
      <c r="J1843" s="1"/>
    </row>
    <row r="1844" ht="15.75" customHeight="1">
      <c r="A1844" s="1"/>
      <c r="B1844" s="1"/>
      <c r="C1844" s="1"/>
      <c r="D1844" s="1"/>
      <c r="E1844" s="1"/>
      <c r="F1844" s="1"/>
      <c r="G1844" s="1"/>
      <c r="H1844" s="1"/>
      <c r="I1844" s="1"/>
      <c r="J1844" s="1"/>
    </row>
    <row r="1845" ht="15.75" customHeight="1">
      <c r="A1845" s="1"/>
      <c r="B1845" s="1"/>
      <c r="C1845" s="1"/>
      <c r="D1845" s="1"/>
      <c r="E1845" s="1"/>
      <c r="F1845" s="1"/>
      <c r="G1845" s="1"/>
      <c r="H1845" s="1"/>
      <c r="I1845" s="1"/>
      <c r="J1845" s="1"/>
    </row>
    <row r="1846" ht="15.75" customHeight="1">
      <c r="A1846" s="1"/>
      <c r="B1846" s="1"/>
      <c r="C1846" s="1"/>
      <c r="D1846" s="1"/>
      <c r="E1846" s="1"/>
      <c r="F1846" s="1"/>
      <c r="G1846" s="1"/>
      <c r="H1846" s="1"/>
      <c r="I1846" s="1"/>
      <c r="J1846" s="1"/>
    </row>
    <row r="1847" ht="15.75" customHeight="1">
      <c r="A1847" s="1"/>
      <c r="B1847" s="1"/>
      <c r="C1847" s="1"/>
      <c r="D1847" s="1"/>
      <c r="E1847" s="1"/>
      <c r="F1847" s="1"/>
      <c r="G1847" s="1"/>
      <c r="H1847" s="1"/>
      <c r="I1847" s="1"/>
      <c r="J1847" s="1"/>
    </row>
    <row r="1848" ht="15.75" customHeight="1">
      <c r="A1848" s="1"/>
      <c r="B1848" s="1"/>
      <c r="C1848" s="1"/>
      <c r="D1848" s="1"/>
      <c r="E1848" s="1"/>
      <c r="F1848" s="1"/>
      <c r="G1848" s="1"/>
      <c r="H1848" s="1"/>
      <c r="I1848" s="1"/>
      <c r="J1848" s="1"/>
    </row>
    <row r="1849" ht="15.75" customHeight="1">
      <c r="A1849" s="1"/>
      <c r="B1849" s="1"/>
      <c r="C1849" s="1"/>
      <c r="D1849" s="1"/>
      <c r="E1849" s="1"/>
      <c r="F1849" s="1"/>
      <c r="G1849" s="1"/>
      <c r="H1849" s="1"/>
      <c r="I1849" s="1"/>
      <c r="J1849" s="1"/>
    </row>
    <row r="1850" ht="15.75" customHeight="1">
      <c r="A1850" s="1"/>
      <c r="B1850" s="1"/>
      <c r="C1850" s="1"/>
      <c r="D1850" s="1"/>
      <c r="E1850" s="1"/>
      <c r="F1850" s="1"/>
      <c r="G1850" s="1"/>
      <c r="H1850" s="1"/>
      <c r="I1850" s="1"/>
      <c r="J1850" s="1"/>
    </row>
    <row r="1851" ht="15.75" customHeight="1">
      <c r="A1851" s="1"/>
      <c r="B1851" s="1"/>
      <c r="C1851" s="1"/>
      <c r="D1851" s="1"/>
      <c r="E1851" s="1"/>
      <c r="F1851" s="1"/>
      <c r="G1851" s="1"/>
      <c r="H1851" s="1"/>
      <c r="I1851" s="1"/>
      <c r="J1851" s="1"/>
    </row>
    <row r="1852" ht="15.75" customHeight="1">
      <c r="A1852" s="1"/>
      <c r="B1852" s="1"/>
      <c r="C1852" s="1"/>
      <c r="D1852" s="1"/>
      <c r="E1852" s="1"/>
      <c r="F1852" s="1"/>
      <c r="G1852" s="1"/>
      <c r="H1852" s="1"/>
      <c r="I1852" s="1"/>
      <c r="J1852" s="1"/>
    </row>
    <row r="1853" ht="15.75" customHeight="1">
      <c r="A1853" s="1"/>
      <c r="B1853" s="1"/>
      <c r="C1853" s="1"/>
      <c r="D1853" s="1"/>
      <c r="E1853" s="1"/>
      <c r="F1853" s="1"/>
      <c r="G1853" s="1"/>
      <c r="H1853" s="1"/>
      <c r="I1853" s="1"/>
      <c r="J1853" s="1"/>
    </row>
    <row r="1854" ht="15.75" customHeight="1">
      <c r="A1854" s="1"/>
      <c r="B1854" s="1"/>
      <c r="C1854" s="1"/>
      <c r="D1854" s="1"/>
      <c r="E1854" s="1"/>
      <c r="F1854" s="1"/>
      <c r="G1854" s="1"/>
      <c r="H1854" s="1"/>
      <c r="I1854" s="1"/>
      <c r="J1854" s="1"/>
    </row>
    <row r="1855" ht="15.75" customHeight="1">
      <c r="A1855" s="1"/>
      <c r="B1855" s="1"/>
      <c r="C1855" s="1"/>
      <c r="D1855" s="1"/>
      <c r="E1855" s="1"/>
      <c r="F1855" s="1"/>
      <c r="G1855" s="1"/>
      <c r="H1855" s="1"/>
      <c r="I1855" s="1"/>
      <c r="J1855" s="1"/>
    </row>
    <row r="1856" ht="15.75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</row>
    <row r="1857" ht="15.75" customHeight="1">
      <c r="A1857" s="1"/>
      <c r="B1857" s="1"/>
      <c r="C1857" s="1"/>
      <c r="D1857" s="1"/>
      <c r="E1857" s="1"/>
      <c r="F1857" s="1"/>
      <c r="G1857" s="1"/>
      <c r="H1857" s="1"/>
      <c r="I1857" s="1"/>
      <c r="J1857" s="1"/>
    </row>
    <row r="1858" ht="15.75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</row>
    <row r="1859" ht="15.75" customHeight="1">
      <c r="A1859" s="1"/>
      <c r="B1859" s="1"/>
      <c r="C1859" s="1"/>
      <c r="D1859" s="1"/>
      <c r="E1859" s="1"/>
      <c r="F1859" s="1"/>
      <c r="G1859" s="1"/>
      <c r="H1859" s="1"/>
      <c r="I1859" s="1"/>
      <c r="J1859" s="1"/>
    </row>
    <row r="1860" ht="15.75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</row>
    <row r="1861" ht="15.75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</row>
    <row r="1862" ht="15.75" customHeight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</row>
    <row r="1863" ht="15.75" customHeight="1">
      <c r="A1863" s="1"/>
      <c r="B1863" s="1"/>
      <c r="C1863" s="1"/>
      <c r="D1863" s="1"/>
      <c r="E1863" s="1"/>
      <c r="F1863" s="1"/>
      <c r="G1863" s="1"/>
      <c r="H1863" s="1"/>
      <c r="I1863" s="1"/>
      <c r="J1863" s="1"/>
    </row>
    <row r="1864" ht="15.75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</row>
    <row r="1865" ht="15.75" customHeight="1">
      <c r="A1865" s="1"/>
      <c r="B1865" s="1"/>
      <c r="C1865" s="1"/>
      <c r="D1865" s="1"/>
      <c r="E1865" s="1"/>
      <c r="F1865" s="1"/>
      <c r="G1865" s="1"/>
      <c r="H1865" s="1"/>
      <c r="I1865" s="1"/>
      <c r="J1865" s="1"/>
    </row>
    <row r="1866" ht="15.75" customHeight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</row>
    <row r="1867" ht="15.75" customHeight="1">
      <c r="A1867" s="1"/>
      <c r="B1867" s="1"/>
      <c r="C1867" s="1"/>
      <c r="D1867" s="1"/>
      <c r="E1867" s="1"/>
      <c r="F1867" s="1"/>
      <c r="G1867" s="1"/>
      <c r="H1867" s="1"/>
      <c r="I1867" s="1"/>
      <c r="J1867" s="1"/>
    </row>
    <row r="1868" ht="15.75" customHeight="1">
      <c r="A1868" s="1"/>
      <c r="B1868" s="1"/>
      <c r="C1868" s="1"/>
      <c r="D1868" s="1"/>
      <c r="E1868" s="1"/>
      <c r="F1868" s="1"/>
      <c r="G1868" s="1"/>
      <c r="H1868" s="1"/>
      <c r="I1868" s="1"/>
      <c r="J1868" s="1"/>
    </row>
    <row r="1869" ht="15.75" customHeight="1">
      <c r="A1869" s="1"/>
      <c r="B1869" s="1"/>
      <c r="C1869" s="1"/>
      <c r="D1869" s="1"/>
      <c r="E1869" s="1"/>
      <c r="F1869" s="1"/>
      <c r="G1869" s="1"/>
      <c r="H1869" s="1"/>
      <c r="I1869" s="1"/>
      <c r="J1869" s="1"/>
    </row>
    <row r="1870" ht="15.75" customHeight="1">
      <c r="A1870" s="1"/>
      <c r="B1870" s="1"/>
      <c r="C1870" s="1"/>
      <c r="D1870" s="1"/>
      <c r="E1870" s="1"/>
      <c r="F1870" s="1"/>
      <c r="G1870" s="1"/>
      <c r="H1870" s="1"/>
      <c r="I1870" s="1"/>
      <c r="J1870" s="1"/>
    </row>
    <row r="1871" ht="15.75" customHeight="1">
      <c r="A1871" s="1"/>
      <c r="B1871" s="1"/>
      <c r="C1871" s="1"/>
      <c r="D1871" s="1"/>
      <c r="E1871" s="1"/>
      <c r="F1871" s="1"/>
      <c r="G1871" s="1"/>
      <c r="H1871" s="1"/>
      <c r="I1871" s="1"/>
      <c r="J1871" s="1"/>
    </row>
    <row r="1872" ht="15.75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</row>
    <row r="1873" ht="15.75" customHeight="1">
      <c r="A1873" s="1"/>
      <c r="B1873" s="1"/>
      <c r="C1873" s="1"/>
      <c r="D1873" s="1"/>
      <c r="E1873" s="1"/>
      <c r="F1873" s="1"/>
      <c r="G1873" s="1"/>
      <c r="H1873" s="1"/>
      <c r="I1873" s="1"/>
      <c r="J1873" s="1"/>
    </row>
    <row r="1874" ht="15.75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</row>
    <row r="1875" ht="15.75" customHeight="1">
      <c r="A1875" s="1"/>
      <c r="B1875" s="1"/>
      <c r="C1875" s="1"/>
      <c r="D1875" s="1"/>
      <c r="E1875" s="1"/>
      <c r="F1875" s="1"/>
      <c r="G1875" s="1"/>
      <c r="H1875" s="1"/>
      <c r="I1875" s="1"/>
      <c r="J1875" s="1"/>
    </row>
    <row r="1876" ht="15.75" customHeight="1">
      <c r="A1876" s="1"/>
      <c r="B1876" s="1"/>
      <c r="C1876" s="1"/>
      <c r="D1876" s="1"/>
      <c r="E1876" s="1"/>
      <c r="F1876" s="1"/>
      <c r="G1876" s="1"/>
      <c r="H1876" s="1"/>
      <c r="I1876" s="1"/>
      <c r="J1876" s="1"/>
    </row>
    <row r="1877" ht="15.75" customHeight="1">
      <c r="A1877" s="1"/>
      <c r="B1877" s="1"/>
      <c r="C1877" s="1"/>
      <c r="D1877" s="1"/>
      <c r="E1877" s="1"/>
      <c r="F1877" s="1"/>
      <c r="G1877" s="1"/>
      <c r="H1877" s="1"/>
      <c r="I1877" s="1"/>
      <c r="J1877" s="1"/>
    </row>
    <row r="1878" ht="15.75" customHeight="1">
      <c r="A1878" s="1"/>
      <c r="B1878" s="1"/>
      <c r="C1878" s="1"/>
      <c r="D1878" s="1"/>
      <c r="E1878" s="1"/>
      <c r="F1878" s="1"/>
      <c r="G1878" s="1"/>
      <c r="H1878" s="1"/>
      <c r="I1878" s="1"/>
      <c r="J1878" s="1"/>
    </row>
    <row r="1879" ht="15.75" customHeight="1">
      <c r="A1879" s="1"/>
      <c r="B1879" s="1"/>
      <c r="C1879" s="1"/>
      <c r="D1879" s="1"/>
      <c r="E1879" s="1"/>
      <c r="F1879" s="1"/>
      <c r="G1879" s="1"/>
      <c r="H1879" s="1"/>
      <c r="I1879" s="1"/>
      <c r="J1879" s="1"/>
    </row>
    <row r="1880" ht="15.75" customHeight="1">
      <c r="A1880" s="1"/>
      <c r="B1880" s="1"/>
      <c r="C1880" s="1"/>
      <c r="D1880" s="1"/>
      <c r="E1880" s="1"/>
      <c r="F1880" s="1"/>
      <c r="G1880" s="1"/>
      <c r="H1880" s="1"/>
      <c r="I1880" s="1"/>
      <c r="J1880" s="1"/>
    </row>
    <row r="1881" ht="15.75" customHeight="1">
      <c r="A1881" s="1"/>
      <c r="B1881" s="1"/>
      <c r="C1881" s="1"/>
      <c r="D1881" s="1"/>
      <c r="E1881" s="1"/>
      <c r="F1881" s="1"/>
      <c r="G1881" s="1"/>
      <c r="H1881" s="1"/>
      <c r="I1881" s="1"/>
      <c r="J1881" s="1"/>
    </row>
    <row r="1882" ht="15.75" customHeight="1">
      <c r="A1882" s="1"/>
      <c r="B1882" s="1"/>
      <c r="C1882" s="1"/>
      <c r="D1882" s="1"/>
      <c r="E1882" s="1"/>
      <c r="F1882" s="1"/>
      <c r="G1882" s="1"/>
      <c r="H1882" s="1"/>
      <c r="I1882" s="1"/>
      <c r="J1882" s="1"/>
    </row>
    <row r="1883" ht="15.75" customHeight="1">
      <c r="A1883" s="1"/>
      <c r="B1883" s="1"/>
      <c r="C1883" s="1"/>
      <c r="D1883" s="1"/>
      <c r="E1883" s="1"/>
      <c r="F1883" s="1"/>
      <c r="G1883" s="1"/>
      <c r="H1883" s="1"/>
      <c r="I1883" s="1"/>
      <c r="J1883" s="1"/>
    </row>
    <row r="1884" ht="15.75" customHeight="1">
      <c r="A1884" s="1"/>
      <c r="B1884" s="1"/>
      <c r="C1884" s="1"/>
      <c r="D1884" s="1"/>
      <c r="E1884" s="1"/>
      <c r="F1884" s="1"/>
      <c r="G1884" s="1"/>
      <c r="H1884" s="1"/>
      <c r="I1884" s="1"/>
      <c r="J1884" s="1"/>
    </row>
    <row r="1885" ht="15.75" customHeight="1">
      <c r="A1885" s="1"/>
      <c r="B1885" s="1"/>
      <c r="C1885" s="1"/>
      <c r="D1885" s="1"/>
      <c r="E1885" s="1"/>
      <c r="F1885" s="1"/>
      <c r="G1885" s="1"/>
      <c r="H1885" s="1"/>
      <c r="I1885" s="1"/>
      <c r="J1885" s="1"/>
    </row>
    <row r="1886" ht="15.75" customHeight="1">
      <c r="A1886" s="1"/>
      <c r="B1886" s="1"/>
      <c r="C1886" s="1"/>
      <c r="D1886" s="1"/>
      <c r="E1886" s="1"/>
      <c r="F1886" s="1"/>
      <c r="G1886" s="1"/>
      <c r="H1886" s="1"/>
      <c r="I1886" s="1"/>
      <c r="J1886" s="1"/>
    </row>
    <row r="1887" ht="15.75" customHeight="1">
      <c r="A1887" s="1"/>
      <c r="B1887" s="1"/>
      <c r="C1887" s="1"/>
      <c r="D1887" s="1"/>
      <c r="E1887" s="1"/>
      <c r="F1887" s="1"/>
      <c r="G1887" s="1"/>
      <c r="H1887" s="1"/>
      <c r="I1887" s="1"/>
      <c r="J1887" s="1"/>
    </row>
    <row r="1888" ht="15.75" customHeight="1">
      <c r="A1888" s="1"/>
      <c r="B1888" s="1"/>
      <c r="C1888" s="1"/>
      <c r="D1888" s="1"/>
      <c r="E1888" s="1"/>
      <c r="F1888" s="1"/>
      <c r="G1888" s="1"/>
      <c r="H1888" s="1"/>
      <c r="I1888" s="1"/>
      <c r="J1888" s="1"/>
    </row>
    <row r="1889" ht="15.75" customHeight="1">
      <c r="A1889" s="1"/>
      <c r="B1889" s="1"/>
      <c r="C1889" s="1"/>
      <c r="D1889" s="1"/>
      <c r="E1889" s="1"/>
      <c r="F1889" s="1"/>
      <c r="G1889" s="1"/>
      <c r="H1889" s="1"/>
      <c r="I1889" s="1"/>
      <c r="J1889" s="1"/>
    </row>
    <row r="1890" ht="15.75" customHeight="1">
      <c r="A1890" s="1"/>
      <c r="B1890" s="1"/>
      <c r="C1890" s="1"/>
      <c r="D1890" s="1"/>
      <c r="E1890" s="1"/>
      <c r="F1890" s="1"/>
      <c r="G1890" s="1"/>
      <c r="H1890" s="1"/>
      <c r="I1890" s="1"/>
      <c r="J1890" s="1"/>
    </row>
    <row r="1891" ht="15.75" customHeight="1">
      <c r="A1891" s="1"/>
      <c r="B1891" s="1"/>
      <c r="C1891" s="1"/>
      <c r="D1891" s="1"/>
      <c r="E1891" s="1"/>
      <c r="F1891" s="1"/>
      <c r="G1891" s="1"/>
      <c r="H1891" s="1"/>
      <c r="I1891" s="1"/>
      <c r="J1891" s="1"/>
    </row>
    <row r="1892" ht="15.75" customHeight="1">
      <c r="A1892" s="1"/>
      <c r="B1892" s="1"/>
      <c r="C1892" s="1"/>
      <c r="D1892" s="1"/>
      <c r="E1892" s="1"/>
      <c r="F1892" s="1"/>
      <c r="G1892" s="1"/>
      <c r="H1892" s="1"/>
      <c r="I1892" s="1"/>
      <c r="J1892" s="1"/>
    </row>
    <row r="1893" ht="15.75" customHeight="1">
      <c r="A1893" s="1"/>
      <c r="B1893" s="1"/>
      <c r="C1893" s="1"/>
      <c r="D1893" s="1"/>
      <c r="E1893" s="1"/>
      <c r="F1893" s="1"/>
      <c r="G1893" s="1"/>
      <c r="H1893" s="1"/>
      <c r="I1893" s="1"/>
      <c r="J1893" s="1"/>
    </row>
    <row r="1894" ht="15.75" customHeight="1">
      <c r="A1894" s="1"/>
      <c r="B1894" s="1"/>
      <c r="C1894" s="1"/>
      <c r="D1894" s="1"/>
      <c r="E1894" s="1"/>
      <c r="F1894" s="1"/>
      <c r="G1894" s="1"/>
      <c r="H1894" s="1"/>
      <c r="I1894" s="1"/>
      <c r="J1894" s="1"/>
    </row>
    <row r="1895" ht="15.75" customHeight="1">
      <c r="A1895" s="1"/>
      <c r="B1895" s="1"/>
      <c r="C1895" s="1"/>
      <c r="D1895" s="1"/>
      <c r="E1895" s="1"/>
      <c r="F1895" s="1"/>
      <c r="G1895" s="1"/>
      <c r="H1895" s="1"/>
      <c r="I1895" s="1"/>
      <c r="J1895" s="1"/>
    </row>
    <row r="1896" ht="15.75" customHeight="1">
      <c r="A1896" s="1"/>
      <c r="B1896" s="1"/>
      <c r="C1896" s="1"/>
      <c r="D1896" s="1"/>
      <c r="E1896" s="1"/>
      <c r="F1896" s="1"/>
      <c r="G1896" s="1"/>
      <c r="H1896" s="1"/>
      <c r="I1896" s="1"/>
      <c r="J1896" s="1"/>
    </row>
    <row r="1897" ht="15.75" customHeight="1">
      <c r="A1897" s="1"/>
      <c r="B1897" s="1"/>
      <c r="C1897" s="1"/>
      <c r="D1897" s="1"/>
      <c r="E1897" s="1"/>
      <c r="F1897" s="1"/>
      <c r="G1897" s="1"/>
      <c r="H1897" s="1"/>
      <c r="I1897" s="1"/>
      <c r="J1897" s="1"/>
    </row>
    <row r="1898" ht="15.75" customHeight="1">
      <c r="A1898" s="1"/>
      <c r="B1898" s="1"/>
      <c r="C1898" s="1"/>
      <c r="D1898" s="1"/>
      <c r="E1898" s="1"/>
      <c r="F1898" s="1"/>
      <c r="G1898" s="1"/>
      <c r="H1898" s="1"/>
      <c r="I1898" s="1"/>
      <c r="J1898" s="1"/>
    </row>
    <row r="1899" ht="15.75" customHeight="1">
      <c r="A1899" s="1"/>
      <c r="B1899" s="1"/>
      <c r="C1899" s="1"/>
      <c r="D1899" s="1"/>
      <c r="E1899" s="1"/>
      <c r="F1899" s="1"/>
      <c r="G1899" s="1"/>
      <c r="H1899" s="1"/>
      <c r="I1899" s="1"/>
      <c r="J1899" s="1"/>
    </row>
    <row r="1900" ht="15.75" customHeight="1">
      <c r="A1900" s="1"/>
      <c r="B1900" s="1"/>
      <c r="C1900" s="1"/>
      <c r="D1900" s="1"/>
      <c r="E1900" s="1"/>
      <c r="F1900" s="1"/>
      <c r="G1900" s="1"/>
      <c r="H1900" s="1"/>
      <c r="I1900" s="1"/>
      <c r="J1900" s="1"/>
    </row>
    <row r="1901" ht="15.75" customHeight="1">
      <c r="A1901" s="1"/>
      <c r="B1901" s="1"/>
      <c r="C1901" s="1"/>
      <c r="D1901" s="1"/>
      <c r="E1901" s="1"/>
      <c r="F1901" s="1"/>
      <c r="G1901" s="1"/>
      <c r="H1901" s="1"/>
      <c r="I1901" s="1"/>
      <c r="J1901" s="1"/>
    </row>
    <row r="1902" ht="15.75" customHeight="1">
      <c r="A1902" s="1"/>
      <c r="B1902" s="1"/>
      <c r="C1902" s="1"/>
      <c r="D1902" s="1"/>
      <c r="E1902" s="1"/>
      <c r="F1902" s="1"/>
      <c r="G1902" s="1"/>
      <c r="H1902" s="1"/>
      <c r="I1902" s="1"/>
      <c r="J1902" s="1"/>
    </row>
    <row r="1903" ht="15.75" customHeight="1">
      <c r="A1903" s="1"/>
      <c r="B1903" s="1"/>
      <c r="C1903" s="1"/>
      <c r="D1903" s="1"/>
      <c r="E1903" s="1"/>
      <c r="F1903" s="1"/>
      <c r="G1903" s="1"/>
      <c r="H1903" s="1"/>
      <c r="I1903" s="1"/>
      <c r="J1903" s="1"/>
    </row>
    <row r="1904" ht="15.75" customHeight="1">
      <c r="A1904" s="1"/>
      <c r="B1904" s="1"/>
      <c r="C1904" s="1"/>
      <c r="D1904" s="1"/>
      <c r="E1904" s="1"/>
      <c r="F1904" s="1"/>
      <c r="G1904" s="1"/>
      <c r="H1904" s="1"/>
      <c r="I1904" s="1"/>
      <c r="J1904" s="1"/>
    </row>
    <row r="1905" ht="15.75" customHeight="1">
      <c r="A1905" s="1"/>
      <c r="B1905" s="1"/>
      <c r="C1905" s="1"/>
      <c r="D1905" s="1"/>
      <c r="E1905" s="1"/>
      <c r="F1905" s="1"/>
      <c r="G1905" s="1"/>
      <c r="H1905" s="1"/>
      <c r="I1905" s="1"/>
      <c r="J1905" s="1"/>
    </row>
    <row r="1906" ht="15.75" customHeight="1">
      <c r="A1906" s="1"/>
      <c r="B1906" s="1"/>
      <c r="C1906" s="1"/>
      <c r="D1906" s="1"/>
      <c r="E1906" s="1"/>
      <c r="F1906" s="1"/>
      <c r="G1906" s="1"/>
      <c r="H1906" s="1"/>
      <c r="I1906" s="1"/>
      <c r="J1906" s="1"/>
    </row>
    <row r="1907" ht="15.75" customHeight="1">
      <c r="A1907" s="1"/>
      <c r="B1907" s="1"/>
      <c r="C1907" s="1"/>
      <c r="D1907" s="1"/>
      <c r="E1907" s="1"/>
      <c r="F1907" s="1"/>
      <c r="G1907" s="1"/>
      <c r="H1907" s="1"/>
      <c r="I1907" s="1"/>
      <c r="J1907" s="1"/>
    </row>
    <row r="1908" ht="15.75" customHeight="1">
      <c r="A1908" s="1"/>
      <c r="B1908" s="1"/>
      <c r="C1908" s="1"/>
      <c r="D1908" s="1"/>
      <c r="E1908" s="1"/>
      <c r="F1908" s="1"/>
      <c r="G1908" s="1"/>
      <c r="H1908" s="1"/>
      <c r="I1908" s="1"/>
      <c r="J1908" s="1"/>
    </row>
    <row r="1909" ht="15.75" customHeight="1">
      <c r="A1909" s="1"/>
      <c r="B1909" s="1"/>
      <c r="C1909" s="1"/>
      <c r="D1909" s="1"/>
      <c r="E1909" s="1"/>
      <c r="F1909" s="1"/>
      <c r="G1909" s="1"/>
      <c r="H1909" s="1"/>
      <c r="I1909" s="1"/>
      <c r="J1909" s="1"/>
    </row>
    <row r="1910" ht="15.75" customHeight="1">
      <c r="A1910" s="1"/>
      <c r="B1910" s="1"/>
      <c r="C1910" s="1"/>
      <c r="D1910" s="1"/>
      <c r="E1910" s="1"/>
      <c r="F1910" s="1"/>
      <c r="G1910" s="1"/>
      <c r="H1910" s="1"/>
      <c r="I1910" s="1"/>
      <c r="J1910" s="1"/>
    </row>
    <row r="1911" ht="15.75" customHeight="1">
      <c r="A1911" s="1"/>
      <c r="B1911" s="1"/>
      <c r="C1911" s="1"/>
      <c r="D1911" s="1"/>
      <c r="E1911" s="1"/>
      <c r="F1911" s="1"/>
      <c r="G1911" s="1"/>
      <c r="H1911" s="1"/>
      <c r="I1911" s="1"/>
      <c r="J1911" s="1"/>
    </row>
    <row r="1912" ht="15.75" customHeight="1">
      <c r="A1912" s="1"/>
      <c r="B1912" s="1"/>
      <c r="C1912" s="1"/>
      <c r="D1912" s="1"/>
      <c r="E1912" s="1"/>
      <c r="F1912" s="1"/>
      <c r="G1912" s="1"/>
      <c r="H1912" s="1"/>
      <c r="I1912" s="1"/>
      <c r="J1912" s="1"/>
    </row>
    <row r="1913" ht="15.75" customHeight="1">
      <c r="A1913" s="1"/>
      <c r="B1913" s="1"/>
      <c r="C1913" s="1"/>
      <c r="D1913" s="1"/>
      <c r="E1913" s="1"/>
      <c r="F1913" s="1"/>
      <c r="G1913" s="1"/>
      <c r="H1913" s="1"/>
      <c r="I1913" s="1"/>
      <c r="J1913" s="1"/>
    </row>
    <row r="1914" ht="15.75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</row>
    <row r="1915" ht="15.75" customHeight="1">
      <c r="A1915" s="1"/>
      <c r="B1915" s="1"/>
      <c r="C1915" s="1"/>
      <c r="D1915" s="1"/>
      <c r="E1915" s="1"/>
      <c r="F1915" s="1"/>
      <c r="G1915" s="1"/>
      <c r="H1915" s="1"/>
      <c r="I1915" s="1"/>
      <c r="J1915" s="1"/>
    </row>
    <row r="1916" ht="15.75" customHeight="1">
      <c r="A1916" s="1"/>
      <c r="B1916" s="1"/>
      <c r="C1916" s="1"/>
      <c r="D1916" s="1"/>
      <c r="E1916" s="1"/>
      <c r="F1916" s="1"/>
      <c r="G1916" s="1"/>
      <c r="H1916" s="1"/>
      <c r="I1916" s="1"/>
      <c r="J1916" s="1"/>
    </row>
    <row r="1917" ht="15.75" customHeight="1">
      <c r="A1917" s="1"/>
      <c r="B1917" s="1"/>
      <c r="C1917" s="1"/>
      <c r="D1917" s="1"/>
      <c r="E1917" s="1"/>
      <c r="F1917" s="1"/>
      <c r="G1917" s="1"/>
      <c r="H1917" s="1"/>
      <c r="I1917" s="1"/>
      <c r="J1917" s="1"/>
    </row>
    <row r="1918" ht="15.75" customHeight="1">
      <c r="A1918" s="1"/>
      <c r="B1918" s="1"/>
      <c r="C1918" s="1"/>
      <c r="D1918" s="1"/>
      <c r="E1918" s="1"/>
      <c r="F1918" s="1"/>
      <c r="G1918" s="1"/>
      <c r="H1918" s="1"/>
      <c r="I1918" s="1"/>
      <c r="J1918" s="1"/>
    </row>
    <row r="1919" ht="15.75" customHeight="1">
      <c r="A1919" s="1"/>
      <c r="B1919" s="1"/>
      <c r="C1919" s="1"/>
      <c r="D1919" s="1"/>
      <c r="E1919" s="1"/>
      <c r="F1919" s="1"/>
      <c r="G1919" s="1"/>
      <c r="H1919" s="1"/>
      <c r="I1919" s="1"/>
      <c r="J1919" s="1"/>
    </row>
    <row r="1920" ht="15.75" customHeight="1">
      <c r="A1920" s="1"/>
      <c r="B1920" s="1"/>
      <c r="C1920" s="1"/>
      <c r="D1920" s="1"/>
      <c r="E1920" s="1"/>
      <c r="F1920" s="1"/>
      <c r="G1920" s="1"/>
      <c r="H1920" s="1"/>
      <c r="I1920" s="1"/>
      <c r="J1920" s="1"/>
    </row>
    <row r="1921" ht="15.75" customHeight="1">
      <c r="A1921" s="1"/>
      <c r="B1921" s="1"/>
      <c r="C1921" s="1"/>
      <c r="D1921" s="1"/>
      <c r="E1921" s="1"/>
      <c r="F1921" s="1"/>
      <c r="G1921" s="1"/>
      <c r="H1921" s="1"/>
      <c r="I1921" s="1"/>
      <c r="J1921" s="1"/>
    </row>
    <row r="1922" ht="15.75" customHeight="1">
      <c r="A1922" s="1"/>
      <c r="B1922" s="1"/>
      <c r="C1922" s="1"/>
      <c r="D1922" s="1"/>
      <c r="E1922" s="1"/>
      <c r="F1922" s="1"/>
      <c r="G1922" s="1"/>
      <c r="H1922" s="1"/>
      <c r="I1922" s="1"/>
      <c r="J1922" s="1"/>
    </row>
    <row r="1923" ht="15.75" customHeight="1">
      <c r="A1923" s="1"/>
      <c r="B1923" s="1"/>
      <c r="C1923" s="1"/>
      <c r="D1923" s="1"/>
      <c r="E1923" s="1"/>
      <c r="F1923" s="1"/>
      <c r="G1923" s="1"/>
      <c r="H1923" s="1"/>
      <c r="I1923" s="1"/>
      <c r="J1923" s="1"/>
    </row>
    <row r="1924" ht="15.75" customHeight="1">
      <c r="A1924" s="1"/>
      <c r="B1924" s="1"/>
      <c r="C1924" s="1"/>
      <c r="D1924" s="1"/>
      <c r="E1924" s="1"/>
      <c r="F1924" s="1"/>
      <c r="G1924" s="1"/>
      <c r="H1924" s="1"/>
      <c r="I1924" s="1"/>
      <c r="J1924" s="1"/>
    </row>
    <row r="1925" ht="15.75" customHeight="1">
      <c r="A1925" s="1"/>
      <c r="B1925" s="1"/>
      <c r="C1925" s="1"/>
      <c r="D1925" s="1"/>
      <c r="E1925" s="1"/>
      <c r="F1925" s="1"/>
      <c r="G1925" s="1"/>
      <c r="H1925" s="1"/>
      <c r="I1925" s="1"/>
      <c r="J1925" s="1"/>
    </row>
    <row r="1926" ht="15.75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</row>
    <row r="1927" ht="15.75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</row>
    <row r="1928" ht="15.75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</row>
    <row r="1929" ht="15.75" customHeight="1">
      <c r="A1929" s="1"/>
      <c r="B1929" s="1"/>
      <c r="C1929" s="1"/>
      <c r="D1929" s="1"/>
      <c r="E1929" s="1"/>
      <c r="F1929" s="1"/>
      <c r="G1929" s="1"/>
      <c r="H1929" s="1"/>
      <c r="I1929" s="1"/>
      <c r="J1929" s="1"/>
    </row>
    <row r="1930" ht="15.75" customHeight="1">
      <c r="A1930" s="1"/>
      <c r="B1930" s="1"/>
      <c r="C1930" s="1"/>
      <c r="D1930" s="1"/>
      <c r="E1930" s="1"/>
      <c r="F1930" s="1"/>
      <c r="G1930" s="1"/>
      <c r="H1930" s="1"/>
      <c r="I1930" s="1"/>
      <c r="J1930" s="1"/>
    </row>
    <row r="1931" ht="15.75" customHeight="1">
      <c r="A1931" s="1"/>
      <c r="B1931" s="1"/>
      <c r="C1931" s="1"/>
      <c r="D1931" s="1"/>
      <c r="E1931" s="1"/>
      <c r="F1931" s="1"/>
      <c r="G1931" s="1"/>
      <c r="H1931" s="1"/>
      <c r="I1931" s="1"/>
      <c r="J1931" s="1"/>
    </row>
    <row r="1932" ht="15.75" customHeight="1">
      <c r="A1932" s="1"/>
      <c r="B1932" s="1"/>
      <c r="C1932" s="1"/>
      <c r="D1932" s="1"/>
      <c r="E1932" s="1"/>
      <c r="F1932" s="1"/>
      <c r="G1932" s="1"/>
      <c r="H1932" s="1"/>
      <c r="I1932" s="1"/>
      <c r="J1932" s="1"/>
    </row>
    <row r="1933" ht="15.75" customHeight="1">
      <c r="A1933" s="1"/>
      <c r="B1933" s="1"/>
      <c r="C1933" s="1"/>
      <c r="D1933" s="1"/>
      <c r="E1933" s="1"/>
      <c r="F1933" s="1"/>
      <c r="G1933" s="1"/>
      <c r="H1933" s="1"/>
      <c r="I1933" s="1"/>
      <c r="J1933" s="1"/>
    </row>
    <row r="1934" ht="15.75" customHeight="1">
      <c r="A1934" s="1"/>
      <c r="B1934" s="1"/>
      <c r="C1934" s="1"/>
      <c r="D1934" s="1"/>
      <c r="E1934" s="1"/>
      <c r="F1934" s="1"/>
      <c r="G1934" s="1"/>
      <c r="H1934" s="1"/>
      <c r="I1934" s="1"/>
      <c r="J1934" s="1"/>
    </row>
    <row r="1935" ht="15.75" customHeight="1">
      <c r="A1935" s="1"/>
      <c r="B1935" s="1"/>
      <c r="C1935" s="1"/>
      <c r="D1935" s="1"/>
      <c r="E1935" s="1"/>
      <c r="F1935" s="1"/>
      <c r="G1935" s="1"/>
      <c r="H1935" s="1"/>
      <c r="I1935" s="1"/>
      <c r="J1935" s="1"/>
    </row>
    <row r="1936" ht="15.75" customHeight="1">
      <c r="A1936" s="1"/>
      <c r="B1936" s="1"/>
      <c r="C1936" s="1"/>
      <c r="D1936" s="1"/>
      <c r="E1936" s="1"/>
      <c r="F1936" s="1"/>
      <c r="G1936" s="1"/>
      <c r="H1936" s="1"/>
      <c r="I1936" s="1"/>
      <c r="J1936" s="1"/>
    </row>
    <row r="1937" ht="15.75" customHeight="1">
      <c r="A1937" s="1"/>
      <c r="B1937" s="1"/>
      <c r="C1937" s="1"/>
      <c r="D1937" s="1"/>
      <c r="E1937" s="1"/>
      <c r="F1937" s="1"/>
      <c r="G1937" s="1"/>
      <c r="H1937" s="1"/>
      <c r="I1937" s="1"/>
      <c r="J1937" s="1"/>
    </row>
    <row r="1938" ht="15.75" customHeight="1">
      <c r="A1938" s="1"/>
      <c r="B1938" s="1"/>
      <c r="C1938" s="1"/>
      <c r="D1938" s="1"/>
      <c r="E1938" s="1"/>
      <c r="F1938" s="1"/>
      <c r="G1938" s="1"/>
      <c r="H1938" s="1"/>
      <c r="I1938" s="1"/>
      <c r="J1938" s="1"/>
    </row>
    <row r="1939" ht="15.75" customHeight="1">
      <c r="A1939" s="1"/>
      <c r="B1939" s="1"/>
      <c r="C1939" s="1"/>
      <c r="D1939" s="1"/>
      <c r="E1939" s="1"/>
      <c r="F1939" s="1"/>
      <c r="G1939" s="1"/>
      <c r="H1939" s="1"/>
      <c r="I1939" s="1"/>
      <c r="J1939" s="1"/>
    </row>
    <row r="1940" ht="15.75" customHeight="1">
      <c r="A1940" s="1"/>
      <c r="B1940" s="1"/>
      <c r="C1940" s="1"/>
      <c r="D1940" s="1"/>
      <c r="E1940" s="1"/>
      <c r="F1940" s="1"/>
      <c r="G1940" s="1"/>
      <c r="H1940" s="1"/>
      <c r="I1940" s="1"/>
      <c r="J1940" s="1"/>
    </row>
    <row r="1941" ht="15.75" customHeight="1">
      <c r="A1941" s="1"/>
      <c r="B1941" s="1"/>
      <c r="C1941" s="1"/>
      <c r="D1941" s="1"/>
      <c r="E1941" s="1"/>
      <c r="F1941" s="1"/>
      <c r="G1941" s="1"/>
      <c r="H1941" s="1"/>
      <c r="I1941" s="1"/>
      <c r="J1941" s="1"/>
    </row>
    <row r="1942" ht="15.75" customHeight="1">
      <c r="A1942" s="1"/>
      <c r="B1942" s="1"/>
      <c r="C1942" s="1"/>
      <c r="D1942" s="1"/>
      <c r="E1942" s="1"/>
      <c r="F1942" s="1"/>
      <c r="G1942" s="1"/>
      <c r="H1942" s="1"/>
      <c r="I1942" s="1"/>
      <c r="J1942" s="1"/>
    </row>
    <row r="1943" ht="15.75" customHeight="1">
      <c r="A1943" s="1"/>
      <c r="B1943" s="1"/>
      <c r="C1943" s="1"/>
      <c r="D1943" s="1"/>
      <c r="E1943" s="1"/>
      <c r="F1943" s="1"/>
      <c r="G1943" s="1"/>
      <c r="H1943" s="1"/>
      <c r="I1943" s="1"/>
      <c r="J1943" s="1"/>
    </row>
    <row r="1944" ht="15.75" customHeight="1">
      <c r="A1944" s="1"/>
      <c r="B1944" s="1"/>
      <c r="C1944" s="1"/>
      <c r="D1944" s="1"/>
      <c r="E1944" s="1"/>
      <c r="F1944" s="1"/>
      <c r="G1944" s="1"/>
      <c r="H1944" s="1"/>
      <c r="I1944" s="1"/>
      <c r="J1944" s="1"/>
    </row>
    <row r="1945" ht="15.75" customHeight="1">
      <c r="A1945" s="1"/>
      <c r="B1945" s="1"/>
      <c r="C1945" s="1"/>
      <c r="D1945" s="1"/>
      <c r="E1945" s="1"/>
      <c r="F1945" s="1"/>
      <c r="G1945" s="1"/>
      <c r="H1945" s="1"/>
      <c r="I1945" s="1"/>
      <c r="J1945" s="1"/>
    </row>
    <row r="1946" ht="15.75" customHeight="1">
      <c r="A1946" s="1"/>
      <c r="B1946" s="1"/>
      <c r="C1946" s="1"/>
      <c r="D1946" s="1"/>
      <c r="E1946" s="1"/>
      <c r="F1946" s="1"/>
      <c r="G1946" s="1"/>
      <c r="H1946" s="1"/>
      <c r="I1946" s="1"/>
      <c r="J1946" s="1"/>
    </row>
    <row r="1947" ht="15.75" customHeight="1">
      <c r="A1947" s="1"/>
      <c r="B1947" s="1"/>
      <c r="C1947" s="1"/>
      <c r="D1947" s="1"/>
      <c r="E1947" s="1"/>
      <c r="F1947" s="1"/>
      <c r="G1947" s="1"/>
      <c r="H1947" s="1"/>
      <c r="I1947" s="1"/>
      <c r="J1947" s="1"/>
    </row>
    <row r="1948" ht="15.75" customHeight="1">
      <c r="A1948" s="1"/>
      <c r="B1948" s="1"/>
      <c r="C1948" s="1"/>
      <c r="D1948" s="1"/>
      <c r="E1948" s="1"/>
      <c r="F1948" s="1"/>
      <c r="G1948" s="1"/>
      <c r="H1948" s="1"/>
      <c r="I1948" s="1"/>
      <c r="J1948" s="1"/>
    </row>
    <row r="1949" ht="15.75" customHeight="1">
      <c r="A1949" s="1"/>
      <c r="B1949" s="1"/>
      <c r="C1949" s="1"/>
      <c r="D1949" s="1"/>
      <c r="E1949" s="1"/>
      <c r="F1949" s="1"/>
      <c r="G1949" s="1"/>
      <c r="H1949" s="1"/>
      <c r="I1949" s="1"/>
      <c r="J1949" s="1"/>
    </row>
    <row r="1950" ht="15.75" customHeight="1">
      <c r="A1950" s="1"/>
      <c r="B1950" s="1"/>
      <c r="C1950" s="1"/>
      <c r="D1950" s="1"/>
      <c r="E1950" s="1"/>
      <c r="F1950" s="1"/>
      <c r="G1950" s="1"/>
      <c r="H1950" s="1"/>
      <c r="I1950" s="1"/>
      <c r="J1950" s="1"/>
    </row>
    <row r="1951" ht="15.75" customHeight="1">
      <c r="A1951" s="1"/>
      <c r="B1951" s="1"/>
      <c r="C1951" s="1"/>
      <c r="D1951" s="1"/>
      <c r="E1951" s="1"/>
      <c r="F1951" s="1"/>
      <c r="G1951" s="1"/>
      <c r="H1951" s="1"/>
      <c r="I1951" s="1"/>
      <c r="J1951" s="1"/>
    </row>
    <row r="1952" ht="15.75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</row>
    <row r="1953" ht="15.75" customHeight="1">
      <c r="A1953" s="1"/>
      <c r="B1953" s="1"/>
      <c r="C1953" s="1"/>
      <c r="D1953" s="1"/>
      <c r="E1953" s="1"/>
      <c r="F1953" s="1"/>
      <c r="G1953" s="1"/>
      <c r="H1953" s="1"/>
      <c r="I1953" s="1"/>
      <c r="J1953" s="1"/>
    </row>
    <row r="1954" ht="15.75" customHeight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</row>
    <row r="1955" ht="15.75" customHeight="1">
      <c r="A1955" s="1"/>
      <c r="B1955" s="1"/>
      <c r="C1955" s="1"/>
      <c r="D1955" s="1"/>
      <c r="E1955" s="1"/>
      <c r="F1955" s="1"/>
      <c r="G1955" s="1"/>
      <c r="H1955" s="1"/>
      <c r="I1955" s="1"/>
      <c r="J1955" s="1"/>
    </row>
    <row r="1956" ht="15.75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</row>
    <row r="1957" ht="15.75" customHeight="1">
      <c r="A1957" s="1"/>
      <c r="B1957" s="1"/>
      <c r="C1957" s="1"/>
      <c r="D1957" s="1"/>
      <c r="E1957" s="1"/>
      <c r="F1957" s="1"/>
      <c r="G1957" s="1"/>
      <c r="H1957" s="1"/>
      <c r="I1957" s="1"/>
      <c r="J1957" s="1"/>
    </row>
    <row r="1958" ht="15.75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</row>
    <row r="1959" ht="15.75" customHeight="1">
      <c r="A1959" s="1"/>
      <c r="B1959" s="1"/>
      <c r="C1959" s="1"/>
      <c r="D1959" s="1"/>
      <c r="E1959" s="1"/>
      <c r="F1959" s="1"/>
      <c r="G1959" s="1"/>
      <c r="H1959" s="1"/>
      <c r="I1959" s="1"/>
      <c r="J1959" s="1"/>
    </row>
    <row r="1960" ht="15.75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</row>
    <row r="1961" ht="15.75" customHeight="1">
      <c r="A1961" s="1"/>
      <c r="B1961" s="1"/>
      <c r="C1961" s="1"/>
      <c r="D1961" s="1"/>
      <c r="E1961" s="1"/>
      <c r="F1961" s="1"/>
      <c r="G1961" s="1"/>
      <c r="H1961" s="1"/>
      <c r="I1961" s="1"/>
      <c r="J1961" s="1"/>
    </row>
    <row r="1962" ht="15.75" customHeight="1">
      <c r="A1962" s="1"/>
      <c r="B1962" s="1"/>
      <c r="C1962" s="1"/>
      <c r="D1962" s="1"/>
      <c r="E1962" s="1"/>
      <c r="F1962" s="1"/>
      <c r="G1962" s="1"/>
      <c r="H1962" s="1"/>
      <c r="I1962" s="1"/>
      <c r="J1962" s="1"/>
    </row>
    <row r="1963" ht="15.75" customHeight="1">
      <c r="A1963" s="1"/>
      <c r="B1963" s="1"/>
      <c r="C1963" s="1"/>
      <c r="D1963" s="1"/>
      <c r="E1963" s="1"/>
      <c r="F1963" s="1"/>
      <c r="G1963" s="1"/>
      <c r="H1963" s="1"/>
      <c r="I1963" s="1"/>
      <c r="J1963" s="1"/>
    </row>
    <row r="1964" ht="15.75" customHeight="1">
      <c r="A1964" s="1"/>
      <c r="B1964" s="1"/>
      <c r="C1964" s="1"/>
      <c r="D1964" s="1"/>
      <c r="E1964" s="1"/>
      <c r="F1964" s="1"/>
      <c r="G1964" s="1"/>
      <c r="H1964" s="1"/>
      <c r="I1964" s="1"/>
      <c r="J1964" s="1"/>
    </row>
    <row r="1965" ht="15.75" customHeight="1">
      <c r="A1965" s="1"/>
      <c r="B1965" s="1"/>
      <c r="C1965" s="1"/>
      <c r="D1965" s="1"/>
      <c r="E1965" s="1"/>
      <c r="F1965" s="1"/>
      <c r="G1965" s="1"/>
      <c r="H1965" s="1"/>
      <c r="I1965" s="1"/>
      <c r="J1965" s="1"/>
    </row>
    <row r="1966" ht="15.75" customHeight="1">
      <c r="A1966" s="1"/>
      <c r="B1966" s="1"/>
      <c r="C1966" s="1"/>
      <c r="D1966" s="1"/>
      <c r="E1966" s="1"/>
      <c r="F1966" s="1"/>
      <c r="G1966" s="1"/>
      <c r="H1966" s="1"/>
      <c r="I1966" s="1"/>
      <c r="J1966" s="1"/>
    </row>
    <row r="1967" ht="15.75" customHeight="1">
      <c r="A1967" s="1"/>
      <c r="B1967" s="1"/>
      <c r="C1967" s="1"/>
      <c r="D1967" s="1"/>
      <c r="E1967" s="1"/>
      <c r="F1967" s="1"/>
      <c r="G1967" s="1"/>
      <c r="H1967" s="1"/>
      <c r="I1967" s="1"/>
      <c r="J1967" s="1"/>
    </row>
    <row r="1968" ht="15.75" customHeight="1">
      <c r="A1968" s="1"/>
      <c r="B1968" s="1"/>
      <c r="C1968" s="1"/>
      <c r="D1968" s="1"/>
      <c r="E1968" s="1"/>
      <c r="F1968" s="1"/>
      <c r="G1968" s="1"/>
      <c r="H1968" s="1"/>
      <c r="I1968" s="1"/>
      <c r="J1968" s="1"/>
    </row>
    <row r="1969" ht="15.75" customHeight="1">
      <c r="A1969" s="1"/>
      <c r="B1969" s="1"/>
      <c r="C1969" s="1"/>
      <c r="D1969" s="1"/>
      <c r="E1969" s="1"/>
      <c r="F1969" s="1"/>
      <c r="G1969" s="1"/>
      <c r="H1969" s="1"/>
      <c r="I1969" s="1"/>
      <c r="J1969" s="1"/>
    </row>
    <row r="1970" ht="15.75" customHeight="1">
      <c r="A1970" s="1"/>
      <c r="B1970" s="1"/>
      <c r="C1970" s="1"/>
      <c r="D1970" s="1"/>
      <c r="E1970" s="1"/>
      <c r="F1970" s="1"/>
      <c r="G1970" s="1"/>
      <c r="H1970" s="1"/>
      <c r="I1970" s="1"/>
      <c r="J1970" s="1"/>
    </row>
    <row r="1971" ht="15.75" customHeight="1">
      <c r="A1971" s="1"/>
      <c r="B1971" s="1"/>
      <c r="C1971" s="1"/>
      <c r="D1971" s="1"/>
      <c r="E1971" s="1"/>
      <c r="F1971" s="1"/>
      <c r="G1971" s="1"/>
      <c r="H1971" s="1"/>
      <c r="I1971" s="1"/>
      <c r="J1971" s="1"/>
    </row>
    <row r="1972" ht="15.75" customHeight="1">
      <c r="A1972" s="1"/>
      <c r="B1972" s="1"/>
      <c r="C1972" s="1"/>
      <c r="D1972" s="1"/>
      <c r="E1972" s="1"/>
      <c r="F1972" s="1"/>
      <c r="G1972" s="1"/>
      <c r="H1972" s="1"/>
      <c r="I1972" s="1"/>
      <c r="J1972" s="1"/>
    </row>
    <row r="1973" ht="15.75" customHeight="1">
      <c r="A1973" s="1"/>
      <c r="B1973" s="1"/>
      <c r="C1973" s="1"/>
      <c r="D1973" s="1"/>
      <c r="E1973" s="1"/>
      <c r="F1973" s="1"/>
      <c r="G1973" s="1"/>
      <c r="H1973" s="1"/>
      <c r="I1973" s="1"/>
      <c r="J1973" s="1"/>
    </row>
    <row r="1974" ht="15.75" customHeight="1">
      <c r="A1974" s="1"/>
      <c r="B1974" s="1"/>
      <c r="C1974" s="1"/>
      <c r="D1974" s="1"/>
      <c r="E1974" s="1"/>
      <c r="F1974" s="1"/>
      <c r="G1974" s="1"/>
      <c r="H1974" s="1"/>
      <c r="I1974" s="1"/>
      <c r="J1974" s="1"/>
    </row>
    <row r="1975" ht="15.75" customHeight="1">
      <c r="A1975" s="1"/>
      <c r="B1975" s="1"/>
      <c r="C1975" s="1"/>
      <c r="D1975" s="1"/>
      <c r="E1975" s="1"/>
      <c r="F1975" s="1"/>
      <c r="G1975" s="1"/>
      <c r="H1975" s="1"/>
      <c r="I1975" s="1"/>
      <c r="J1975" s="1"/>
    </row>
    <row r="1976" ht="15.75" customHeight="1">
      <c r="A1976" s="1"/>
      <c r="B1976" s="1"/>
      <c r="C1976" s="1"/>
      <c r="D1976" s="1"/>
      <c r="E1976" s="1"/>
      <c r="F1976" s="1"/>
      <c r="G1976" s="1"/>
      <c r="H1976" s="1"/>
      <c r="I1976" s="1"/>
      <c r="J1976" s="1"/>
    </row>
    <row r="1977" ht="15.75" customHeight="1">
      <c r="A1977" s="1"/>
      <c r="B1977" s="1"/>
      <c r="C1977" s="1"/>
      <c r="D1977" s="1"/>
      <c r="E1977" s="1"/>
      <c r="F1977" s="1"/>
      <c r="G1977" s="1"/>
      <c r="H1977" s="1"/>
      <c r="I1977" s="1"/>
      <c r="J1977" s="1"/>
    </row>
    <row r="1978" ht="15.75" customHeight="1">
      <c r="A1978" s="1"/>
      <c r="B1978" s="1"/>
      <c r="C1978" s="1"/>
      <c r="D1978" s="1"/>
      <c r="E1978" s="1"/>
      <c r="F1978" s="1"/>
      <c r="G1978" s="1"/>
      <c r="H1978" s="1"/>
      <c r="I1978" s="1"/>
      <c r="J1978" s="1"/>
    </row>
    <row r="1979" ht="15.75" customHeight="1">
      <c r="A1979" s="1"/>
      <c r="B1979" s="1"/>
      <c r="C1979" s="1"/>
      <c r="D1979" s="1"/>
      <c r="E1979" s="1"/>
      <c r="F1979" s="1"/>
      <c r="G1979" s="1"/>
      <c r="H1979" s="1"/>
      <c r="I1979" s="1"/>
      <c r="J1979" s="1"/>
    </row>
    <row r="1980" ht="15.75" customHeight="1">
      <c r="A1980" s="1"/>
      <c r="B1980" s="1"/>
      <c r="C1980" s="1"/>
      <c r="D1980" s="1"/>
      <c r="E1980" s="1"/>
      <c r="F1980" s="1"/>
      <c r="G1980" s="1"/>
      <c r="H1980" s="1"/>
      <c r="I1980" s="1"/>
      <c r="J1980" s="1"/>
    </row>
    <row r="1981" ht="15.75" customHeight="1">
      <c r="A1981" s="1"/>
      <c r="B1981" s="1"/>
      <c r="C1981" s="1"/>
      <c r="D1981" s="1"/>
      <c r="E1981" s="1"/>
      <c r="F1981" s="1"/>
      <c r="G1981" s="1"/>
      <c r="H1981" s="1"/>
      <c r="I1981" s="1"/>
      <c r="J1981" s="1"/>
    </row>
    <row r="1982" ht="15.75" customHeight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</row>
    <row r="1983" ht="15.75" customHeight="1">
      <c r="A1983" s="1"/>
      <c r="B1983" s="1"/>
      <c r="C1983" s="1"/>
      <c r="D1983" s="1"/>
      <c r="E1983" s="1"/>
      <c r="F1983" s="1"/>
      <c r="G1983" s="1"/>
      <c r="H1983" s="1"/>
      <c r="I1983" s="1"/>
      <c r="J1983" s="1"/>
    </row>
    <row r="1984" ht="15.75" customHeight="1">
      <c r="A1984" s="1"/>
      <c r="B1984" s="1"/>
      <c r="C1984" s="1"/>
      <c r="D1984" s="1"/>
      <c r="E1984" s="1"/>
      <c r="F1984" s="1"/>
      <c r="G1984" s="1"/>
      <c r="H1984" s="1"/>
      <c r="I1984" s="1"/>
      <c r="J1984" s="1"/>
    </row>
    <row r="1985" ht="15.75" customHeight="1">
      <c r="A1985" s="1"/>
      <c r="B1985" s="1"/>
      <c r="C1985" s="1"/>
      <c r="D1985" s="1"/>
      <c r="E1985" s="1"/>
      <c r="F1985" s="1"/>
      <c r="G1985" s="1"/>
      <c r="H1985" s="1"/>
      <c r="I1985" s="1"/>
      <c r="J1985" s="1"/>
    </row>
    <row r="1986" ht="15.75" customHeight="1">
      <c r="A1986" s="1"/>
      <c r="B1986" s="1"/>
      <c r="C1986" s="1"/>
      <c r="D1986" s="1"/>
      <c r="E1986" s="1"/>
      <c r="F1986" s="1"/>
      <c r="G1986" s="1"/>
      <c r="H1986" s="1"/>
      <c r="I1986" s="1"/>
      <c r="J1986" s="1"/>
    </row>
    <row r="1987" ht="15.75" customHeight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</row>
    <row r="1988" ht="15.75" customHeight="1">
      <c r="A1988" s="1"/>
      <c r="B1988" s="1"/>
      <c r="C1988" s="1"/>
      <c r="D1988" s="1"/>
      <c r="E1988" s="1"/>
      <c r="F1988" s="1"/>
      <c r="G1988" s="1"/>
      <c r="H1988" s="1"/>
      <c r="I1988" s="1"/>
      <c r="J1988" s="1"/>
    </row>
    <row r="1989" ht="15.75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</row>
    <row r="1990" ht="15.75" customHeight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</row>
    <row r="1991" ht="15.75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</row>
    <row r="1992" ht="15.75" customHeight="1">
      <c r="A1992" s="1"/>
      <c r="B1992" s="1"/>
      <c r="C1992" s="1"/>
      <c r="D1992" s="1"/>
      <c r="E1992" s="1"/>
      <c r="F1992" s="1"/>
      <c r="G1992" s="1"/>
      <c r="H1992" s="1"/>
      <c r="I1992" s="1"/>
      <c r="J1992" s="1"/>
    </row>
    <row r="1993" ht="15.75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</row>
    <row r="1994" ht="15.75" customHeight="1">
      <c r="A1994" s="1"/>
      <c r="B1994" s="1"/>
      <c r="C1994" s="1"/>
      <c r="D1994" s="1"/>
      <c r="E1994" s="1"/>
      <c r="F1994" s="1"/>
      <c r="G1994" s="1"/>
      <c r="H1994" s="1"/>
      <c r="I1994" s="1"/>
      <c r="J1994" s="1"/>
    </row>
    <row r="1995" ht="15.75" customHeight="1">
      <c r="A1995" s="1"/>
      <c r="B1995" s="1"/>
      <c r="C1995" s="1"/>
      <c r="D1995" s="1"/>
      <c r="E1995" s="1"/>
      <c r="F1995" s="1"/>
      <c r="G1995" s="1"/>
      <c r="H1995" s="1"/>
      <c r="I1995" s="1"/>
      <c r="J1995" s="1"/>
    </row>
    <row r="1996" ht="15.75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</row>
    <row r="1997" ht="15.75" customHeight="1">
      <c r="A1997" s="1"/>
      <c r="B1997" s="1"/>
      <c r="C1997" s="1"/>
      <c r="D1997" s="1"/>
      <c r="E1997" s="1"/>
      <c r="F1997" s="1"/>
      <c r="G1997" s="1"/>
      <c r="H1997" s="1"/>
      <c r="I1997" s="1"/>
      <c r="J1997" s="1"/>
    </row>
    <row r="1998" ht="15.75" customHeight="1">
      <c r="A1998" s="1"/>
      <c r="B1998" s="1"/>
      <c r="C1998" s="1"/>
      <c r="D1998" s="1"/>
      <c r="E1998" s="1"/>
      <c r="F1998" s="1"/>
      <c r="G1998" s="1"/>
      <c r="H1998" s="1"/>
      <c r="I1998" s="1"/>
      <c r="J1998" s="1"/>
    </row>
    <row r="1999" ht="15.75" customHeight="1">
      <c r="A1999" s="1"/>
      <c r="B1999" s="1"/>
      <c r="C1999" s="1"/>
      <c r="D1999" s="1"/>
      <c r="E1999" s="1"/>
      <c r="F1999" s="1"/>
      <c r="G1999" s="1"/>
      <c r="H1999" s="1"/>
      <c r="I1999" s="1"/>
      <c r="J1999" s="1"/>
    </row>
    <row r="2000" ht="15.75" customHeight="1">
      <c r="A2000" s="1"/>
      <c r="B2000" s="1"/>
      <c r="C2000" s="1"/>
      <c r="D2000" s="1"/>
      <c r="E2000" s="1"/>
      <c r="F2000" s="1"/>
      <c r="G2000" s="1"/>
      <c r="H2000" s="1"/>
      <c r="I2000" s="1"/>
      <c r="J2000" s="1"/>
    </row>
    <row r="2001" ht="15.75" customHeight="1">
      <c r="A2001" s="1"/>
      <c r="B2001" s="1"/>
      <c r="C2001" s="1"/>
      <c r="D2001" s="1"/>
      <c r="E2001" s="1"/>
      <c r="F2001" s="1"/>
      <c r="G2001" s="1"/>
      <c r="H2001" s="1"/>
      <c r="I2001" s="1"/>
      <c r="J2001" s="1"/>
    </row>
    <row r="2002" ht="15.75" customHeight="1">
      <c r="A2002" s="1"/>
      <c r="B2002" s="1"/>
      <c r="C2002" s="1"/>
      <c r="D2002" s="1"/>
      <c r="E2002" s="1"/>
      <c r="F2002" s="1"/>
      <c r="G2002" s="1"/>
      <c r="H2002" s="1"/>
      <c r="I2002" s="1"/>
      <c r="J2002" s="1"/>
    </row>
    <row r="2003" ht="15.75" customHeight="1">
      <c r="A2003" s="1"/>
      <c r="B2003" s="1"/>
      <c r="C2003" s="1"/>
      <c r="D2003" s="1"/>
      <c r="E2003" s="1"/>
      <c r="F2003" s="1"/>
      <c r="G2003" s="1"/>
      <c r="H2003" s="1"/>
      <c r="I2003" s="1"/>
      <c r="J2003" s="1"/>
    </row>
    <row r="2004" ht="15.75" customHeight="1">
      <c r="A2004" s="1"/>
      <c r="B2004" s="1"/>
      <c r="C2004" s="1"/>
      <c r="D2004" s="1"/>
      <c r="E2004" s="1"/>
      <c r="F2004" s="1"/>
      <c r="G2004" s="1"/>
      <c r="H2004" s="1"/>
      <c r="I2004" s="1"/>
      <c r="J2004" s="1"/>
    </row>
    <row r="2005" ht="15.75" customHeight="1">
      <c r="A2005" s="1"/>
      <c r="B2005" s="1"/>
      <c r="C2005" s="1"/>
      <c r="D2005" s="1"/>
      <c r="E2005" s="1"/>
      <c r="F2005" s="1"/>
      <c r="G2005" s="1"/>
      <c r="H2005" s="1"/>
      <c r="I2005" s="1"/>
      <c r="J2005" s="1"/>
    </row>
    <row r="2006" ht="15.75" customHeight="1">
      <c r="A2006" s="1"/>
      <c r="B2006" s="1"/>
      <c r="C2006" s="1"/>
      <c r="D2006" s="1"/>
      <c r="E2006" s="1"/>
      <c r="F2006" s="1"/>
      <c r="G2006" s="1"/>
      <c r="H2006" s="1"/>
      <c r="I2006" s="1"/>
      <c r="J2006" s="1"/>
    </row>
    <row r="2007" ht="15.75" customHeight="1">
      <c r="A2007" s="1"/>
      <c r="B2007" s="1"/>
      <c r="C2007" s="1"/>
      <c r="D2007" s="1"/>
      <c r="E2007" s="1"/>
      <c r="F2007" s="1"/>
      <c r="G2007" s="1"/>
      <c r="H2007" s="1"/>
      <c r="I2007" s="1"/>
      <c r="J2007" s="1"/>
    </row>
    <row r="2008" ht="15.75" customHeight="1">
      <c r="A2008" s="1"/>
      <c r="B2008" s="1"/>
      <c r="C2008" s="1"/>
      <c r="D2008" s="1"/>
      <c r="E2008" s="1"/>
      <c r="F2008" s="1"/>
      <c r="G2008" s="1"/>
      <c r="H2008" s="1"/>
      <c r="I2008" s="1"/>
      <c r="J2008" s="1"/>
    </row>
    <row r="2009" ht="15.75" customHeight="1">
      <c r="A2009" s="1"/>
      <c r="B2009" s="1"/>
      <c r="C2009" s="1"/>
      <c r="D2009" s="1"/>
      <c r="E2009" s="1"/>
      <c r="F2009" s="1"/>
      <c r="G2009" s="1"/>
      <c r="H2009" s="1"/>
      <c r="I2009" s="1"/>
      <c r="J2009" s="1"/>
    </row>
    <row r="2010" ht="15.75" customHeight="1">
      <c r="A2010" s="1"/>
      <c r="B2010" s="1"/>
      <c r="C2010" s="1"/>
      <c r="D2010" s="1"/>
      <c r="E2010" s="1"/>
      <c r="F2010" s="1"/>
      <c r="G2010" s="1"/>
      <c r="H2010" s="1"/>
      <c r="I2010" s="1"/>
      <c r="J2010" s="1"/>
    </row>
    <row r="2011" ht="15.75" customHeight="1">
      <c r="A2011" s="1"/>
      <c r="B2011" s="1"/>
      <c r="C2011" s="1"/>
      <c r="D2011" s="1"/>
      <c r="E2011" s="1"/>
      <c r="F2011" s="1"/>
      <c r="G2011" s="1"/>
      <c r="H2011" s="1"/>
      <c r="I2011" s="1"/>
      <c r="J2011" s="1"/>
    </row>
    <row r="2012" ht="15.75" customHeight="1">
      <c r="A2012" s="1"/>
      <c r="B2012" s="1"/>
      <c r="C2012" s="1"/>
      <c r="D2012" s="1"/>
      <c r="E2012" s="1"/>
      <c r="F2012" s="1"/>
      <c r="G2012" s="1"/>
      <c r="H2012" s="1"/>
      <c r="I2012" s="1"/>
      <c r="J2012" s="1"/>
    </row>
    <row r="2013" ht="15.75" customHeight="1">
      <c r="A2013" s="1"/>
      <c r="B2013" s="1"/>
      <c r="C2013" s="1"/>
      <c r="D2013" s="1"/>
      <c r="E2013" s="1"/>
      <c r="F2013" s="1"/>
      <c r="G2013" s="1"/>
      <c r="H2013" s="1"/>
      <c r="I2013" s="1"/>
      <c r="J2013" s="1"/>
    </row>
    <row r="2014" ht="15.75" customHeight="1">
      <c r="A2014" s="1"/>
      <c r="B2014" s="1"/>
      <c r="C2014" s="1"/>
      <c r="D2014" s="1"/>
      <c r="E2014" s="1"/>
      <c r="F2014" s="1"/>
      <c r="G2014" s="1"/>
      <c r="H2014" s="1"/>
      <c r="I2014" s="1"/>
      <c r="J2014" s="1"/>
    </row>
    <row r="2015" ht="15.75" customHeight="1">
      <c r="A2015" s="1"/>
      <c r="B2015" s="1"/>
      <c r="C2015" s="1"/>
      <c r="D2015" s="1"/>
      <c r="E2015" s="1"/>
      <c r="F2015" s="1"/>
      <c r="G2015" s="1"/>
      <c r="H2015" s="1"/>
      <c r="I2015" s="1"/>
      <c r="J2015" s="1"/>
    </row>
    <row r="2016" ht="15.75" customHeight="1">
      <c r="A2016" s="1"/>
      <c r="B2016" s="1"/>
      <c r="C2016" s="1"/>
      <c r="D2016" s="1"/>
      <c r="E2016" s="1"/>
      <c r="F2016" s="1"/>
      <c r="G2016" s="1"/>
      <c r="H2016" s="1"/>
      <c r="I2016" s="1"/>
      <c r="J2016" s="1"/>
    </row>
    <row r="2017" ht="15.75" customHeight="1">
      <c r="A2017" s="1"/>
      <c r="B2017" s="1"/>
      <c r="C2017" s="1"/>
      <c r="D2017" s="1"/>
      <c r="E2017" s="1"/>
      <c r="F2017" s="1"/>
      <c r="G2017" s="1"/>
      <c r="H2017" s="1"/>
      <c r="I2017" s="1"/>
      <c r="J2017" s="1"/>
    </row>
    <row r="2018" ht="15.75" customHeight="1">
      <c r="A2018" s="1"/>
      <c r="B2018" s="1"/>
      <c r="C2018" s="1"/>
      <c r="D2018" s="1"/>
      <c r="E2018" s="1"/>
      <c r="F2018" s="1"/>
      <c r="G2018" s="1"/>
      <c r="H2018" s="1"/>
      <c r="I2018" s="1"/>
      <c r="J2018" s="1"/>
    </row>
    <row r="2019" ht="15.75" customHeight="1">
      <c r="A2019" s="1"/>
      <c r="B2019" s="1"/>
      <c r="C2019" s="1"/>
      <c r="D2019" s="1"/>
      <c r="E2019" s="1"/>
      <c r="F2019" s="1"/>
      <c r="G2019" s="1"/>
      <c r="H2019" s="1"/>
      <c r="I2019" s="1"/>
      <c r="J2019" s="1"/>
    </row>
    <row r="2020" ht="15.75" customHeight="1">
      <c r="A2020" s="1"/>
      <c r="B2020" s="1"/>
      <c r="C2020" s="1"/>
      <c r="D2020" s="1"/>
      <c r="E2020" s="1"/>
      <c r="F2020" s="1"/>
      <c r="G2020" s="1"/>
      <c r="H2020" s="1"/>
      <c r="I2020" s="1"/>
      <c r="J2020" s="1"/>
    </row>
    <row r="2021" ht="15.75" customHeight="1">
      <c r="A2021" s="1"/>
      <c r="B2021" s="1"/>
      <c r="C2021" s="1"/>
      <c r="D2021" s="1"/>
      <c r="E2021" s="1"/>
      <c r="F2021" s="1"/>
      <c r="G2021" s="1"/>
      <c r="H2021" s="1"/>
      <c r="I2021" s="1"/>
      <c r="J2021" s="1"/>
    </row>
    <row r="2022" ht="15.75" customHeight="1">
      <c r="A2022" s="1"/>
      <c r="B2022" s="1"/>
      <c r="C2022" s="1"/>
      <c r="D2022" s="1"/>
      <c r="E2022" s="1"/>
      <c r="F2022" s="1"/>
      <c r="G2022" s="1"/>
      <c r="H2022" s="1"/>
      <c r="I2022" s="1"/>
      <c r="J2022" s="1"/>
    </row>
    <row r="2023" ht="15.75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</row>
    <row r="2024" ht="15.75" customHeight="1">
      <c r="A2024" s="1"/>
      <c r="B2024" s="1"/>
      <c r="C2024" s="1"/>
      <c r="D2024" s="1"/>
      <c r="E2024" s="1"/>
      <c r="F2024" s="1"/>
      <c r="G2024" s="1"/>
      <c r="H2024" s="1"/>
      <c r="I2024" s="1"/>
      <c r="J2024" s="1"/>
    </row>
    <row r="2025" ht="15.75" customHeight="1">
      <c r="A2025" s="1"/>
      <c r="B2025" s="1"/>
      <c r="C2025" s="1"/>
      <c r="D2025" s="1"/>
      <c r="E2025" s="1"/>
      <c r="F2025" s="1"/>
      <c r="G2025" s="1"/>
      <c r="H2025" s="1"/>
      <c r="I2025" s="1"/>
      <c r="J2025" s="1"/>
    </row>
    <row r="2026" ht="15.75" customHeight="1">
      <c r="A2026" s="1"/>
      <c r="B2026" s="1"/>
      <c r="C2026" s="1"/>
      <c r="D2026" s="1"/>
      <c r="E2026" s="1"/>
      <c r="F2026" s="1"/>
      <c r="G2026" s="1"/>
      <c r="H2026" s="1"/>
      <c r="I2026" s="1"/>
      <c r="J2026" s="1"/>
    </row>
    <row r="2027" ht="15.75" customHeight="1">
      <c r="A2027" s="1"/>
      <c r="B2027" s="1"/>
      <c r="C2027" s="1"/>
      <c r="D2027" s="1"/>
      <c r="E2027" s="1"/>
      <c r="F2027" s="1"/>
      <c r="G2027" s="1"/>
      <c r="H2027" s="1"/>
      <c r="I2027" s="1"/>
      <c r="J2027" s="1"/>
    </row>
    <row r="2028" ht="15.75" customHeight="1">
      <c r="A2028" s="1"/>
      <c r="B2028" s="1"/>
      <c r="C2028" s="1"/>
      <c r="D2028" s="1"/>
      <c r="E2028" s="1"/>
      <c r="F2028" s="1"/>
      <c r="G2028" s="1"/>
      <c r="H2028" s="1"/>
      <c r="I2028" s="1"/>
      <c r="J2028" s="1"/>
    </row>
    <row r="2029" ht="15.75" customHeight="1">
      <c r="A2029" s="1"/>
      <c r="B2029" s="1"/>
      <c r="C2029" s="1"/>
      <c r="D2029" s="1"/>
      <c r="E2029" s="1"/>
      <c r="F2029" s="1"/>
      <c r="G2029" s="1"/>
      <c r="H2029" s="1"/>
      <c r="I2029" s="1"/>
      <c r="J2029" s="1"/>
    </row>
    <row r="2030" ht="15.75" customHeight="1">
      <c r="A2030" s="1"/>
      <c r="B2030" s="1"/>
      <c r="C2030" s="1"/>
      <c r="D2030" s="1"/>
      <c r="E2030" s="1"/>
      <c r="F2030" s="1"/>
      <c r="G2030" s="1"/>
      <c r="H2030" s="1"/>
      <c r="I2030" s="1"/>
      <c r="J2030" s="1"/>
    </row>
    <row r="2031" ht="15.75" customHeight="1">
      <c r="A2031" s="1"/>
      <c r="B2031" s="1"/>
      <c r="C2031" s="1"/>
      <c r="D2031" s="1"/>
      <c r="E2031" s="1"/>
      <c r="F2031" s="1"/>
      <c r="G2031" s="1"/>
      <c r="H2031" s="1"/>
      <c r="I2031" s="1"/>
      <c r="J2031" s="1"/>
    </row>
    <row r="2032" ht="15.75" customHeight="1">
      <c r="A2032" s="1"/>
      <c r="B2032" s="1"/>
      <c r="C2032" s="1"/>
      <c r="D2032" s="1"/>
      <c r="E2032" s="1"/>
      <c r="F2032" s="1"/>
      <c r="G2032" s="1"/>
      <c r="H2032" s="1"/>
      <c r="I2032" s="1"/>
      <c r="J2032" s="1"/>
    </row>
    <row r="2033" ht="15.75" customHeight="1">
      <c r="A2033" s="1"/>
      <c r="B2033" s="1"/>
      <c r="C2033" s="1"/>
      <c r="D2033" s="1"/>
      <c r="E2033" s="1"/>
      <c r="F2033" s="1"/>
      <c r="G2033" s="1"/>
      <c r="H2033" s="1"/>
      <c r="I2033" s="1"/>
      <c r="J2033" s="1"/>
    </row>
    <row r="2034" ht="15.75" customHeight="1">
      <c r="A2034" s="1"/>
      <c r="B2034" s="1"/>
      <c r="C2034" s="1"/>
      <c r="D2034" s="1"/>
      <c r="E2034" s="1"/>
      <c r="F2034" s="1"/>
      <c r="G2034" s="1"/>
      <c r="H2034" s="1"/>
      <c r="I2034" s="1"/>
      <c r="J2034" s="1"/>
    </row>
    <row r="2035" ht="15.75" customHeight="1">
      <c r="A2035" s="1"/>
      <c r="B2035" s="1"/>
      <c r="C2035" s="1"/>
      <c r="D2035" s="1"/>
      <c r="E2035" s="1"/>
      <c r="F2035" s="1"/>
      <c r="G2035" s="1"/>
      <c r="H2035" s="1"/>
      <c r="I2035" s="1"/>
      <c r="J2035" s="1"/>
    </row>
    <row r="2036" ht="15.75" customHeight="1">
      <c r="A2036" s="1"/>
      <c r="B2036" s="1"/>
      <c r="C2036" s="1"/>
      <c r="D2036" s="1"/>
      <c r="E2036" s="1"/>
      <c r="F2036" s="1"/>
      <c r="G2036" s="1"/>
      <c r="H2036" s="1"/>
      <c r="I2036" s="1"/>
      <c r="J2036" s="1"/>
    </row>
    <row r="2037" ht="15.75" customHeight="1">
      <c r="A2037" s="1"/>
      <c r="B2037" s="1"/>
      <c r="C2037" s="1"/>
      <c r="D2037" s="1"/>
      <c r="E2037" s="1"/>
      <c r="F2037" s="1"/>
      <c r="G2037" s="1"/>
      <c r="H2037" s="1"/>
      <c r="I2037" s="1"/>
      <c r="J2037" s="1"/>
    </row>
    <row r="2038" ht="15.75" customHeight="1">
      <c r="A2038" s="1"/>
      <c r="B2038" s="1"/>
      <c r="C2038" s="1"/>
      <c r="D2038" s="1"/>
      <c r="E2038" s="1"/>
      <c r="F2038" s="1"/>
      <c r="G2038" s="1"/>
      <c r="H2038" s="1"/>
      <c r="I2038" s="1"/>
      <c r="J2038" s="1"/>
    </row>
    <row r="2039" ht="15.75" customHeight="1">
      <c r="A2039" s="1"/>
      <c r="B2039" s="1"/>
      <c r="C2039" s="1"/>
      <c r="D2039" s="1"/>
      <c r="E2039" s="1"/>
      <c r="F2039" s="1"/>
      <c r="G2039" s="1"/>
      <c r="H2039" s="1"/>
      <c r="I2039" s="1"/>
      <c r="J2039" s="1"/>
    </row>
    <row r="2040" ht="15.75" customHeight="1">
      <c r="A2040" s="1"/>
      <c r="B2040" s="1"/>
      <c r="C2040" s="1"/>
      <c r="D2040" s="1"/>
      <c r="E2040" s="1"/>
      <c r="F2040" s="1"/>
      <c r="G2040" s="1"/>
      <c r="H2040" s="1"/>
      <c r="I2040" s="1"/>
      <c r="J2040" s="1"/>
    </row>
    <row r="2041" ht="15.75" customHeight="1">
      <c r="A2041" s="1"/>
      <c r="B2041" s="1"/>
      <c r="C2041" s="1"/>
      <c r="D2041" s="1"/>
      <c r="E2041" s="1"/>
      <c r="F2041" s="1"/>
      <c r="G2041" s="1"/>
      <c r="H2041" s="1"/>
      <c r="I2041" s="1"/>
      <c r="J2041" s="1"/>
    </row>
    <row r="2042" ht="15.75" customHeight="1">
      <c r="A2042" s="1"/>
      <c r="B2042" s="1"/>
      <c r="C2042" s="1"/>
      <c r="D2042" s="1"/>
      <c r="E2042" s="1"/>
      <c r="F2042" s="1"/>
      <c r="G2042" s="1"/>
      <c r="H2042" s="1"/>
      <c r="I2042" s="1"/>
      <c r="J2042" s="1"/>
    </row>
    <row r="2043" ht="15.75" customHeight="1">
      <c r="A2043" s="1"/>
      <c r="B2043" s="1"/>
      <c r="C2043" s="1"/>
      <c r="D2043" s="1"/>
      <c r="E2043" s="1"/>
      <c r="F2043" s="1"/>
      <c r="G2043" s="1"/>
      <c r="H2043" s="1"/>
      <c r="I2043" s="1"/>
      <c r="J2043" s="1"/>
    </row>
    <row r="2044" ht="15.75" customHeight="1">
      <c r="A2044" s="1"/>
      <c r="B2044" s="1"/>
      <c r="C2044" s="1"/>
      <c r="D2044" s="1"/>
      <c r="E2044" s="1"/>
      <c r="F2044" s="1"/>
      <c r="G2044" s="1"/>
      <c r="H2044" s="1"/>
      <c r="I2044" s="1"/>
      <c r="J2044" s="1"/>
    </row>
    <row r="2045" ht="15.75" customHeight="1">
      <c r="A2045" s="1"/>
      <c r="B2045" s="1"/>
      <c r="C2045" s="1"/>
      <c r="D2045" s="1"/>
      <c r="E2045" s="1"/>
      <c r="F2045" s="1"/>
      <c r="G2045" s="1"/>
      <c r="H2045" s="1"/>
      <c r="I2045" s="1"/>
      <c r="J2045" s="1"/>
    </row>
    <row r="2046" ht="15.75" customHeight="1">
      <c r="A2046" s="1"/>
      <c r="B2046" s="1"/>
      <c r="C2046" s="1"/>
      <c r="D2046" s="1"/>
      <c r="E2046" s="1"/>
      <c r="F2046" s="1"/>
      <c r="G2046" s="1"/>
      <c r="H2046" s="1"/>
      <c r="I2046" s="1"/>
      <c r="J2046" s="1"/>
    </row>
    <row r="2047" ht="15.75" customHeight="1">
      <c r="A2047" s="1"/>
      <c r="B2047" s="1"/>
      <c r="C2047" s="1"/>
      <c r="D2047" s="1"/>
      <c r="E2047" s="1"/>
      <c r="F2047" s="1"/>
      <c r="G2047" s="1"/>
      <c r="H2047" s="1"/>
      <c r="I2047" s="1"/>
      <c r="J2047" s="1"/>
    </row>
    <row r="2048" ht="15.75" customHeight="1">
      <c r="A2048" s="1"/>
      <c r="B2048" s="1"/>
      <c r="C2048" s="1"/>
      <c r="D2048" s="1"/>
      <c r="E2048" s="1"/>
      <c r="F2048" s="1"/>
      <c r="G2048" s="1"/>
      <c r="H2048" s="1"/>
      <c r="I2048" s="1"/>
      <c r="J2048" s="1"/>
    </row>
    <row r="2049" ht="15.75" customHeight="1">
      <c r="A2049" s="1"/>
      <c r="B2049" s="1"/>
      <c r="C2049" s="1"/>
      <c r="D2049" s="1"/>
      <c r="E2049" s="1"/>
      <c r="F2049" s="1"/>
      <c r="G2049" s="1"/>
      <c r="H2049" s="1"/>
      <c r="I2049" s="1"/>
      <c r="J2049" s="1"/>
    </row>
    <row r="2050" ht="15.75" customHeight="1">
      <c r="A2050" s="1"/>
      <c r="B2050" s="1"/>
      <c r="C2050" s="1"/>
      <c r="D2050" s="1"/>
      <c r="E2050" s="1"/>
      <c r="F2050" s="1"/>
      <c r="G2050" s="1"/>
      <c r="H2050" s="1"/>
      <c r="I2050" s="1"/>
      <c r="J2050" s="1"/>
    </row>
    <row r="2051" ht="15.75" customHeight="1">
      <c r="A2051" s="1"/>
      <c r="B2051" s="1"/>
      <c r="C2051" s="1"/>
      <c r="D2051" s="1"/>
      <c r="E2051" s="1"/>
      <c r="F2051" s="1"/>
      <c r="G2051" s="1"/>
      <c r="H2051" s="1"/>
      <c r="I2051" s="1"/>
      <c r="J2051" s="1"/>
    </row>
    <row r="2052" ht="15.75" customHeight="1">
      <c r="A2052" s="1"/>
      <c r="B2052" s="1"/>
      <c r="C2052" s="1"/>
      <c r="D2052" s="1"/>
      <c r="E2052" s="1"/>
      <c r="F2052" s="1"/>
      <c r="G2052" s="1"/>
      <c r="H2052" s="1"/>
      <c r="I2052" s="1"/>
      <c r="J2052" s="1"/>
    </row>
    <row r="2053" ht="15.75" customHeight="1">
      <c r="A2053" s="1"/>
      <c r="B2053" s="1"/>
      <c r="C2053" s="1"/>
      <c r="D2053" s="1"/>
      <c r="E2053" s="1"/>
      <c r="F2053" s="1"/>
      <c r="G2053" s="1"/>
      <c r="H2053" s="1"/>
      <c r="I2053" s="1"/>
      <c r="J2053" s="1"/>
    </row>
    <row r="2054" ht="15.75" customHeight="1">
      <c r="A2054" s="1"/>
      <c r="B2054" s="1"/>
      <c r="C2054" s="1"/>
      <c r="D2054" s="1"/>
      <c r="E2054" s="1"/>
      <c r="F2054" s="1"/>
      <c r="G2054" s="1"/>
      <c r="H2054" s="1"/>
      <c r="I2054" s="1"/>
      <c r="J2054" s="1"/>
    </row>
    <row r="2055" ht="15.75" customHeight="1">
      <c r="A2055" s="1"/>
      <c r="B2055" s="1"/>
      <c r="C2055" s="1"/>
      <c r="D2055" s="1"/>
      <c r="E2055" s="1"/>
      <c r="F2055" s="1"/>
      <c r="G2055" s="1"/>
      <c r="H2055" s="1"/>
      <c r="I2055" s="1"/>
      <c r="J2055" s="1"/>
    </row>
    <row r="2056" ht="15.75" customHeight="1">
      <c r="A2056" s="1"/>
      <c r="B2056" s="1"/>
      <c r="C2056" s="1"/>
      <c r="D2056" s="1"/>
      <c r="E2056" s="1"/>
      <c r="F2056" s="1"/>
      <c r="G2056" s="1"/>
      <c r="H2056" s="1"/>
      <c r="I2056" s="1"/>
      <c r="J2056" s="1"/>
    </row>
    <row r="2057" ht="15.75" customHeight="1">
      <c r="A2057" s="1"/>
      <c r="B2057" s="1"/>
      <c r="C2057" s="1"/>
      <c r="D2057" s="1"/>
      <c r="E2057" s="1"/>
      <c r="F2057" s="1"/>
      <c r="G2057" s="1"/>
      <c r="H2057" s="1"/>
      <c r="I2057" s="1"/>
      <c r="J2057" s="1"/>
    </row>
    <row r="2058" ht="15.75" customHeight="1">
      <c r="A2058" s="1"/>
      <c r="B2058" s="1"/>
      <c r="C2058" s="1"/>
      <c r="D2058" s="1"/>
      <c r="E2058" s="1"/>
      <c r="F2058" s="1"/>
      <c r="G2058" s="1"/>
      <c r="H2058" s="1"/>
      <c r="I2058" s="1"/>
      <c r="J2058" s="1"/>
    </row>
    <row r="2059" ht="15.75" customHeight="1">
      <c r="A2059" s="1"/>
      <c r="B2059" s="1"/>
      <c r="C2059" s="1"/>
      <c r="D2059" s="1"/>
      <c r="E2059" s="1"/>
      <c r="F2059" s="1"/>
      <c r="G2059" s="1"/>
      <c r="H2059" s="1"/>
      <c r="I2059" s="1"/>
      <c r="J2059" s="1"/>
    </row>
    <row r="2060" ht="15.75" customHeight="1">
      <c r="A2060" s="1"/>
      <c r="B2060" s="1"/>
      <c r="C2060" s="1"/>
      <c r="D2060" s="1"/>
      <c r="E2060" s="1"/>
      <c r="F2060" s="1"/>
      <c r="G2060" s="1"/>
      <c r="H2060" s="1"/>
      <c r="I2060" s="1"/>
      <c r="J2060" s="1"/>
    </row>
    <row r="2061" ht="15.75" customHeight="1">
      <c r="A2061" s="1"/>
      <c r="B2061" s="1"/>
      <c r="C2061" s="1"/>
      <c r="D2061" s="1"/>
      <c r="E2061" s="1"/>
      <c r="F2061" s="1"/>
      <c r="G2061" s="1"/>
      <c r="H2061" s="1"/>
      <c r="I2061" s="1"/>
      <c r="J2061" s="1"/>
    </row>
    <row r="2062" ht="15.75" customHeight="1">
      <c r="A2062" s="1"/>
      <c r="B2062" s="1"/>
      <c r="C2062" s="1"/>
      <c r="D2062" s="1"/>
      <c r="E2062" s="1"/>
      <c r="F2062" s="1"/>
      <c r="G2062" s="1"/>
      <c r="H2062" s="1"/>
      <c r="I2062" s="1"/>
      <c r="J2062" s="1"/>
    </row>
    <row r="2063" ht="15.75" customHeight="1">
      <c r="A2063" s="1"/>
      <c r="B2063" s="1"/>
      <c r="C2063" s="1"/>
      <c r="D2063" s="1"/>
      <c r="E2063" s="1"/>
      <c r="F2063" s="1"/>
      <c r="G2063" s="1"/>
      <c r="H2063" s="1"/>
      <c r="I2063" s="1"/>
      <c r="J2063" s="1"/>
    </row>
    <row r="2064" ht="15.75" customHeight="1">
      <c r="A2064" s="1"/>
      <c r="B2064" s="1"/>
      <c r="C2064" s="1"/>
      <c r="D2064" s="1"/>
      <c r="E2064" s="1"/>
      <c r="F2064" s="1"/>
      <c r="G2064" s="1"/>
      <c r="H2064" s="1"/>
      <c r="I2064" s="1"/>
      <c r="J2064" s="1"/>
    </row>
    <row r="2065" ht="15.75" customHeight="1">
      <c r="A2065" s="1"/>
      <c r="B2065" s="1"/>
      <c r="C2065" s="1"/>
      <c r="D2065" s="1"/>
      <c r="E2065" s="1"/>
      <c r="F2065" s="1"/>
      <c r="G2065" s="1"/>
      <c r="H2065" s="1"/>
      <c r="I2065" s="1"/>
      <c r="J2065" s="1"/>
    </row>
    <row r="2066" ht="15.75" customHeight="1">
      <c r="A2066" s="1"/>
      <c r="B2066" s="1"/>
      <c r="C2066" s="1"/>
      <c r="D2066" s="1"/>
      <c r="E2066" s="1"/>
      <c r="F2066" s="1"/>
      <c r="G2066" s="1"/>
      <c r="H2066" s="1"/>
      <c r="I2066" s="1"/>
      <c r="J2066" s="1"/>
    </row>
    <row r="2067" ht="15.75" customHeight="1">
      <c r="A2067" s="1"/>
      <c r="B2067" s="1"/>
      <c r="C2067" s="1"/>
      <c r="D2067" s="1"/>
      <c r="E2067" s="1"/>
      <c r="F2067" s="1"/>
      <c r="G2067" s="1"/>
      <c r="H2067" s="1"/>
      <c r="I2067" s="1"/>
      <c r="J2067" s="1"/>
    </row>
    <row r="2068" ht="15.75" customHeight="1">
      <c r="A2068" s="1"/>
      <c r="B2068" s="1"/>
      <c r="C2068" s="1"/>
      <c r="D2068" s="1"/>
      <c r="E2068" s="1"/>
      <c r="F2068" s="1"/>
      <c r="G2068" s="1"/>
      <c r="H2068" s="1"/>
      <c r="I2068" s="1"/>
      <c r="J2068" s="1"/>
    </row>
    <row r="2069" ht="15.75" customHeight="1">
      <c r="A2069" s="1"/>
      <c r="B2069" s="1"/>
      <c r="C2069" s="1"/>
      <c r="D2069" s="1"/>
      <c r="E2069" s="1"/>
      <c r="F2069" s="1"/>
      <c r="G2069" s="1"/>
      <c r="H2069" s="1"/>
      <c r="I2069" s="1"/>
      <c r="J2069" s="1"/>
    </row>
    <row r="2070" ht="15.75" customHeight="1">
      <c r="A2070" s="1"/>
      <c r="B2070" s="1"/>
      <c r="C2070" s="1"/>
      <c r="D2070" s="1"/>
      <c r="E2070" s="1"/>
      <c r="F2070" s="1"/>
      <c r="G2070" s="1"/>
      <c r="H2070" s="1"/>
      <c r="I2070" s="1"/>
      <c r="J2070" s="1"/>
    </row>
    <row r="2071" ht="15.75" customHeight="1">
      <c r="A2071" s="1"/>
      <c r="B2071" s="1"/>
      <c r="C2071" s="1"/>
      <c r="D2071" s="1"/>
      <c r="E2071" s="1"/>
      <c r="F2071" s="1"/>
      <c r="G2071" s="1"/>
      <c r="H2071" s="1"/>
      <c r="I2071" s="1"/>
      <c r="J2071" s="1"/>
    </row>
    <row r="2072" ht="15.75" customHeight="1">
      <c r="A2072" s="1"/>
      <c r="B2072" s="1"/>
      <c r="C2072" s="1"/>
      <c r="D2072" s="1"/>
      <c r="E2072" s="1"/>
      <c r="F2072" s="1"/>
      <c r="G2072" s="1"/>
      <c r="H2072" s="1"/>
      <c r="I2072" s="1"/>
      <c r="J2072" s="1"/>
    </row>
    <row r="2073" ht="15.75" customHeight="1">
      <c r="A2073" s="1"/>
      <c r="B2073" s="1"/>
      <c r="C2073" s="1"/>
      <c r="D2073" s="1"/>
      <c r="E2073" s="1"/>
      <c r="F2073" s="1"/>
      <c r="G2073" s="1"/>
      <c r="H2073" s="1"/>
      <c r="I2073" s="1"/>
      <c r="J2073" s="1"/>
    </row>
    <row r="2074" ht="15.75" customHeight="1">
      <c r="A2074" s="1"/>
      <c r="B2074" s="1"/>
      <c r="C2074" s="1"/>
      <c r="D2074" s="1"/>
      <c r="E2074" s="1"/>
      <c r="F2074" s="1"/>
      <c r="G2074" s="1"/>
      <c r="H2074" s="1"/>
      <c r="I2074" s="1"/>
      <c r="J2074" s="1"/>
    </row>
    <row r="2075" ht="15.75" customHeight="1">
      <c r="A2075" s="1"/>
      <c r="B2075" s="1"/>
      <c r="C2075" s="1"/>
      <c r="D2075" s="1"/>
      <c r="E2075" s="1"/>
      <c r="F2075" s="1"/>
      <c r="G2075" s="1"/>
      <c r="H2075" s="1"/>
      <c r="I2075" s="1"/>
      <c r="J2075" s="1"/>
    </row>
    <row r="2076" ht="15.75" customHeight="1">
      <c r="A2076" s="1"/>
      <c r="B2076" s="1"/>
      <c r="C2076" s="1"/>
      <c r="D2076" s="1"/>
      <c r="E2076" s="1"/>
      <c r="F2076" s="1"/>
      <c r="G2076" s="1"/>
      <c r="H2076" s="1"/>
      <c r="I2076" s="1"/>
      <c r="J2076" s="1"/>
    </row>
    <row r="2077" ht="15.75" customHeight="1">
      <c r="A2077" s="1"/>
      <c r="B2077" s="1"/>
      <c r="C2077" s="1"/>
      <c r="D2077" s="1"/>
      <c r="E2077" s="1"/>
      <c r="F2077" s="1"/>
      <c r="G2077" s="1"/>
      <c r="H2077" s="1"/>
      <c r="I2077" s="1"/>
      <c r="J2077" s="1"/>
    </row>
    <row r="2078" ht="15.75" customHeight="1">
      <c r="A2078" s="1"/>
      <c r="B2078" s="1"/>
      <c r="C2078" s="1"/>
      <c r="D2078" s="1"/>
      <c r="E2078" s="1"/>
      <c r="F2078" s="1"/>
      <c r="G2078" s="1"/>
      <c r="H2078" s="1"/>
      <c r="I2078" s="1"/>
      <c r="J2078" s="1"/>
    </row>
    <row r="2079" ht="15.75" customHeight="1">
      <c r="A2079" s="1"/>
      <c r="B2079" s="1"/>
      <c r="C2079" s="1"/>
      <c r="D2079" s="1"/>
      <c r="E2079" s="1"/>
      <c r="F2079" s="1"/>
      <c r="G2079" s="1"/>
      <c r="H2079" s="1"/>
      <c r="I2079" s="1"/>
      <c r="J2079" s="1"/>
    </row>
    <row r="2080" ht="15.75" customHeight="1">
      <c r="A2080" s="1"/>
      <c r="B2080" s="1"/>
      <c r="C2080" s="1"/>
      <c r="D2080" s="1"/>
      <c r="E2080" s="1"/>
      <c r="F2080" s="1"/>
      <c r="G2080" s="1"/>
      <c r="H2080" s="1"/>
      <c r="I2080" s="1"/>
      <c r="J2080" s="1"/>
    </row>
    <row r="2081" ht="15.75" customHeight="1">
      <c r="A2081" s="1"/>
      <c r="B2081" s="1"/>
      <c r="C2081" s="1"/>
      <c r="D2081" s="1"/>
      <c r="E2081" s="1"/>
      <c r="F2081" s="1"/>
      <c r="G2081" s="1"/>
      <c r="H2081" s="1"/>
      <c r="I2081" s="1"/>
      <c r="J2081" s="1"/>
    </row>
    <row r="2082" ht="15.75" customHeight="1">
      <c r="A2082" s="1"/>
      <c r="B2082" s="1"/>
      <c r="C2082" s="1"/>
      <c r="D2082" s="1"/>
      <c r="E2082" s="1"/>
      <c r="F2082" s="1"/>
      <c r="G2082" s="1"/>
      <c r="H2082" s="1"/>
      <c r="I2082" s="1"/>
      <c r="J2082" s="1"/>
    </row>
    <row r="2083" ht="15.75" customHeight="1">
      <c r="A2083" s="1"/>
      <c r="B2083" s="1"/>
      <c r="C2083" s="1"/>
      <c r="D2083" s="1"/>
      <c r="E2083" s="1"/>
      <c r="F2083" s="1"/>
      <c r="G2083" s="1"/>
      <c r="H2083" s="1"/>
      <c r="I2083" s="1"/>
      <c r="J2083" s="1"/>
    </row>
    <row r="2084" ht="15.75" customHeight="1">
      <c r="A2084" s="1"/>
      <c r="B2084" s="1"/>
      <c r="C2084" s="1"/>
      <c r="D2084" s="1"/>
      <c r="E2084" s="1"/>
      <c r="F2084" s="1"/>
      <c r="G2084" s="1"/>
      <c r="H2084" s="1"/>
      <c r="I2084" s="1"/>
      <c r="J2084" s="1"/>
    </row>
    <row r="2085" ht="15.75" customHeight="1">
      <c r="A2085" s="1"/>
      <c r="B2085" s="1"/>
      <c r="C2085" s="1"/>
      <c r="D2085" s="1"/>
      <c r="E2085" s="1"/>
      <c r="F2085" s="1"/>
      <c r="G2085" s="1"/>
      <c r="H2085" s="1"/>
      <c r="I2085" s="1"/>
      <c r="J2085" s="1"/>
    </row>
    <row r="2086" ht="15.75" customHeight="1">
      <c r="A2086" s="1"/>
      <c r="B2086" s="1"/>
      <c r="C2086" s="1"/>
      <c r="D2086" s="1"/>
      <c r="E2086" s="1"/>
      <c r="F2086" s="1"/>
      <c r="G2086" s="1"/>
      <c r="H2086" s="1"/>
      <c r="I2086" s="1"/>
      <c r="J2086" s="1"/>
    </row>
    <row r="2087" ht="15.75" customHeight="1">
      <c r="A2087" s="1"/>
      <c r="B2087" s="1"/>
      <c r="C2087" s="1"/>
      <c r="D2087" s="1"/>
      <c r="E2087" s="1"/>
      <c r="F2087" s="1"/>
      <c r="G2087" s="1"/>
      <c r="H2087" s="1"/>
      <c r="I2087" s="1"/>
      <c r="J2087" s="1"/>
    </row>
    <row r="2088" ht="15.75" customHeight="1">
      <c r="A2088" s="1"/>
      <c r="B2088" s="1"/>
      <c r="C2088" s="1"/>
      <c r="D2088" s="1"/>
      <c r="E2088" s="1"/>
      <c r="F2088" s="1"/>
      <c r="G2088" s="1"/>
      <c r="H2088" s="1"/>
      <c r="I2088" s="1"/>
      <c r="J2088" s="1"/>
    </row>
    <row r="2089" ht="15.75" customHeight="1">
      <c r="A2089" s="1"/>
      <c r="B2089" s="1"/>
      <c r="C2089" s="1"/>
      <c r="D2089" s="1"/>
      <c r="E2089" s="1"/>
      <c r="F2089" s="1"/>
      <c r="G2089" s="1"/>
      <c r="H2089" s="1"/>
      <c r="I2089" s="1"/>
      <c r="J2089" s="1"/>
    </row>
    <row r="2090" ht="15.75" customHeight="1">
      <c r="A2090" s="1"/>
      <c r="B2090" s="1"/>
      <c r="C2090" s="1"/>
      <c r="D2090" s="1"/>
      <c r="E2090" s="1"/>
      <c r="F2090" s="1"/>
      <c r="G2090" s="1"/>
      <c r="H2090" s="1"/>
      <c r="I2090" s="1"/>
      <c r="J2090" s="1"/>
    </row>
    <row r="2091" ht="15.75" customHeight="1">
      <c r="A2091" s="1"/>
      <c r="B2091" s="1"/>
      <c r="C2091" s="1"/>
      <c r="D2091" s="1"/>
      <c r="E2091" s="1"/>
      <c r="F2091" s="1"/>
      <c r="G2091" s="1"/>
      <c r="H2091" s="1"/>
      <c r="I2091" s="1"/>
      <c r="J2091" s="1"/>
    </row>
    <row r="2092" ht="15.75" customHeight="1">
      <c r="A2092" s="1"/>
      <c r="B2092" s="1"/>
      <c r="C2092" s="1"/>
      <c r="D2092" s="1"/>
      <c r="E2092" s="1"/>
      <c r="F2092" s="1"/>
      <c r="G2092" s="1"/>
      <c r="H2092" s="1"/>
      <c r="I2092" s="1"/>
      <c r="J2092" s="1"/>
    </row>
    <row r="2093" ht="15.75" customHeight="1">
      <c r="A2093" s="1"/>
      <c r="B2093" s="1"/>
      <c r="C2093" s="1"/>
      <c r="D2093" s="1"/>
      <c r="E2093" s="1"/>
      <c r="F2093" s="1"/>
      <c r="G2093" s="1"/>
      <c r="H2093" s="1"/>
      <c r="I2093" s="1"/>
      <c r="J2093" s="1"/>
    </row>
    <row r="2094" ht="15.75" customHeight="1">
      <c r="A2094" s="1"/>
      <c r="B2094" s="1"/>
      <c r="C2094" s="1"/>
      <c r="D2094" s="1"/>
      <c r="E2094" s="1"/>
      <c r="F2094" s="1"/>
      <c r="G2094" s="1"/>
      <c r="H2094" s="1"/>
      <c r="I2094" s="1"/>
      <c r="J2094" s="1"/>
    </row>
    <row r="2095" ht="15.75" customHeight="1">
      <c r="A2095" s="1"/>
      <c r="B2095" s="1"/>
      <c r="C2095" s="1"/>
      <c r="D2095" s="1"/>
      <c r="E2095" s="1"/>
      <c r="F2095" s="1"/>
      <c r="G2095" s="1"/>
      <c r="H2095" s="1"/>
      <c r="I2095" s="1"/>
      <c r="J2095" s="1"/>
    </row>
    <row r="2096" ht="15.75" customHeight="1">
      <c r="A2096" s="1"/>
      <c r="B2096" s="1"/>
      <c r="C2096" s="1"/>
      <c r="D2096" s="1"/>
      <c r="E2096" s="1"/>
      <c r="F2096" s="1"/>
      <c r="G2096" s="1"/>
      <c r="H2096" s="1"/>
      <c r="I2096" s="1"/>
      <c r="J2096" s="1"/>
    </row>
    <row r="2097" ht="15.75" customHeight="1">
      <c r="A2097" s="1"/>
      <c r="B2097" s="1"/>
      <c r="C2097" s="1"/>
      <c r="D2097" s="1"/>
      <c r="E2097" s="1"/>
      <c r="F2097" s="1"/>
      <c r="G2097" s="1"/>
      <c r="H2097" s="1"/>
      <c r="I2097" s="1"/>
      <c r="J2097" s="1"/>
    </row>
    <row r="2098" ht="15.75" customHeight="1">
      <c r="A2098" s="1"/>
      <c r="B2098" s="1"/>
      <c r="C2098" s="1"/>
      <c r="D2098" s="1"/>
      <c r="E2098" s="1"/>
      <c r="F2098" s="1"/>
      <c r="G2098" s="1"/>
      <c r="H2098" s="1"/>
      <c r="I2098" s="1"/>
      <c r="J2098" s="1"/>
    </row>
    <row r="2099" ht="15.75" customHeight="1">
      <c r="A2099" s="1"/>
      <c r="B2099" s="1"/>
      <c r="C2099" s="1"/>
      <c r="D2099" s="1"/>
      <c r="E2099" s="1"/>
      <c r="F2099" s="1"/>
      <c r="G2099" s="1"/>
      <c r="H2099" s="1"/>
      <c r="I2099" s="1"/>
      <c r="J2099" s="1"/>
    </row>
    <row r="2100" ht="15.75" customHeight="1">
      <c r="A2100" s="1"/>
      <c r="B2100" s="1"/>
      <c r="C2100" s="1"/>
      <c r="D2100" s="1"/>
      <c r="E2100" s="1"/>
      <c r="F2100" s="1"/>
      <c r="G2100" s="1"/>
      <c r="H2100" s="1"/>
      <c r="I2100" s="1"/>
      <c r="J2100" s="1"/>
    </row>
    <row r="2101" ht="15.75" customHeight="1">
      <c r="A2101" s="1"/>
      <c r="B2101" s="1"/>
      <c r="C2101" s="1"/>
      <c r="D2101" s="1"/>
      <c r="E2101" s="1"/>
      <c r="F2101" s="1"/>
      <c r="G2101" s="1"/>
      <c r="H2101" s="1"/>
      <c r="I2101" s="1"/>
      <c r="J2101" s="1"/>
    </row>
    <row r="2102" ht="15.75" customHeight="1">
      <c r="A2102" s="1"/>
      <c r="B2102" s="1"/>
      <c r="C2102" s="1"/>
      <c r="D2102" s="1"/>
      <c r="E2102" s="1"/>
      <c r="F2102" s="1"/>
      <c r="G2102" s="1"/>
      <c r="H2102" s="1"/>
      <c r="I2102" s="1"/>
      <c r="J2102" s="1"/>
    </row>
    <row r="2103" ht="15.75" customHeight="1">
      <c r="A2103" s="1"/>
      <c r="B2103" s="1"/>
      <c r="C2103" s="1"/>
      <c r="D2103" s="1"/>
      <c r="E2103" s="1"/>
      <c r="F2103" s="1"/>
      <c r="G2103" s="1"/>
      <c r="H2103" s="1"/>
      <c r="I2103" s="1"/>
      <c r="J2103" s="1"/>
    </row>
    <row r="2104" ht="15.75" customHeight="1">
      <c r="A2104" s="1"/>
      <c r="B2104" s="1"/>
      <c r="C2104" s="1"/>
      <c r="D2104" s="1"/>
      <c r="E2104" s="1"/>
      <c r="F2104" s="1"/>
      <c r="G2104" s="1"/>
      <c r="H2104" s="1"/>
      <c r="I2104" s="1"/>
      <c r="J2104" s="1"/>
    </row>
    <row r="2105" ht="15.75" customHeight="1">
      <c r="A2105" s="1"/>
      <c r="B2105" s="1"/>
      <c r="C2105" s="1"/>
      <c r="D2105" s="1"/>
      <c r="E2105" s="1"/>
      <c r="F2105" s="1"/>
      <c r="G2105" s="1"/>
      <c r="H2105" s="1"/>
      <c r="I2105" s="1"/>
      <c r="J2105" s="1"/>
    </row>
    <row r="2106" ht="15.75" customHeight="1">
      <c r="A2106" s="1"/>
      <c r="B2106" s="1"/>
      <c r="C2106" s="1"/>
      <c r="D2106" s="1"/>
      <c r="E2106" s="1"/>
      <c r="F2106" s="1"/>
      <c r="G2106" s="1"/>
      <c r="H2106" s="1"/>
      <c r="I2106" s="1"/>
      <c r="J2106" s="1"/>
    </row>
    <row r="2107" ht="15.75" customHeight="1">
      <c r="A2107" s="1"/>
      <c r="B2107" s="1"/>
      <c r="C2107" s="1"/>
      <c r="D2107" s="1"/>
      <c r="E2107" s="1"/>
      <c r="F2107" s="1"/>
      <c r="G2107" s="1"/>
      <c r="H2107" s="1"/>
      <c r="I2107" s="1"/>
      <c r="J2107" s="1"/>
    </row>
    <row r="2108" ht="15.75" customHeight="1">
      <c r="A2108" s="1"/>
      <c r="B2108" s="1"/>
      <c r="C2108" s="1"/>
      <c r="D2108" s="1"/>
      <c r="E2108" s="1"/>
      <c r="F2108" s="1"/>
      <c r="G2108" s="1"/>
      <c r="H2108" s="1"/>
      <c r="I2108" s="1"/>
      <c r="J2108" s="1"/>
    </row>
    <row r="2109" ht="15.75" customHeight="1">
      <c r="A2109" s="1"/>
      <c r="B2109" s="1"/>
      <c r="C2109" s="1"/>
      <c r="D2109" s="1"/>
      <c r="E2109" s="1"/>
      <c r="F2109" s="1"/>
      <c r="G2109" s="1"/>
      <c r="H2109" s="1"/>
      <c r="I2109" s="1"/>
      <c r="J2109" s="1"/>
    </row>
    <row r="2110" ht="15.75" customHeight="1">
      <c r="A2110" s="1"/>
      <c r="B2110" s="1"/>
      <c r="C2110" s="1"/>
      <c r="D2110" s="1"/>
      <c r="E2110" s="1"/>
      <c r="F2110" s="1"/>
      <c r="G2110" s="1"/>
      <c r="H2110" s="1"/>
      <c r="I2110" s="1"/>
      <c r="J2110" s="1"/>
    </row>
    <row r="2111" ht="15.75" customHeight="1">
      <c r="A2111" s="1"/>
      <c r="B2111" s="1"/>
      <c r="C2111" s="1"/>
      <c r="D2111" s="1"/>
      <c r="E2111" s="1"/>
      <c r="F2111" s="1"/>
      <c r="G2111" s="1"/>
      <c r="H2111" s="1"/>
      <c r="I2111" s="1"/>
      <c r="J2111" s="1"/>
    </row>
    <row r="2112" ht="15.75" customHeight="1">
      <c r="A2112" s="1"/>
      <c r="B2112" s="1"/>
      <c r="C2112" s="1"/>
      <c r="D2112" s="1"/>
      <c r="E2112" s="1"/>
      <c r="F2112" s="1"/>
      <c r="G2112" s="1"/>
      <c r="H2112" s="1"/>
      <c r="I2112" s="1"/>
      <c r="J2112" s="1"/>
    </row>
    <row r="2113" ht="15.75" customHeight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</row>
    <row r="2114" ht="15.75" customHeight="1">
      <c r="A2114" s="1"/>
      <c r="B2114" s="1"/>
      <c r="C2114" s="1"/>
      <c r="D2114" s="1"/>
      <c r="E2114" s="1"/>
      <c r="F2114" s="1"/>
      <c r="G2114" s="1"/>
      <c r="H2114" s="1"/>
      <c r="I2114" s="1"/>
      <c r="J2114" s="1"/>
    </row>
    <row r="2115" ht="15.75" customHeight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</row>
    <row r="2116" ht="15.75" customHeight="1">
      <c r="A2116" s="1"/>
      <c r="B2116" s="1"/>
      <c r="C2116" s="1"/>
      <c r="D2116" s="1"/>
      <c r="E2116" s="1"/>
      <c r="F2116" s="1"/>
      <c r="G2116" s="1"/>
      <c r="H2116" s="1"/>
      <c r="I2116" s="1"/>
      <c r="J2116" s="1"/>
    </row>
    <row r="2117" ht="15.75" customHeight="1">
      <c r="A2117" s="1"/>
      <c r="B2117" s="1"/>
      <c r="C2117" s="1"/>
      <c r="D2117" s="1"/>
      <c r="E2117" s="1"/>
      <c r="F2117" s="1"/>
      <c r="G2117" s="1"/>
      <c r="H2117" s="1"/>
      <c r="I2117" s="1"/>
      <c r="J2117" s="1"/>
    </row>
    <row r="2118" ht="15.75" customHeight="1">
      <c r="A2118" s="1"/>
      <c r="B2118" s="1"/>
      <c r="C2118" s="1"/>
      <c r="D2118" s="1"/>
      <c r="E2118" s="1"/>
      <c r="F2118" s="1"/>
      <c r="G2118" s="1"/>
      <c r="H2118" s="1"/>
      <c r="I2118" s="1"/>
      <c r="J2118" s="1"/>
    </row>
    <row r="2119" ht="15.75" customHeight="1">
      <c r="A2119" s="1"/>
      <c r="B2119" s="1"/>
      <c r="C2119" s="1"/>
      <c r="D2119" s="1"/>
      <c r="E2119" s="1"/>
      <c r="F2119" s="1"/>
      <c r="G2119" s="1"/>
      <c r="H2119" s="1"/>
      <c r="I2119" s="1"/>
      <c r="J2119" s="1"/>
    </row>
    <row r="2120" ht="15.75" customHeight="1">
      <c r="A2120" s="1"/>
      <c r="B2120" s="1"/>
      <c r="C2120" s="1"/>
      <c r="D2120" s="1"/>
      <c r="E2120" s="1"/>
      <c r="F2120" s="1"/>
      <c r="G2120" s="1"/>
      <c r="H2120" s="1"/>
      <c r="I2120" s="1"/>
      <c r="J2120" s="1"/>
    </row>
    <row r="2121" ht="15.75" customHeight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</row>
    <row r="2122" ht="15.75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</row>
    <row r="2123" ht="15.75" customHeight="1">
      <c r="A2123" s="1"/>
      <c r="B2123" s="1"/>
      <c r="C2123" s="1"/>
      <c r="D2123" s="1"/>
      <c r="E2123" s="1"/>
      <c r="F2123" s="1"/>
      <c r="G2123" s="1"/>
      <c r="H2123" s="1"/>
      <c r="I2123" s="1"/>
      <c r="J2123" s="1"/>
    </row>
    <row r="2124" ht="15.75" customHeight="1">
      <c r="A2124" s="1"/>
      <c r="B2124" s="1"/>
      <c r="C2124" s="1"/>
      <c r="D2124" s="1"/>
      <c r="E2124" s="1"/>
      <c r="F2124" s="1"/>
      <c r="G2124" s="1"/>
      <c r="H2124" s="1"/>
      <c r="I2124" s="1"/>
      <c r="J2124" s="1"/>
    </row>
    <row r="2125" ht="15.75" customHeight="1">
      <c r="A2125" s="1"/>
      <c r="B2125" s="1"/>
      <c r="C2125" s="1"/>
      <c r="D2125" s="1"/>
      <c r="E2125" s="1"/>
      <c r="F2125" s="1"/>
      <c r="G2125" s="1"/>
      <c r="H2125" s="1"/>
      <c r="I2125" s="1"/>
      <c r="J2125" s="1"/>
    </row>
    <row r="2126" ht="15.75" customHeight="1">
      <c r="A2126" s="1"/>
      <c r="B2126" s="1"/>
      <c r="C2126" s="1"/>
      <c r="D2126" s="1"/>
      <c r="E2126" s="1"/>
      <c r="F2126" s="1"/>
      <c r="G2126" s="1"/>
      <c r="H2126" s="1"/>
      <c r="I2126" s="1"/>
      <c r="J2126" s="1"/>
    </row>
    <row r="2127" ht="15.75" customHeight="1">
      <c r="A2127" s="1"/>
      <c r="B2127" s="1"/>
      <c r="C2127" s="1"/>
      <c r="D2127" s="1"/>
      <c r="E2127" s="1"/>
      <c r="F2127" s="1"/>
      <c r="G2127" s="1"/>
      <c r="H2127" s="1"/>
      <c r="I2127" s="1"/>
      <c r="J2127" s="1"/>
    </row>
    <row r="2128" ht="15.75" customHeight="1">
      <c r="A2128" s="1"/>
      <c r="B2128" s="1"/>
      <c r="C2128" s="1"/>
      <c r="D2128" s="1"/>
      <c r="E2128" s="1"/>
      <c r="F2128" s="1"/>
      <c r="G2128" s="1"/>
      <c r="H2128" s="1"/>
      <c r="I2128" s="1"/>
      <c r="J2128" s="1"/>
    </row>
    <row r="2129" ht="15.75" customHeight="1">
      <c r="A2129" s="1"/>
      <c r="B2129" s="1"/>
      <c r="C2129" s="1"/>
      <c r="D2129" s="1"/>
      <c r="E2129" s="1"/>
      <c r="F2129" s="1"/>
      <c r="G2129" s="1"/>
      <c r="H2129" s="1"/>
      <c r="I2129" s="1"/>
      <c r="J2129" s="1"/>
    </row>
    <row r="2130" ht="15.75" customHeight="1">
      <c r="A2130" s="1"/>
      <c r="B2130" s="1"/>
      <c r="C2130" s="1"/>
      <c r="D2130" s="1"/>
      <c r="E2130" s="1"/>
      <c r="F2130" s="1"/>
      <c r="G2130" s="1"/>
      <c r="H2130" s="1"/>
      <c r="I2130" s="1"/>
      <c r="J2130" s="1"/>
    </row>
    <row r="2131" ht="15.75" customHeight="1">
      <c r="A2131" s="1"/>
      <c r="B2131" s="1"/>
      <c r="C2131" s="1"/>
      <c r="D2131" s="1"/>
      <c r="E2131" s="1"/>
      <c r="F2131" s="1"/>
      <c r="G2131" s="1"/>
      <c r="H2131" s="1"/>
      <c r="I2131" s="1"/>
      <c r="J2131" s="1"/>
    </row>
    <row r="2132" ht="15.75" customHeight="1">
      <c r="A2132" s="1"/>
      <c r="B2132" s="1"/>
      <c r="C2132" s="1"/>
      <c r="D2132" s="1"/>
      <c r="E2132" s="1"/>
      <c r="F2132" s="1"/>
      <c r="G2132" s="1"/>
      <c r="H2132" s="1"/>
      <c r="I2132" s="1"/>
      <c r="J2132" s="1"/>
    </row>
    <row r="2133" ht="15.75" customHeight="1">
      <c r="A2133" s="1"/>
      <c r="B2133" s="1"/>
      <c r="C2133" s="1"/>
      <c r="D2133" s="1"/>
      <c r="E2133" s="1"/>
      <c r="F2133" s="1"/>
      <c r="G2133" s="1"/>
      <c r="H2133" s="1"/>
      <c r="I2133" s="1"/>
      <c r="J2133" s="1"/>
    </row>
    <row r="2134" ht="15.75" customHeight="1">
      <c r="A2134" s="1"/>
      <c r="B2134" s="1"/>
      <c r="C2134" s="1"/>
      <c r="D2134" s="1"/>
      <c r="E2134" s="1"/>
      <c r="F2134" s="1"/>
      <c r="G2134" s="1"/>
      <c r="H2134" s="1"/>
      <c r="I2134" s="1"/>
      <c r="J2134" s="1"/>
    </row>
    <row r="2135" ht="15.75" customHeight="1">
      <c r="A2135" s="1"/>
      <c r="B2135" s="1"/>
      <c r="C2135" s="1"/>
      <c r="D2135" s="1"/>
      <c r="E2135" s="1"/>
      <c r="F2135" s="1"/>
      <c r="G2135" s="1"/>
      <c r="H2135" s="1"/>
      <c r="I2135" s="1"/>
      <c r="J2135" s="1"/>
    </row>
    <row r="2136" ht="15.75" customHeight="1">
      <c r="A2136" s="1"/>
      <c r="B2136" s="1"/>
      <c r="C2136" s="1"/>
      <c r="D2136" s="1"/>
      <c r="E2136" s="1"/>
      <c r="F2136" s="1"/>
      <c r="G2136" s="1"/>
      <c r="H2136" s="1"/>
      <c r="I2136" s="1"/>
      <c r="J2136" s="1"/>
    </row>
    <row r="2137" ht="15.75" customHeight="1">
      <c r="A2137" s="1"/>
      <c r="B2137" s="1"/>
      <c r="C2137" s="1"/>
      <c r="D2137" s="1"/>
      <c r="E2137" s="1"/>
      <c r="F2137" s="1"/>
      <c r="G2137" s="1"/>
      <c r="H2137" s="1"/>
      <c r="I2137" s="1"/>
      <c r="J2137" s="1"/>
    </row>
    <row r="2138" ht="15.75" customHeight="1">
      <c r="A2138" s="1"/>
      <c r="B2138" s="1"/>
      <c r="C2138" s="1"/>
      <c r="D2138" s="1"/>
      <c r="E2138" s="1"/>
      <c r="F2138" s="1"/>
      <c r="G2138" s="1"/>
      <c r="H2138" s="1"/>
      <c r="I2138" s="1"/>
      <c r="J2138" s="1"/>
    </row>
    <row r="2139" ht="15.75" customHeight="1">
      <c r="A2139" s="1"/>
      <c r="B2139" s="1"/>
      <c r="C2139" s="1"/>
      <c r="D2139" s="1"/>
      <c r="E2139" s="1"/>
      <c r="F2139" s="1"/>
      <c r="G2139" s="1"/>
      <c r="H2139" s="1"/>
      <c r="I2139" s="1"/>
      <c r="J2139" s="1"/>
    </row>
    <row r="2140" ht="15.75" customHeight="1">
      <c r="A2140" s="1"/>
      <c r="B2140" s="1"/>
      <c r="C2140" s="1"/>
      <c r="D2140" s="1"/>
      <c r="E2140" s="1"/>
      <c r="F2140" s="1"/>
      <c r="G2140" s="1"/>
      <c r="H2140" s="1"/>
      <c r="I2140" s="1"/>
      <c r="J2140" s="1"/>
    </row>
    <row r="2141" ht="15.75" customHeight="1">
      <c r="A2141" s="1"/>
      <c r="B2141" s="1"/>
      <c r="C2141" s="1"/>
      <c r="D2141" s="1"/>
      <c r="E2141" s="1"/>
      <c r="F2141" s="1"/>
      <c r="G2141" s="1"/>
      <c r="H2141" s="1"/>
      <c r="I2141" s="1"/>
      <c r="J2141" s="1"/>
    </row>
    <row r="2142" ht="15.75" customHeight="1">
      <c r="A2142" s="1"/>
      <c r="B2142" s="1"/>
      <c r="C2142" s="1"/>
      <c r="D2142" s="1"/>
      <c r="E2142" s="1"/>
      <c r="F2142" s="1"/>
      <c r="G2142" s="1"/>
      <c r="H2142" s="1"/>
      <c r="I2142" s="1"/>
      <c r="J2142" s="1"/>
    </row>
    <row r="2143" ht="15.75" customHeight="1">
      <c r="A2143" s="1"/>
      <c r="B2143" s="1"/>
      <c r="C2143" s="1"/>
      <c r="D2143" s="1"/>
      <c r="E2143" s="1"/>
      <c r="F2143" s="1"/>
      <c r="G2143" s="1"/>
      <c r="H2143" s="1"/>
      <c r="I2143" s="1"/>
      <c r="J2143" s="1"/>
    </row>
    <row r="2144" ht="15.75" customHeight="1">
      <c r="A2144" s="1"/>
      <c r="B2144" s="1"/>
      <c r="C2144" s="1"/>
      <c r="D2144" s="1"/>
      <c r="E2144" s="1"/>
      <c r="F2144" s="1"/>
      <c r="G2144" s="1"/>
      <c r="H2144" s="1"/>
      <c r="I2144" s="1"/>
      <c r="J2144" s="1"/>
    </row>
    <row r="2145" ht="15.75" customHeight="1">
      <c r="A2145" s="1"/>
      <c r="B2145" s="1"/>
      <c r="C2145" s="1"/>
      <c r="D2145" s="1"/>
      <c r="E2145" s="1"/>
      <c r="F2145" s="1"/>
      <c r="G2145" s="1"/>
      <c r="H2145" s="1"/>
      <c r="I2145" s="1"/>
      <c r="J2145" s="1"/>
    </row>
    <row r="2146" ht="15.75" customHeight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</row>
    <row r="2147" ht="15.75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</row>
    <row r="2148" ht="15.75" customHeight="1">
      <c r="A2148" s="1"/>
      <c r="B2148" s="1"/>
      <c r="C2148" s="1"/>
      <c r="D2148" s="1"/>
      <c r="E2148" s="1"/>
      <c r="F2148" s="1"/>
      <c r="G2148" s="1"/>
      <c r="H2148" s="1"/>
      <c r="I2148" s="1"/>
      <c r="J2148" s="1"/>
    </row>
    <row r="2149" ht="15.75" customHeight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</row>
    <row r="2150" ht="15.75" customHeight="1">
      <c r="A2150" s="1"/>
      <c r="B2150" s="1"/>
      <c r="C2150" s="1"/>
      <c r="D2150" s="1"/>
      <c r="E2150" s="1"/>
      <c r="F2150" s="1"/>
      <c r="G2150" s="1"/>
      <c r="H2150" s="1"/>
      <c r="I2150" s="1"/>
      <c r="J2150" s="1"/>
    </row>
    <row r="2151" ht="15.75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</row>
    <row r="2152" ht="15.75" customHeight="1">
      <c r="A2152" s="1"/>
      <c r="B2152" s="1"/>
      <c r="C2152" s="1"/>
      <c r="D2152" s="1"/>
      <c r="E2152" s="1"/>
      <c r="F2152" s="1"/>
      <c r="G2152" s="1"/>
      <c r="H2152" s="1"/>
      <c r="I2152" s="1"/>
      <c r="J2152" s="1"/>
    </row>
    <row r="2153" ht="15.75" customHeight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</row>
    <row r="2154" ht="15.75" customHeight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</row>
    <row r="2155" ht="15.75" customHeight="1">
      <c r="A2155" s="1"/>
      <c r="B2155" s="1"/>
      <c r="C2155" s="1"/>
      <c r="D2155" s="1"/>
      <c r="E2155" s="1"/>
      <c r="F2155" s="1"/>
      <c r="G2155" s="1"/>
      <c r="H2155" s="1"/>
      <c r="I2155" s="1"/>
      <c r="J2155" s="1"/>
    </row>
    <row r="2156" ht="15.75" customHeight="1">
      <c r="A2156" s="1"/>
      <c r="B2156" s="1"/>
      <c r="C2156" s="1"/>
      <c r="D2156" s="1"/>
      <c r="E2156" s="1"/>
      <c r="F2156" s="1"/>
      <c r="G2156" s="1"/>
      <c r="H2156" s="1"/>
      <c r="I2156" s="1"/>
      <c r="J2156" s="1"/>
    </row>
    <row r="2157" ht="15.75" customHeight="1">
      <c r="A2157" s="1"/>
      <c r="B2157" s="1"/>
      <c r="C2157" s="1"/>
      <c r="D2157" s="1"/>
      <c r="E2157" s="1"/>
      <c r="F2157" s="1"/>
      <c r="G2157" s="1"/>
      <c r="H2157" s="1"/>
      <c r="I2157" s="1"/>
      <c r="J2157" s="1"/>
    </row>
    <row r="2158" ht="15.75" customHeight="1">
      <c r="A2158" s="1"/>
      <c r="B2158" s="1"/>
      <c r="C2158" s="1"/>
      <c r="D2158" s="1"/>
      <c r="E2158" s="1"/>
      <c r="F2158" s="1"/>
      <c r="G2158" s="1"/>
      <c r="H2158" s="1"/>
      <c r="I2158" s="1"/>
      <c r="J2158" s="1"/>
    </row>
    <row r="2159" ht="15.75" customHeight="1">
      <c r="A2159" s="1"/>
      <c r="B2159" s="1"/>
      <c r="C2159" s="1"/>
      <c r="D2159" s="1"/>
      <c r="E2159" s="1"/>
      <c r="F2159" s="1"/>
      <c r="G2159" s="1"/>
      <c r="H2159" s="1"/>
      <c r="I2159" s="1"/>
      <c r="J2159" s="1"/>
    </row>
    <row r="2160" ht="15.75" customHeight="1">
      <c r="A2160" s="1"/>
      <c r="B2160" s="1"/>
      <c r="C2160" s="1"/>
      <c r="D2160" s="1"/>
      <c r="E2160" s="1"/>
      <c r="F2160" s="1"/>
      <c r="G2160" s="1"/>
      <c r="H2160" s="1"/>
      <c r="I2160" s="1"/>
      <c r="J2160" s="1"/>
    </row>
    <row r="2161" ht="15.75" customHeight="1">
      <c r="A2161" s="1"/>
      <c r="B2161" s="1"/>
      <c r="C2161" s="1"/>
      <c r="D2161" s="1"/>
      <c r="E2161" s="1"/>
      <c r="F2161" s="1"/>
      <c r="G2161" s="1"/>
      <c r="H2161" s="1"/>
      <c r="I2161" s="1"/>
      <c r="J2161" s="1"/>
    </row>
    <row r="2162" ht="15.75" customHeight="1">
      <c r="A2162" s="1"/>
      <c r="B2162" s="1"/>
      <c r="C2162" s="1"/>
      <c r="D2162" s="1"/>
      <c r="E2162" s="1"/>
      <c r="F2162" s="1"/>
      <c r="G2162" s="1"/>
      <c r="H2162" s="1"/>
      <c r="I2162" s="1"/>
      <c r="J2162" s="1"/>
    </row>
    <row r="2163" ht="15.75" customHeight="1">
      <c r="A2163" s="1"/>
      <c r="B2163" s="1"/>
      <c r="C2163" s="1"/>
      <c r="D2163" s="1"/>
      <c r="E2163" s="1"/>
      <c r="F2163" s="1"/>
      <c r="G2163" s="1"/>
      <c r="H2163" s="1"/>
      <c r="I2163" s="1"/>
      <c r="J2163" s="1"/>
    </row>
    <row r="2164" ht="15.75" customHeight="1">
      <c r="A2164" s="1"/>
      <c r="B2164" s="1"/>
      <c r="C2164" s="1"/>
      <c r="D2164" s="1"/>
      <c r="E2164" s="1"/>
      <c r="F2164" s="1"/>
      <c r="G2164" s="1"/>
      <c r="H2164" s="1"/>
      <c r="I2164" s="1"/>
      <c r="J2164" s="1"/>
    </row>
    <row r="2165" ht="15.75" customHeight="1">
      <c r="A2165" s="1"/>
      <c r="B2165" s="1"/>
      <c r="C2165" s="1"/>
      <c r="D2165" s="1"/>
      <c r="E2165" s="1"/>
      <c r="F2165" s="1"/>
      <c r="G2165" s="1"/>
      <c r="H2165" s="1"/>
      <c r="I2165" s="1"/>
      <c r="J2165" s="1"/>
    </row>
    <row r="2166" ht="15.75" customHeight="1">
      <c r="A2166" s="1"/>
      <c r="B2166" s="1"/>
      <c r="C2166" s="1"/>
      <c r="D2166" s="1"/>
      <c r="E2166" s="1"/>
      <c r="F2166" s="1"/>
      <c r="G2166" s="1"/>
      <c r="H2166" s="1"/>
      <c r="I2166" s="1"/>
      <c r="J2166" s="1"/>
    </row>
    <row r="2167" ht="15.75" customHeight="1">
      <c r="A2167" s="1"/>
      <c r="B2167" s="1"/>
      <c r="C2167" s="1"/>
      <c r="D2167" s="1"/>
      <c r="E2167" s="1"/>
      <c r="F2167" s="1"/>
      <c r="G2167" s="1"/>
      <c r="H2167" s="1"/>
      <c r="I2167" s="1"/>
      <c r="J2167" s="1"/>
    </row>
    <row r="2168" ht="15.75" customHeight="1">
      <c r="A2168" s="1"/>
      <c r="B2168" s="1"/>
      <c r="C2168" s="1"/>
      <c r="D2168" s="1"/>
      <c r="E2168" s="1"/>
      <c r="F2168" s="1"/>
      <c r="G2168" s="1"/>
      <c r="H2168" s="1"/>
      <c r="I2168" s="1"/>
      <c r="J2168" s="1"/>
    </row>
    <row r="2169" ht="15.75" customHeight="1">
      <c r="A2169" s="1"/>
      <c r="B2169" s="1"/>
      <c r="C2169" s="1"/>
      <c r="D2169" s="1"/>
      <c r="E2169" s="1"/>
      <c r="F2169" s="1"/>
      <c r="G2169" s="1"/>
      <c r="H2169" s="1"/>
      <c r="I2169" s="1"/>
      <c r="J2169" s="1"/>
    </row>
    <row r="2170" ht="15.75" customHeight="1">
      <c r="A2170" s="1"/>
      <c r="B2170" s="1"/>
      <c r="C2170" s="1"/>
      <c r="D2170" s="1"/>
      <c r="E2170" s="1"/>
      <c r="F2170" s="1"/>
      <c r="G2170" s="1"/>
      <c r="H2170" s="1"/>
      <c r="I2170" s="1"/>
      <c r="J2170" s="1"/>
    </row>
    <row r="2171" ht="15.75" customHeight="1">
      <c r="A2171" s="1"/>
      <c r="B2171" s="1"/>
      <c r="C2171" s="1"/>
      <c r="D2171" s="1"/>
      <c r="E2171" s="1"/>
      <c r="F2171" s="1"/>
      <c r="G2171" s="1"/>
      <c r="H2171" s="1"/>
      <c r="I2171" s="1"/>
      <c r="J2171" s="1"/>
    </row>
    <row r="2172" ht="15.75" customHeight="1">
      <c r="A2172" s="1"/>
      <c r="B2172" s="1"/>
      <c r="C2172" s="1"/>
      <c r="D2172" s="1"/>
      <c r="E2172" s="1"/>
      <c r="F2172" s="1"/>
      <c r="G2172" s="1"/>
      <c r="H2172" s="1"/>
      <c r="I2172" s="1"/>
      <c r="J2172" s="1"/>
    </row>
    <row r="2173" ht="15.75" customHeight="1">
      <c r="A2173" s="1"/>
      <c r="B2173" s="1"/>
      <c r="C2173" s="1"/>
      <c r="D2173" s="1"/>
      <c r="E2173" s="1"/>
      <c r="F2173" s="1"/>
      <c r="G2173" s="1"/>
      <c r="H2173" s="1"/>
      <c r="I2173" s="1"/>
      <c r="J2173" s="1"/>
    </row>
    <row r="2174" ht="15.75" customHeight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</row>
    <row r="2175" ht="15.75" customHeight="1">
      <c r="A2175" s="1"/>
      <c r="B2175" s="1"/>
      <c r="C2175" s="1"/>
      <c r="D2175" s="1"/>
      <c r="E2175" s="1"/>
      <c r="F2175" s="1"/>
      <c r="G2175" s="1"/>
      <c r="H2175" s="1"/>
      <c r="I2175" s="1"/>
      <c r="J2175" s="1"/>
    </row>
    <row r="2176" ht="15.75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</row>
    <row r="2177" ht="15.75" customHeight="1">
      <c r="A2177" s="1"/>
      <c r="B2177" s="1"/>
      <c r="C2177" s="1"/>
      <c r="D2177" s="1"/>
      <c r="E2177" s="1"/>
      <c r="F2177" s="1"/>
      <c r="G2177" s="1"/>
      <c r="H2177" s="1"/>
      <c r="I2177" s="1"/>
      <c r="J2177" s="1"/>
    </row>
    <row r="2178" ht="15.75" customHeight="1">
      <c r="A2178" s="1"/>
      <c r="B2178" s="1"/>
      <c r="C2178" s="1"/>
      <c r="D2178" s="1"/>
      <c r="E2178" s="1"/>
      <c r="F2178" s="1"/>
      <c r="G2178" s="1"/>
      <c r="H2178" s="1"/>
      <c r="I2178" s="1"/>
      <c r="J2178" s="1"/>
    </row>
    <row r="2179" ht="15.75" customHeight="1">
      <c r="A2179" s="1"/>
      <c r="B2179" s="1"/>
      <c r="C2179" s="1"/>
      <c r="D2179" s="1"/>
      <c r="E2179" s="1"/>
      <c r="F2179" s="1"/>
      <c r="G2179" s="1"/>
      <c r="H2179" s="1"/>
      <c r="I2179" s="1"/>
      <c r="J2179" s="1"/>
    </row>
    <row r="2180" ht="15.75" customHeight="1">
      <c r="A2180" s="1"/>
      <c r="B2180" s="1"/>
      <c r="C2180" s="1"/>
      <c r="D2180" s="1"/>
      <c r="E2180" s="1"/>
      <c r="F2180" s="1"/>
      <c r="G2180" s="1"/>
      <c r="H2180" s="1"/>
      <c r="I2180" s="1"/>
      <c r="J2180" s="1"/>
    </row>
    <row r="2181" ht="15.75" customHeight="1">
      <c r="A2181" s="1"/>
      <c r="B2181" s="1"/>
      <c r="C2181" s="1"/>
      <c r="D2181" s="1"/>
      <c r="E2181" s="1"/>
      <c r="F2181" s="1"/>
      <c r="G2181" s="1"/>
      <c r="H2181" s="1"/>
      <c r="I2181" s="1"/>
      <c r="J2181" s="1"/>
    </row>
    <row r="2182" ht="15.75" customHeight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</row>
    <row r="2183" ht="15.75" customHeight="1">
      <c r="A2183" s="1"/>
      <c r="B2183" s="1"/>
      <c r="C2183" s="1"/>
      <c r="D2183" s="1"/>
      <c r="E2183" s="1"/>
      <c r="F2183" s="1"/>
      <c r="G2183" s="1"/>
      <c r="H2183" s="1"/>
      <c r="I2183" s="1"/>
      <c r="J2183" s="1"/>
    </row>
    <row r="2184" ht="15.75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</row>
    <row r="2185" ht="15.75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</row>
    <row r="2186" ht="15.75" customHeight="1">
      <c r="A2186" s="1"/>
      <c r="B2186" s="1"/>
      <c r="C2186" s="1"/>
      <c r="D2186" s="1"/>
      <c r="E2186" s="1"/>
      <c r="F2186" s="1"/>
      <c r="G2186" s="1"/>
      <c r="H2186" s="1"/>
      <c r="I2186" s="1"/>
      <c r="J2186" s="1"/>
    </row>
    <row r="2187" ht="15.75" customHeight="1">
      <c r="A2187" s="1"/>
      <c r="B2187" s="1"/>
      <c r="C2187" s="1"/>
      <c r="D2187" s="1"/>
      <c r="E2187" s="1"/>
      <c r="F2187" s="1"/>
      <c r="G2187" s="1"/>
      <c r="H2187" s="1"/>
      <c r="I2187" s="1"/>
      <c r="J2187" s="1"/>
    </row>
    <row r="2188" ht="15.75" customHeight="1">
      <c r="A2188" s="1"/>
      <c r="B2188" s="1"/>
      <c r="C2188" s="1"/>
      <c r="D2188" s="1"/>
      <c r="E2188" s="1"/>
      <c r="F2188" s="1"/>
      <c r="G2188" s="1"/>
      <c r="H2188" s="1"/>
      <c r="I2188" s="1"/>
      <c r="J2188" s="1"/>
    </row>
    <row r="2189" ht="15.75" customHeight="1">
      <c r="A2189" s="1"/>
      <c r="B2189" s="1"/>
      <c r="C2189" s="1"/>
      <c r="D2189" s="1"/>
      <c r="E2189" s="1"/>
      <c r="F2189" s="1"/>
      <c r="G2189" s="1"/>
      <c r="H2189" s="1"/>
      <c r="I2189" s="1"/>
      <c r="J2189" s="1"/>
    </row>
    <row r="2190" ht="15.75" customHeight="1">
      <c r="A2190" s="1"/>
      <c r="B2190" s="1"/>
      <c r="C2190" s="1"/>
      <c r="D2190" s="1"/>
      <c r="E2190" s="1"/>
      <c r="F2190" s="1"/>
      <c r="G2190" s="1"/>
      <c r="H2190" s="1"/>
      <c r="I2190" s="1"/>
      <c r="J2190" s="1"/>
    </row>
    <row r="2191" ht="15.75" customHeight="1">
      <c r="A2191" s="1"/>
      <c r="B2191" s="1"/>
      <c r="C2191" s="1"/>
      <c r="D2191" s="1"/>
      <c r="E2191" s="1"/>
      <c r="F2191" s="1"/>
      <c r="G2191" s="1"/>
      <c r="H2191" s="1"/>
      <c r="I2191" s="1"/>
      <c r="J2191" s="1"/>
    </row>
    <row r="2192" ht="15.75" customHeight="1">
      <c r="A2192" s="1"/>
      <c r="B2192" s="1"/>
      <c r="C2192" s="1"/>
      <c r="D2192" s="1"/>
      <c r="E2192" s="1"/>
      <c r="F2192" s="1"/>
      <c r="G2192" s="1"/>
      <c r="H2192" s="1"/>
      <c r="I2192" s="1"/>
      <c r="J2192" s="1"/>
    </row>
    <row r="2193" ht="15.75" customHeight="1">
      <c r="A2193" s="1"/>
      <c r="B2193" s="1"/>
      <c r="C2193" s="1"/>
      <c r="D2193" s="1"/>
      <c r="E2193" s="1"/>
      <c r="F2193" s="1"/>
      <c r="G2193" s="1"/>
      <c r="H2193" s="1"/>
      <c r="I2193" s="1"/>
      <c r="J2193" s="1"/>
    </row>
    <row r="2194" ht="15.75" customHeight="1">
      <c r="A2194" s="1"/>
      <c r="B2194" s="1"/>
      <c r="C2194" s="1"/>
      <c r="D2194" s="1"/>
      <c r="E2194" s="1"/>
      <c r="F2194" s="1"/>
      <c r="G2194" s="1"/>
      <c r="H2194" s="1"/>
      <c r="I2194" s="1"/>
      <c r="J2194" s="1"/>
    </row>
    <row r="2195" ht="15.75" customHeight="1">
      <c r="A2195" s="1"/>
      <c r="B2195" s="1"/>
      <c r="C2195" s="1"/>
      <c r="D2195" s="1"/>
      <c r="E2195" s="1"/>
      <c r="F2195" s="1"/>
      <c r="G2195" s="1"/>
      <c r="H2195" s="1"/>
      <c r="I2195" s="1"/>
      <c r="J2195" s="1"/>
    </row>
    <row r="2196" ht="15.75" customHeight="1">
      <c r="A2196" s="1"/>
      <c r="B2196" s="1"/>
      <c r="C2196" s="1"/>
      <c r="D2196" s="1"/>
      <c r="E2196" s="1"/>
      <c r="F2196" s="1"/>
      <c r="G2196" s="1"/>
      <c r="H2196" s="1"/>
      <c r="I2196" s="1"/>
      <c r="J2196" s="1"/>
    </row>
    <row r="2197" ht="15.75" customHeight="1">
      <c r="A2197" s="1"/>
      <c r="B2197" s="1"/>
      <c r="C2197" s="1"/>
      <c r="D2197" s="1"/>
      <c r="E2197" s="1"/>
      <c r="F2197" s="1"/>
      <c r="G2197" s="1"/>
      <c r="H2197" s="1"/>
      <c r="I2197" s="1"/>
      <c r="J2197" s="1"/>
    </row>
    <row r="2198" ht="15.75" customHeight="1">
      <c r="A2198" s="1"/>
      <c r="B2198" s="1"/>
      <c r="C2198" s="1"/>
      <c r="D2198" s="1"/>
      <c r="E2198" s="1"/>
      <c r="F2198" s="1"/>
      <c r="G2198" s="1"/>
      <c r="H2198" s="1"/>
      <c r="I2198" s="1"/>
      <c r="J2198" s="1"/>
    </row>
    <row r="2199" ht="15.75" customHeight="1">
      <c r="A2199" s="1"/>
      <c r="B2199" s="1"/>
      <c r="C2199" s="1"/>
      <c r="D2199" s="1"/>
      <c r="E2199" s="1"/>
      <c r="F2199" s="1"/>
      <c r="G2199" s="1"/>
      <c r="H2199" s="1"/>
      <c r="I2199" s="1"/>
      <c r="J2199" s="1"/>
    </row>
    <row r="2200" ht="15.75" customHeight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</row>
    <row r="2201" ht="15.75" customHeight="1">
      <c r="A2201" s="1"/>
      <c r="B2201" s="1"/>
      <c r="C2201" s="1"/>
      <c r="D2201" s="1"/>
      <c r="E2201" s="1"/>
      <c r="F2201" s="1"/>
      <c r="G2201" s="1"/>
      <c r="H2201" s="1"/>
      <c r="I2201" s="1"/>
      <c r="J2201" s="1"/>
    </row>
    <row r="2202" ht="15.75" customHeight="1">
      <c r="A2202" s="1"/>
      <c r="B2202" s="1"/>
      <c r="C2202" s="1"/>
      <c r="D2202" s="1"/>
      <c r="E2202" s="1"/>
      <c r="F2202" s="1"/>
      <c r="G2202" s="1"/>
      <c r="H2202" s="1"/>
      <c r="I2202" s="1"/>
      <c r="J2202" s="1"/>
    </row>
    <row r="2203" ht="15.75" customHeight="1">
      <c r="A2203" s="1"/>
      <c r="B2203" s="1"/>
      <c r="C2203" s="1"/>
      <c r="D2203" s="1"/>
      <c r="E2203" s="1"/>
      <c r="F2203" s="1"/>
      <c r="G2203" s="1"/>
      <c r="H2203" s="1"/>
      <c r="I2203" s="1"/>
      <c r="J2203" s="1"/>
    </row>
    <row r="2204" ht="15.75" customHeight="1">
      <c r="A2204" s="1"/>
      <c r="B2204" s="1"/>
      <c r="C2204" s="1"/>
      <c r="D2204" s="1"/>
      <c r="E2204" s="1"/>
      <c r="F2204" s="1"/>
      <c r="G2204" s="1"/>
      <c r="H2204" s="1"/>
      <c r="I2204" s="1"/>
      <c r="J2204" s="1"/>
    </row>
    <row r="2205" ht="15.75" customHeight="1">
      <c r="A2205" s="1"/>
      <c r="B2205" s="1"/>
      <c r="C2205" s="1"/>
      <c r="D2205" s="1"/>
      <c r="E2205" s="1"/>
      <c r="F2205" s="1"/>
      <c r="G2205" s="1"/>
      <c r="H2205" s="1"/>
      <c r="I2205" s="1"/>
      <c r="J2205" s="1"/>
    </row>
    <row r="2206" ht="15.75" customHeight="1">
      <c r="A2206" s="1"/>
      <c r="B2206" s="1"/>
      <c r="C2206" s="1"/>
      <c r="D2206" s="1"/>
      <c r="E2206" s="1"/>
      <c r="F2206" s="1"/>
      <c r="G2206" s="1"/>
      <c r="H2206" s="1"/>
      <c r="I2206" s="1"/>
      <c r="J2206" s="1"/>
    </row>
    <row r="2207" ht="15.75" customHeight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</row>
    <row r="2208" ht="15.75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</row>
    <row r="2209" ht="15.75" customHeight="1">
      <c r="A2209" s="1"/>
      <c r="B2209" s="1"/>
      <c r="C2209" s="1"/>
      <c r="D2209" s="1"/>
      <c r="E2209" s="1"/>
      <c r="F2209" s="1"/>
      <c r="G2209" s="1"/>
      <c r="H2209" s="1"/>
      <c r="I2209" s="1"/>
      <c r="J2209" s="1"/>
    </row>
    <row r="2210" ht="15.75" customHeight="1">
      <c r="A2210" s="1"/>
      <c r="B2210" s="1"/>
      <c r="C2210" s="1"/>
      <c r="D2210" s="1"/>
      <c r="E2210" s="1"/>
      <c r="F2210" s="1"/>
      <c r="G2210" s="1"/>
      <c r="H2210" s="1"/>
      <c r="I2210" s="1"/>
      <c r="J2210" s="1"/>
    </row>
    <row r="2211" ht="15.75" customHeight="1">
      <c r="A2211" s="1"/>
      <c r="B2211" s="1"/>
      <c r="C2211" s="1"/>
      <c r="D2211" s="1"/>
      <c r="E2211" s="1"/>
      <c r="F2211" s="1"/>
      <c r="G2211" s="1"/>
      <c r="H2211" s="1"/>
      <c r="I2211" s="1"/>
      <c r="J2211" s="1"/>
    </row>
    <row r="2212" ht="15.75" customHeight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</row>
    <row r="2213" ht="15.75" customHeight="1">
      <c r="A2213" s="1"/>
      <c r="B2213" s="1"/>
      <c r="C2213" s="1"/>
      <c r="D2213" s="1"/>
      <c r="E2213" s="1"/>
      <c r="F2213" s="1"/>
      <c r="G2213" s="1"/>
      <c r="H2213" s="1"/>
      <c r="I2213" s="1"/>
      <c r="J2213" s="1"/>
    </row>
    <row r="2214" ht="15.75" customHeight="1">
      <c r="A2214" s="1"/>
      <c r="B2214" s="1"/>
      <c r="C2214" s="1"/>
      <c r="D2214" s="1"/>
      <c r="E2214" s="1"/>
      <c r="F2214" s="1"/>
      <c r="G2214" s="1"/>
      <c r="H2214" s="1"/>
      <c r="I2214" s="1"/>
      <c r="J2214" s="1"/>
    </row>
    <row r="2215" ht="15.75" customHeight="1">
      <c r="A2215" s="1"/>
      <c r="B2215" s="1"/>
      <c r="C2215" s="1"/>
      <c r="D2215" s="1"/>
      <c r="E2215" s="1"/>
      <c r="F2215" s="1"/>
      <c r="G2215" s="1"/>
      <c r="H2215" s="1"/>
      <c r="I2215" s="1"/>
      <c r="J2215" s="1"/>
    </row>
    <row r="2216" ht="15.75" customHeight="1">
      <c r="A2216" s="1"/>
      <c r="B2216" s="1"/>
      <c r="C2216" s="1"/>
      <c r="D2216" s="1"/>
      <c r="E2216" s="1"/>
      <c r="F2216" s="1"/>
      <c r="G2216" s="1"/>
      <c r="H2216" s="1"/>
      <c r="I2216" s="1"/>
      <c r="J2216" s="1"/>
    </row>
    <row r="2217" ht="15.75" customHeight="1">
      <c r="A2217" s="1"/>
      <c r="B2217" s="1"/>
      <c r="C2217" s="1"/>
      <c r="D2217" s="1"/>
      <c r="E2217" s="1"/>
      <c r="F2217" s="1"/>
      <c r="G2217" s="1"/>
      <c r="H2217" s="1"/>
      <c r="I2217" s="1"/>
      <c r="J2217" s="1"/>
    </row>
    <row r="2218" ht="15.75" customHeight="1">
      <c r="A2218" s="1"/>
      <c r="B2218" s="1"/>
      <c r="C2218" s="1"/>
      <c r="D2218" s="1"/>
      <c r="E2218" s="1"/>
      <c r="F2218" s="1"/>
      <c r="G2218" s="1"/>
      <c r="H2218" s="1"/>
      <c r="I2218" s="1"/>
      <c r="J2218" s="1"/>
    </row>
    <row r="2219" ht="15.75" customHeight="1">
      <c r="A2219" s="1"/>
      <c r="B2219" s="1"/>
      <c r="C2219" s="1"/>
      <c r="D2219" s="1"/>
      <c r="E2219" s="1"/>
      <c r="F2219" s="1"/>
      <c r="G2219" s="1"/>
      <c r="H2219" s="1"/>
      <c r="I2219" s="1"/>
      <c r="J2219" s="1"/>
    </row>
    <row r="2220" ht="15.75" customHeight="1">
      <c r="A2220" s="1"/>
      <c r="B2220" s="1"/>
      <c r="C2220" s="1"/>
      <c r="D2220" s="1"/>
      <c r="E2220" s="1"/>
      <c r="F2220" s="1"/>
      <c r="G2220" s="1"/>
      <c r="H2220" s="1"/>
      <c r="I2220" s="1"/>
      <c r="J2220" s="1"/>
    </row>
    <row r="2221" ht="15.75" customHeight="1">
      <c r="A2221" s="1"/>
      <c r="B2221" s="1"/>
      <c r="C2221" s="1"/>
      <c r="D2221" s="1"/>
      <c r="E2221" s="1"/>
      <c r="F2221" s="1"/>
      <c r="G2221" s="1"/>
      <c r="H2221" s="1"/>
      <c r="I2221" s="1"/>
      <c r="J2221" s="1"/>
    </row>
    <row r="2222" ht="15.75" customHeight="1">
      <c r="A2222" s="1"/>
      <c r="B2222" s="1"/>
      <c r="C2222" s="1"/>
      <c r="D2222" s="1"/>
      <c r="E2222" s="1"/>
      <c r="F2222" s="1"/>
      <c r="G2222" s="1"/>
      <c r="H2222" s="1"/>
      <c r="I2222" s="1"/>
      <c r="J2222" s="1"/>
    </row>
    <row r="2223" ht="15.75" customHeight="1">
      <c r="A2223" s="1"/>
      <c r="B2223" s="1"/>
      <c r="C2223" s="1"/>
      <c r="D2223" s="1"/>
      <c r="E2223" s="1"/>
      <c r="F2223" s="1"/>
      <c r="G2223" s="1"/>
      <c r="H2223" s="1"/>
      <c r="I2223" s="1"/>
      <c r="J2223" s="1"/>
    </row>
    <row r="2224" ht="15.75" customHeight="1">
      <c r="A2224" s="1"/>
      <c r="B2224" s="1"/>
      <c r="C2224" s="1"/>
      <c r="D2224" s="1"/>
      <c r="E2224" s="1"/>
      <c r="F2224" s="1"/>
      <c r="G2224" s="1"/>
      <c r="H2224" s="1"/>
      <c r="I2224" s="1"/>
      <c r="J2224" s="1"/>
    </row>
    <row r="2225" ht="15.75" customHeight="1">
      <c r="A2225" s="1"/>
      <c r="B2225" s="1"/>
      <c r="C2225" s="1"/>
      <c r="D2225" s="1"/>
      <c r="E2225" s="1"/>
      <c r="F2225" s="1"/>
      <c r="G2225" s="1"/>
      <c r="H2225" s="1"/>
      <c r="I2225" s="1"/>
      <c r="J2225" s="1"/>
    </row>
    <row r="2226" ht="15.75" customHeight="1">
      <c r="A2226" s="1"/>
      <c r="B2226" s="1"/>
      <c r="C2226" s="1"/>
      <c r="D2226" s="1"/>
      <c r="E2226" s="1"/>
      <c r="F2226" s="1"/>
      <c r="G2226" s="1"/>
      <c r="H2226" s="1"/>
      <c r="I2226" s="1"/>
      <c r="J2226" s="1"/>
    </row>
    <row r="2227" ht="15.75" customHeight="1">
      <c r="A2227" s="1"/>
      <c r="B2227" s="1"/>
      <c r="C2227" s="1"/>
      <c r="D2227" s="1"/>
      <c r="E2227" s="1"/>
      <c r="F2227" s="1"/>
      <c r="G2227" s="1"/>
      <c r="H2227" s="1"/>
      <c r="I2227" s="1"/>
      <c r="J2227" s="1"/>
    </row>
    <row r="2228" ht="15.75" customHeight="1">
      <c r="A2228" s="1"/>
      <c r="B2228" s="1"/>
      <c r="C2228" s="1"/>
      <c r="D2228" s="1"/>
      <c r="E2228" s="1"/>
      <c r="F2228" s="1"/>
      <c r="G2228" s="1"/>
      <c r="H2228" s="1"/>
      <c r="I2228" s="1"/>
      <c r="J2228" s="1"/>
    </row>
    <row r="2229" ht="15.75" customHeight="1">
      <c r="A2229" s="1"/>
      <c r="B2229" s="1"/>
      <c r="C2229" s="1"/>
      <c r="D2229" s="1"/>
      <c r="E2229" s="1"/>
      <c r="F2229" s="1"/>
      <c r="G2229" s="1"/>
      <c r="H2229" s="1"/>
      <c r="I2229" s="1"/>
      <c r="J2229" s="1"/>
    </row>
    <row r="2230" ht="15.75" customHeight="1">
      <c r="A2230" s="1"/>
      <c r="B2230" s="1"/>
      <c r="C2230" s="1"/>
      <c r="D2230" s="1"/>
      <c r="E2230" s="1"/>
      <c r="F2230" s="1"/>
      <c r="G2230" s="1"/>
      <c r="H2230" s="1"/>
      <c r="I2230" s="1"/>
      <c r="J2230" s="1"/>
    </row>
    <row r="2231" ht="15.75" customHeight="1">
      <c r="A2231" s="1"/>
      <c r="B2231" s="1"/>
      <c r="C2231" s="1"/>
      <c r="D2231" s="1"/>
      <c r="E2231" s="1"/>
      <c r="F2231" s="1"/>
      <c r="G2231" s="1"/>
      <c r="H2231" s="1"/>
      <c r="I2231" s="1"/>
      <c r="J2231" s="1"/>
    </row>
    <row r="2232" ht="15.75" customHeight="1">
      <c r="A2232" s="1"/>
      <c r="B2232" s="1"/>
      <c r="C2232" s="1"/>
      <c r="D2232" s="1"/>
      <c r="E2232" s="1"/>
      <c r="F2232" s="1"/>
      <c r="G2232" s="1"/>
      <c r="H2232" s="1"/>
      <c r="I2232" s="1"/>
      <c r="J2232" s="1"/>
    </row>
    <row r="2233" ht="15.75" customHeight="1">
      <c r="A2233" s="1"/>
      <c r="B2233" s="1"/>
      <c r="C2233" s="1"/>
      <c r="D2233" s="1"/>
      <c r="E2233" s="1"/>
      <c r="F2233" s="1"/>
      <c r="G2233" s="1"/>
      <c r="H2233" s="1"/>
      <c r="I2233" s="1"/>
      <c r="J2233" s="1"/>
    </row>
    <row r="2234" ht="15.75" customHeight="1">
      <c r="A2234" s="1"/>
      <c r="B2234" s="1"/>
      <c r="C2234" s="1"/>
      <c r="D2234" s="1"/>
      <c r="E2234" s="1"/>
      <c r="F2234" s="1"/>
      <c r="G2234" s="1"/>
      <c r="H2234" s="1"/>
      <c r="I2234" s="1"/>
      <c r="J2234" s="1"/>
    </row>
    <row r="2235" ht="15.75" customHeight="1">
      <c r="A2235" s="1"/>
      <c r="B2235" s="1"/>
      <c r="C2235" s="1"/>
      <c r="D2235" s="1"/>
      <c r="E2235" s="1"/>
      <c r="F2235" s="1"/>
      <c r="G2235" s="1"/>
      <c r="H2235" s="1"/>
      <c r="I2235" s="1"/>
      <c r="J2235" s="1"/>
    </row>
    <row r="2236" ht="15.75" customHeight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</row>
    <row r="2237" ht="15.75" customHeight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</row>
    <row r="2238" ht="15.75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</row>
    <row r="2239" ht="15.75" customHeight="1">
      <c r="A2239" s="1"/>
      <c r="B2239" s="1"/>
      <c r="C2239" s="1"/>
      <c r="D2239" s="1"/>
      <c r="E2239" s="1"/>
      <c r="F2239" s="1"/>
      <c r="G2239" s="1"/>
      <c r="H2239" s="1"/>
      <c r="I2239" s="1"/>
      <c r="J2239" s="1"/>
    </row>
    <row r="2240" ht="15.75" customHeight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</row>
    <row r="2241" ht="15.75" customHeight="1">
      <c r="A2241" s="1"/>
      <c r="B2241" s="1"/>
      <c r="C2241" s="1"/>
      <c r="D2241" s="1"/>
      <c r="E2241" s="1"/>
      <c r="F2241" s="1"/>
      <c r="G2241" s="1"/>
      <c r="H2241" s="1"/>
      <c r="I2241" s="1"/>
      <c r="J2241" s="1"/>
    </row>
    <row r="2242" ht="15.75" customHeight="1">
      <c r="A2242" s="1"/>
      <c r="B2242" s="1"/>
      <c r="C2242" s="1"/>
      <c r="D2242" s="1"/>
      <c r="E2242" s="1"/>
      <c r="F2242" s="1"/>
      <c r="G2242" s="1"/>
      <c r="H2242" s="1"/>
      <c r="I2242" s="1"/>
      <c r="J2242" s="1"/>
    </row>
    <row r="2243" ht="15.75" customHeight="1">
      <c r="A2243" s="1"/>
      <c r="B2243" s="1"/>
      <c r="C2243" s="1"/>
      <c r="D2243" s="1"/>
      <c r="E2243" s="1"/>
      <c r="F2243" s="1"/>
      <c r="G2243" s="1"/>
      <c r="H2243" s="1"/>
      <c r="I2243" s="1"/>
      <c r="J2243" s="1"/>
    </row>
    <row r="2244" ht="15.75" customHeight="1">
      <c r="A2244" s="1"/>
      <c r="B2244" s="1"/>
      <c r="C2244" s="1"/>
      <c r="D2244" s="1"/>
      <c r="E2244" s="1"/>
      <c r="F2244" s="1"/>
      <c r="G2244" s="1"/>
      <c r="H2244" s="1"/>
      <c r="I2244" s="1"/>
      <c r="J2244" s="1"/>
    </row>
    <row r="2245" ht="15.75" customHeight="1">
      <c r="A2245" s="1"/>
      <c r="B2245" s="1"/>
      <c r="C2245" s="1"/>
      <c r="D2245" s="1"/>
      <c r="E2245" s="1"/>
      <c r="F2245" s="1"/>
      <c r="G2245" s="1"/>
      <c r="H2245" s="1"/>
      <c r="I2245" s="1"/>
      <c r="J2245" s="1"/>
    </row>
    <row r="2246" ht="15.75" customHeight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</row>
    <row r="2247" ht="15.75" customHeight="1">
      <c r="A2247" s="1"/>
      <c r="B2247" s="1"/>
      <c r="C2247" s="1"/>
      <c r="D2247" s="1"/>
      <c r="E2247" s="1"/>
      <c r="F2247" s="1"/>
      <c r="G2247" s="1"/>
      <c r="H2247" s="1"/>
      <c r="I2247" s="1"/>
      <c r="J2247" s="1"/>
    </row>
    <row r="2248" ht="15.75" customHeight="1">
      <c r="A2248" s="1"/>
      <c r="B2248" s="1"/>
      <c r="C2248" s="1"/>
      <c r="D2248" s="1"/>
      <c r="E2248" s="1"/>
      <c r="F2248" s="1"/>
      <c r="G2248" s="1"/>
      <c r="H2248" s="1"/>
      <c r="I2248" s="1"/>
      <c r="J2248" s="1"/>
    </row>
    <row r="2249" ht="15.75" customHeight="1">
      <c r="A2249" s="1"/>
      <c r="B2249" s="1"/>
      <c r="C2249" s="1"/>
      <c r="D2249" s="1"/>
      <c r="E2249" s="1"/>
      <c r="F2249" s="1"/>
      <c r="G2249" s="1"/>
      <c r="H2249" s="1"/>
      <c r="I2249" s="1"/>
      <c r="J2249" s="1"/>
    </row>
    <row r="2250" ht="15.75" customHeight="1">
      <c r="A2250" s="1"/>
      <c r="B2250" s="1"/>
      <c r="C2250" s="1"/>
      <c r="D2250" s="1"/>
      <c r="E2250" s="1"/>
      <c r="F2250" s="1"/>
      <c r="G2250" s="1"/>
      <c r="H2250" s="1"/>
      <c r="I2250" s="1"/>
      <c r="J2250" s="1"/>
    </row>
    <row r="2251" ht="15.75" customHeight="1">
      <c r="A2251" s="1"/>
      <c r="B2251" s="1"/>
      <c r="C2251" s="1"/>
      <c r="D2251" s="1"/>
      <c r="E2251" s="1"/>
      <c r="F2251" s="1"/>
      <c r="G2251" s="1"/>
      <c r="H2251" s="1"/>
      <c r="I2251" s="1"/>
      <c r="J2251" s="1"/>
    </row>
    <row r="2252" ht="15.75" customHeight="1">
      <c r="A2252" s="1"/>
      <c r="B2252" s="1"/>
      <c r="C2252" s="1"/>
      <c r="D2252" s="1"/>
      <c r="E2252" s="1"/>
      <c r="F2252" s="1"/>
      <c r="G2252" s="1"/>
      <c r="H2252" s="1"/>
      <c r="I2252" s="1"/>
      <c r="J2252" s="1"/>
    </row>
    <row r="2253" ht="15.75" customHeight="1">
      <c r="A2253" s="1"/>
      <c r="B2253" s="1"/>
      <c r="C2253" s="1"/>
      <c r="D2253" s="1"/>
      <c r="E2253" s="1"/>
      <c r="F2253" s="1"/>
      <c r="G2253" s="1"/>
      <c r="H2253" s="1"/>
      <c r="I2253" s="1"/>
      <c r="J2253" s="1"/>
    </row>
    <row r="2254" ht="15.75" customHeight="1">
      <c r="A2254" s="1"/>
      <c r="B2254" s="1"/>
      <c r="C2254" s="1"/>
      <c r="D2254" s="1"/>
      <c r="E2254" s="1"/>
      <c r="F2254" s="1"/>
      <c r="G2254" s="1"/>
      <c r="H2254" s="1"/>
      <c r="I2254" s="1"/>
      <c r="J2254" s="1"/>
    </row>
    <row r="2255" ht="15.75" customHeight="1">
      <c r="A2255" s="1"/>
      <c r="B2255" s="1"/>
      <c r="C2255" s="1"/>
      <c r="D2255" s="1"/>
      <c r="E2255" s="1"/>
      <c r="F2255" s="1"/>
      <c r="G2255" s="1"/>
      <c r="H2255" s="1"/>
      <c r="I2255" s="1"/>
      <c r="J2255" s="1"/>
    </row>
    <row r="2256" ht="15.75" customHeight="1">
      <c r="A2256" s="1"/>
      <c r="B2256" s="1"/>
      <c r="C2256" s="1"/>
      <c r="D2256" s="1"/>
      <c r="E2256" s="1"/>
      <c r="F2256" s="1"/>
      <c r="G2256" s="1"/>
      <c r="H2256" s="1"/>
      <c r="I2256" s="1"/>
      <c r="J2256" s="1"/>
    </row>
    <row r="2257" ht="15.75" customHeight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</row>
    <row r="2258" ht="15.75" customHeight="1">
      <c r="A2258" s="1"/>
      <c r="B2258" s="1"/>
      <c r="C2258" s="1"/>
      <c r="D2258" s="1"/>
      <c r="E2258" s="1"/>
      <c r="F2258" s="1"/>
      <c r="G2258" s="1"/>
      <c r="H2258" s="1"/>
      <c r="I2258" s="1"/>
      <c r="J2258" s="1"/>
    </row>
    <row r="2259" ht="15.75" customHeight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</row>
    <row r="2260" ht="15.75" customHeight="1">
      <c r="A2260" s="1"/>
      <c r="B2260" s="1"/>
      <c r="C2260" s="1"/>
      <c r="D2260" s="1"/>
      <c r="E2260" s="1"/>
      <c r="F2260" s="1"/>
      <c r="G2260" s="1"/>
      <c r="H2260" s="1"/>
      <c r="I2260" s="1"/>
      <c r="J2260" s="1"/>
    </row>
    <row r="2261" ht="15.75" customHeight="1">
      <c r="A2261" s="1"/>
      <c r="B2261" s="1"/>
      <c r="C2261" s="1"/>
      <c r="D2261" s="1"/>
      <c r="E2261" s="1"/>
      <c r="F2261" s="1"/>
      <c r="G2261" s="1"/>
      <c r="H2261" s="1"/>
      <c r="I2261" s="1"/>
      <c r="J2261" s="1"/>
    </row>
    <row r="2262" ht="15.75" customHeight="1">
      <c r="A2262" s="1"/>
      <c r="B2262" s="1"/>
      <c r="C2262" s="1"/>
      <c r="D2262" s="1"/>
      <c r="E2262" s="1"/>
      <c r="F2262" s="1"/>
      <c r="G2262" s="1"/>
      <c r="H2262" s="1"/>
      <c r="I2262" s="1"/>
      <c r="J2262" s="1"/>
    </row>
    <row r="2263" ht="15.75" customHeight="1">
      <c r="A2263" s="1"/>
      <c r="B2263" s="1"/>
      <c r="C2263" s="1"/>
      <c r="D2263" s="1"/>
      <c r="E2263" s="1"/>
      <c r="F2263" s="1"/>
      <c r="G2263" s="1"/>
      <c r="H2263" s="1"/>
      <c r="I2263" s="1"/>
      <c r="J2263" s="1"/>
    </row>
    <row r="2264" ht="15.75" customHeight="1">
      <c r="A2264" s="1"/>
      <c r="B2264" s="1"/>
      <c r="C2264" s="1"/>
      <c r="D2264" s="1"/>
      <c r="E2264" s="1"/>
      <c r="F2264" s="1"/>
      <c r="G2264" s="1"/>
      <c r="H2264" s="1"/>
      <c r="I2264" s="1"/>
      <c r="J2264" s="1"/>
    </row>
    <row r="2265" ht="15.75" customHeight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</row>
    <row r="2266" ht="15.75" customHeight="1">
      <c r="A2266" s="1"/>
      <c r="B2266" s="1"/>
      <c r="C2266" s="1"/>
      <c r="D2266" s="1"/>
      <c r="E2266" s="1"/>
      <c r="F2266" s="1"/>
      <c r="G2266" s="1"/>
      <c r="H2266" s="1"/>
      <c r="I2266" s="1"/>
      <c r="J2266" s="1"/>
    </row>
    <row r="2267" ht="15.75" customHeight="1">
      <c r="A2267" s="1"/>
      <c r="B2267" s="1"/>
      <c r="C2267" s="1"/>
      <c r="D2267" s="1"/>
      <c r="E2267" s="1"/>
      <c r="F2267" s="1"/>
      <c r="G2267" s="1"/>
      <c r="H2267" s="1"/>
      <c r="I2267" s="1"/>
      <c r="J2267" s="1"/>
    </row>
    <row r="2268" ht="15.75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</row>
    <row r="2269" ht="15.75" customHeight="1">
      <c r="A2269" s="1"/>
      <c r="B2269" s="1"/>
      <c r="C2269" s="1"/>
      <c r="D2269" s="1"/>
      <c r="E2269" s="1"/>
      <c r="F2269" s="1"/>
      <c r="G2269" s="1"/>
      <c r="H2269" s="1"/>
      <c r="I2269" s="1"/>
      <c r="J2269" s="1"/>
    </row>
    <row r="2270" ht="15.75" customHeight="1">
      <c r="A2270" s="1"/>
      <c r="B2270" s="1"/>
      <c r="C2270" s="1"/>
      <c r="D2270" s="1"/>
      <c r="E2270" s="1"/>
      <c r="F2270" s="1"/>
      <c r="G2270" s="1"/>
      <c r="H2270" s="1"/>
      <c r="I2270" s="1"/>
      <c r="J2270" s="1"/>
    </row>
    <row r="2271" ht="15.75" customHeight="1">
      <c r="A2271" s="1"/>
      <c r="B2271" s="1"/>
      <c r="C2271" s="1"/>
      <c r="D2271" s="1"/>
      <c r="E2271" s="1"/>
      <c r="F2271" s="1"/>
      <c r="G2271" s="1"/>
      <c r="H2271" s="1"/>
      <c r="I2271" s="1"/>
      <c r="J2271" s="1"/>
    </row>
    <row r="2272" ht="15.75" customHeight="1">
      <c r="A2272" s="1"/>
      <c r="B2272" s="1"/>
      <c r="C2272" s="1"/>
      <c r="D2272" s="1"/>
      <c r="E2272" s="1"/>
      <c r="F2272" s="1"/>
      <c r="G2272" s="1"/>
      <c r="H2272" s="1"/>
      <c r="I2272" s="1"/>
      <c r="J2272" s="1"/>
    </row>
    <row r="2273" ht="15.75" customHeight="1">
      <c r="A2273" s="1"/>
      <c r="B2273" s="1"/>
      <c r="C2273" s="1"/>
      <c r="D2273" s="1"/>
      <c r="E2273" s="1"/>
      <c r="F2273" s="1"/>
      <c r="G2273" s="1"/>
      <c r="H2273" s="1"/>
      <c r="I2273" s="1"/>
      <c r="J2273" s="1"/>
    </row>
    <row r="2274" ht="15.75" customHeight="1">
      <c r="A2274" s="1"/>
      <c r="B2274" s="1"/>
      <c r="C2274" s="1"/>
      <c r="D2274" s="1"/>
      <c r="E2274" s="1"/>
      <c r="F2274" s="1"/>
      <c r="G2274" s="1"/>
      <c r="H2274" s="1"/>
      <c r="I2274" s="1"/>
      <c r="J2274" s="1"/>
    </row>
    <row r="2275" ht="15.75" customHeight="1">
      <c r="A2275" s="1"/>
      <c r="B2275" s="1"/>
      <c r="C2275" s="1"/>
      <c r="D2275" s="1"/>
      <c r="E2275" s="1"/>
      <c r="F2275" s="1"/>
      <c r="G2275" s="1"/>
      <c r="H2275" s="1"/>
      <c r="I2275" s="1"/>
      <c r="J2275" s="1"/>
    </row>
    <row r="2276" ht="15.75" customHeight="1">
      <c r="A2276" s="1"/>
      <c r="B2276" s="1"/>
      <c r="C2276" s="1"/>
      <c r="D2276" s="1"/>
      <c r="E2276" s="1"/>
      <c r="F2276" s="1"/>
      <c r="G2276" s="1"/>
      <c r="H2276" s="1"/>
      <c r="I2276" s="1"/>
      <c r="J2276" s="1"/>
    </row>
    <row r="2277" ht="15.75" customHeight="1">
      <c r="A2277" s="1"/>
      <c r="B2277" s="1"/>
      <c r="C2277" s="1"/>
      <c r="D2277" s="1"/>
      <c r="E2277" s="1"/>
      <c r="F2277" s="1"/>
      <c r="G2277" s="1"/>
      <c r="H2277" s="1"/>
      <c r="I2277" s="1"/>
      <c r="J2277" s="1"/>
    </row>
    <row r="2278" ht="15.75" customHeight="1">
      <c r="A2278" s="1"/>
      <c r="B2278" s="1"/>
      <c r="C2278" s="1"/>
      <c r="D2278" s="1"/>
      <c r="E2278" s="1"/>
      <c r="F2278" s="1"/>
      <c r="G2278" s="1"/>
      <c r="H2278" s="1"/>
      <c r="I2278" s="1"/>
      <c r="J2278" s="1"/>
    </row>
    <row r="2279" ht="15.75" customHeight="1">
      <c r="A2279" s="1"/>
      <c r="B2279" s="1"/>
      <c r="C2279" s="1"/>
      <c r="D2279" s="1"/>
      <c r="E2279" s="1"/>
      <c r="F2279" s="1"/>
      <c r="G2279" s="1"/>
      <c r="H2279" s="1"/>
      <c r="I2279" s="1"/>
      <c r="J2279" s="1"/>
    </row>
    <row r="2280" ht="15.75" customHeight="1">
      <c r="A2280" s="1"/>
      <c r="B2280" s="1"/>
      <c r="C2280" s="1"/>
      <c r="D2280" s="1"/>
      <c r="E2280" s="1"/>
      <c r="F2280" s="1"/>
      <c r="G2280" s="1"/>
      <c r="H2280" s="1"/>
      <c r="I2280" s="1"/>
      <c r="J2280" s="1"/>
    </row>
    <row r="2281" ht="15.75" customHeight="1">
      <c r="A2281" s="1"/>
      <c r="B2281" s="1"/>
      <c r="C2281" s="1"/>
      <c r="D2281" s="1"/>
      <c r="E2281" s="1"/>
      <c r="F2281" s="1"/>
      <c r="G2281" s="1"/>
      <c r="H2281" s="1"/>
      <c r="I2281" s="1"/>
      <c r="J2281" s="1"/>
    </row>
    <row r="2282" ht="15.75" customHeight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</row>
    <row r="2283" ht="15.75" customHeight="1">
      <c r="A2283" s="1"/>
      <c r="B2283" s="1"/>
      <c r="C2283" s="1"/>
      <c r="D2283" s="1"/>
      <c r="E2283" s="1"/>
      <c r="F2283" s="1"/>
      <c r="G2283" s="1"/>
      <c r="H2283" s="1"/>
      <c r="I2283" s="1"/>
      <c r="J2283" s="1"/>
    </row>
    <row r="2284" ht="15.75" customHeight="1">
      <c r="A2284" s="1"/>
      <c r="B2284" s="1"/>
      <c r="C2284" s="1"/>
      <c r="D2284" s="1"/>
      <c r="E2284" s="1"/>
      <c r="F2284" s="1"/>
      <c r="G2284" s="1"/>
      <c r="H2284" s="1"/>
      <c r="I2284" s="1"/>
      <c r="J2284" s="1"/>
    </row>
    <row r="2285" ht="15.75" customHeight="1">
      <c r="A2285" s="1"/>
      <c r="B2285" s="1"/>
      <c r="C2285" s="1"/>
      <c r="D2285" s="1"/>
      <c r="E2285" s="1"/>
      <c r="F2285" s="1"/>
      <c r="G2285" s="1"/>
      <c r="H2285" s="1"/>
      <c r="I2285" s="1"/>
      <c r="J2285" s="1"/>
    </row>
    <row r="2286" ht="15.75" customHeight="1">
      <c r="A2286" s="1"/>
      <c r="B2286" s="1"/>
      <c r="C2286" s="1"/>
      <c r="D2286" s="1"/>
      <c r="E2286" s="1"/>
      <c r="F2286" s="1"/>
      <c r="G2286" s="1"/>
      <c r="H2286" s="1"/>
      <c r="I2286" s="1"/>
      <c r="J2286" s="1"/>
    </row>
    <row r="2287" ht="15.75" customHeight="1">
      <c r="A2287" s="1"/>
      <c r="B2287" s="1"/>
      <c r="C2287" s="1"/>
      <c r="D2287" s="1"/>
      <c r="E2287" s="1"/>
      <c r="F2287" s="1"/>
      <c r="G2287" s="1"/>
      <c r="H2287" s="1"/>
      <c r="I2287" s="1"/>
      <c r="J2287" s="1"/>
    </row>
    <row r="2288" ht="15.75" customHeight="1">
      <c r="A2288" s="1"/>
      <c r="B2288" s="1"/>
      <c r="C2288" s="1"/>
      <c r="D2288" s="1"/>
      <c r="E2288" s="1"/>
      <c r="F2288" s="1"/>
      <c r="G2288" s="1"/>
      <c r="H2288" s="1"/>
      <c r="I2288" s="1"/>
      <c r="J2288" s="1"/>
    </row>
    <row r="2289" ht="15.75" customHeight="1">
      <c r="A2289" s="1"/>
      <c r="B2289" s="1"/>
      <c r="C2289" s="1"/>
      <c r="D2289" s="1"/>
      <c r="E2289" s="1"/>
      <c r="F2289" s="1"/>
      <c r="G2289" s="1"/>
      <c r="H2289" s="1"/>
      <c r="I2289" s="1"/>
      <c r="J2289" s="1"/>
    </row>
    <row r="2290" ht="15.75" customHeight="1">
      <c r="A2290" s="1"/>
      <c r="B2290" s="1"/>
      <c r="C2290" s="1"/>
      <c r="D2290" s="1"/>
      <c r="E2290" s="1"/>
      <c r="F2290" s="1"/>
      <c r="G2290" s="1"/>
      <c r="H2290" s="1"/>
      <c r="I2290" s="1"/>
      <c r="J2290" s="1"/>
    </row>
    <row r="2291" ht="15.75" customHeight="1">
      <c r="A2291" s="1"/>
      <c r="B2291" s="1"/>
      <c r="C2291" s="1"/>
      <c r="D2291" s="1"/>
      <c r="E2291" s="1"/>
      <c r="F2291" s="1"/>
      <c r="G2291" s="1"/>
      <c r="H2291" s="1"/>
      <c r="I2291" s="1"/>
      <c r="J2291" s="1"/>
    </row>
    <row r="2292" ht="15.75" customHeight="1">
      <c r="A2292" s="1"/>
      <c r="B2292" s="1"/>
      <c r="C2292" s="1"/>
      <c r="D2292" s="1"/>
      <c r="E2292" s="1"/>
      <c r="F2292" s="1"/>
      <c r="G2292" s="1"/>
      <c r="H2292" s="1"/>
      <c r="I2292" s="1"/>
      <c r="J2292" s="1"/>
    </row>
    <row r="2293" ht="15.75" customHeight="1">
      <c r="A2293" s="1"/>
      <c r="B2293" s="1"/>
      <c r="C2293" s="1"/>
      <c r="D2293" s="1"/>
      <c r="E2293" s="1"/>
      <c r="F2293" s="1"/>
      <c r="G2293" s="1"/>
      <c r="H2293" s="1"/>
      <c r="I2293" s="1"/>
      <c r="J2293" s="1"/>
    </row>
    <row r="2294" ht="15.75" customHeight="1">
      <c r="A2294" s="1"/>
      <c r="B2294" s="1"/>
      <c r="C2294" s="1"/>
      <c r="D2294" s="1"/>
      <c r="E2294" s="1"/>
      <c r="F2294" s="1"/>
      <c r="G2294" s="1"/>
      <c r="H2294" s="1"/>
      <c r="I2294" s="1"/>
      <c r="J2294" s="1"/>
    </row>
    <row r="2295" ht="15.75" customHeight="1">
      <c r="A2295" s="1"/>
      <c r="B2295" s="1"/>
      <c r="C2295" s="1"/>
      <c r="D2295" s="1"/>
      <c r="E2295" s="1"/>
      <c r="F2295" s="1"/>
      <c r="G2295" s="1"/>
      <c r="H2295" s="1"/>
      <c r="I2295" s="1"/>
      <c r="J2295" s="1"/>
    </row>
    <row r="2296" ht="15.75" customHeight="1">
      <c r="A2296" s="1"/>
      <c r="B2296" s="1"/>
      <c r="C2296" s="1"/>
      <c r="D2296" s="1"/>
      <c r="E2296" s="1"/>
      <c r="F2296" s="1"/>
      <c r="G2296" s="1"/>
      <c r="H2296" s="1"/>
      <c r="I2296" s="1"/>
      <c r="J2296" s="1"/>
    </row>
    <row r="2297" ht="15.75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</row>
    <row r="2298" ht="15.75" customHeight="1">
      <c r="A2298" s="1"/>
      <c r="B2298" s="1"/>
      <c r="C2298" s="1"/>
      <c r="D2298" s="1"/>
      <c r="E2298" s="1"/>
      <c r="F2298" s="1"/>
      <c r="G2298" s="1"/>
      <c r="H2298" s="1"/>
      <c r="I2298" s="1"/>
      <c r="J2298" s="1"/>
    </row>
    <row r="2299" ht="15.75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</row>
    <row r="2300" ht="15.75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</row>
    <row r="2301" ht="15.75" customHeight="1">
      <c r="A2301" s="1"/>
      <c r="B2301" s="1"/>
      <c r="C2301" s="1"/>
      <c r="D2301" s="1"/>
      <c r="E2301" s="1"/>
      <c r="F2301" s="1"/>
      <c r="G2301" s="1"/>
      <c r="H2301" s="1"/>
      <c r="I2301" s="1"/>
      <c r="J2301" s="1"/>
    </row>
    <row r="2302" ht="15.75" customHeight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</row>
    <row r="2303" ht="15.75" customHeight="1">
      <c r="A2303" s="1"/>
      <c r="B2303" s="1"/>
      <c r="C2303" s="1"/>
      <c r="D2303" s="1"/>
      <c r="E2303" s="1"/>
      <c r="F2303" s="1"/>
      <c r="G2303" s="1"/>
      <c r="H2303" s="1"/>
      <c r="I2303" s="1"/>
      <c r="J2303" s="1"/>
    </row>
    <row r="2304" ht="15.75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</row>
    <row r="2305" ht="15.75" customHeight="1">
      <c r="A2305" s="1"/>
      <c r="B2305" s="1"/>
      <c r="C2305" s="1"/>
      <c r="D2305" s="1"/>
      <c r="E2305" s="1"/>
      <c r="F2305" s="1"/>
      <c r="G2305" s="1"/>
      <c r="H2305" s="1"/>
      <c r="I2305" s="1"/>
      <c r="J2305" s="1"/>
    </row>
    <row r="2306" ht="15.75" customHeight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</row>
    <row r="2307" ht="15.75" customHeight="1">
      <c r="A2307" s="1"/>
      <c r="B2307" s="1"/>
      <c r="C2307" s="1"/>
      <c r="D2307" s="1"/>
      <c r="E2307" s="1"/>
      <c r="F2307" s="1"/>
      <c r="G2307" s="1"/>
      <c r="H2307" s="1"/>
      <c r="I2307" s="1"/>
      <c r="J2307" s="1"/>
    </row>
    <row r="2308" ht="15.75" customHeight="1">
      <c r="A2308" s="1"/>
      <c r="B2308" s="1"/>
      <c r="C2308" s="1"/>
      <c r="D2308" s="1"/>
      <c r="E2308" s="1"/>
      <c r="F2308" s="1"/>
      <c r="G2308" s="1"/>
      <c r="H2308" s="1"/>
      <c r="I2308" s="1"/>
      <c r="J2308" s="1"/>
    </row>
    <row r="2309" ht="15.75" customHeight="1">
      <c r="A2309" s="1"/>
      <c r="B2309" s="1"/>
      <c r="C2309" s="1"/>
      <c r="D2309" s="1"/>
      <c r="E2309" s="1"/>
      <c r="F2309" s="1"/>
      <c r="G2309" s="1"/>
      <c r="H2309" s="1"/>
      <c r="I2309" s="1"/>
      <c r="J2309" s="1"/>
    </row>
    <row r="2310" ht="15.75" customHeight="1">
      <c r="A2310" s="1"/>
      <c r="B2310" s="1"/>
      <c r="C2310" s="1"/>
      <c r="D2310" s="1"/>
      <c r="E2310" s="1"/>
      <c r="F2310" s="1"/>
      <c r="G2310" s="1"/>
      <c r="H2310" s="1"/>
      <c r="I2310" s="1"/>
      <c r="J2310" s="1"/>
    </row>
    <row r="2311" ht="15.75" customHeight="1">
      <c r="A2311" s="1"/>
      <c r="B2311" s="1"/>
      <c r="C2311" s="1"/>
      <c r="D2311" s="1"/>
      <c r="E2311" s="1"/>
      <c r="F2311" s="1"/>
      <c r="G2311" s="1"/>
      <c r="H2311" s="1"/>
      <c r="I2311" s="1"/>
      <c r="J2311" s="1"/>
    </row>
    <row r="2312" ht="15.75" customHeight="1">
      <c r="A2312" s="1"/>
      <c r="B2312" s="1"/>
      <c r="C2312" s="1"/>
      <c r="D2312" s="1"/>
      <c r="E2312" s="1"/>
      <c r="F2312" s="1"/>
      <c r="G2312" s="1"/>
      <c r="H2312" s="1"/>
      <c r="I2312" s="1"/>
      <c r="J2312" s="1"/>
    </row>
    <row r="2313" ht="15.75" customHeight="1">
      <c r="A2313" s="1"/>
      <c r="B2313" s="1"/>
      <c r="C2313" s="1"/>
      <c r="D2313" s="1"/>
      <c r="E2313" s="1"/>
      <c r="F2313" s="1"/>
      <c r="G2313" s="1"/>
      <c r="H2313" s="1"/>
      <c r="I2313" s="1"/>
      <c r="J2313" s="1"/>
    </row>
    <row r="2314" ht="15.75" customHeight="1">
      <c r="A2314" s="1"/>
      <c r="B2314" s="1"/>
      <c r="C2314" s="1"/>
      <c r="D2314" s="1"/>
      <c r="E2314" s="1"/>
      <c r="F2314" s="1"/>
      <c r="G2314" s="1"/>
      <c r="H2314" s="1"/>
      <c r="I2314" s="1"/>
      <c r="J2314" s="1"/>
    </row>
    <row r="2315" ht="15.75" customHeight="1">
      <c r="A2315" s="1"/>
      <c r="B2315" s="1"/>
      <c r="C2315" s="1"/>
      <c r="D2315" s="1"/>
      <c r="E2315" s="1"/>
      <c r="F2315" s="1"/>
      <c r="G2315" s="1"/>
      <c r="H2315" s="1"/>
      <c r="I2315" s="1"/>
      <c r="J2315" s="1"/>
    </row>
    <row r="2316" ht="15.75" customHeight="1">
      <c r="A2316" s="1"/>
      <c r="B2316" s="1"/>
      <c r="C2316" s="1"/>
      <c r="D2316" s="1"/>
      <c r="E2316" s="1"/>
      <c r="F2316" s="1"/>
      <c r="G2316" s="1"/>
      <c r="H2316" s="1"/>
      <c r="I2316" s="1"/>
      <c r="J2316" s="1"/>
    </row>
    <row r="2317" ht="15.75" customHeight="1">
      <c r="A2317" s="1"/>
      <c r="B2317" s="1"/>
      <c r="C2317" s="1"/>
      <c r="D2317" s="1"/>
      <c r="E2317" s="1"/>
      <c r="F2317" s="1"/>
      <c r="G2317" s="1"/>
      <c r="H2317" s="1"/>
      <c r="I2317" s="1"/>
      <c r="J2317" s="1"/>
    </row>
    <row r="2318" ht="15.75" customHeight="1">
      <c r="A2318" s="1"/>
      <c r="B2318" s="1"/>
      <c r="C2318" s="1"/>
      <c r="D2318" s="1"/>
      <c r="E2318" s="1"/>
      <c r="F2318" s="1"/>
      <c r="G2318" s="1"/>
      <c r="H2318" s="1"/>
      <c r="I2318" s="1"/>
      <c r="J2318" s="1"/>
    </row>
    <row r="2319" ht="15.75" customHeight="1">
      <c r="A2319" s="1"/>
      <c r="B2319" s="1"/>
      <c r="C2319" s="1"/>
      <c r="D2319" s="1"/>
      <c r="E2319" s="1"/>
      <c r="F2319" s="1"/>
      <c r="G2319" s="1"/>
      <c r="H2319" s="1"/>
      <c r="I2319" s="1"/>
      <c r="J2319" s="1"/>
    </row>
    <row r="2320" ht="15.75" customHeight="1">
      <c r="A2320" s="1"/>
      <c r="B2320" s="1"/>
      <c r="C2320" s="1"/>
      <c r="D2320" s="1"/>
      <c r="E2320" s="1"/>
      <c r="F2320" s="1"/>
      <c r="G2320" s="1"/>
      <c r="H2320" s="1"/>
      <c r="I2320" s="1"/>
      <c r="J2320" s="1"/>
    </row>
    <row r="2321" ht="15.75" customHeight="1">
      <c r="A2321" s="1"/>
      <c r="B2321" s="1"/>
      <c r="C2321" s="1"/>
      <c r="D2321" s="1"/>
      <c r="E2321" s="1"/>
      <c r="F2321" s="1"/>
      <c r="G2321" s="1"/>
      <c r="H2321" s="1"/>
      <c r="I2321" s="1"/>
      <c r="J2321" s="1"/>
    </row>
    <row r="2322" ht="15.75" customHeight="1">
      <c r="A2322" s="1"/>
      <c r="B2322" s="1"/>
      <c r="C2322" s="1"/>
      <c r="D2322" s="1"/>
      <c r="E2322" s="1"/>
      <c r="F2322" s="1"/>
      <c r="G2322" s="1"/>
      <c r="H2322" s="1"/>
      <c r="I2322" s="1"/>
      <c r="J2322" s="1"/>
    </row>
    <row r="2323" ht="15.75" customHeight="1">
      <c r="A2323" s="1"/>
      <c r="B2323" s="1"/>
      <c r="C2323" s="1"/>
      <c r="D2323" s="1"/>
      <c r="E2323" s="1"/>
      <c r="F2323" s="1"/>
      <c r="G2323" s="1"/>
      <c r="H2323" s="1"/>
      <c r="I2323" s="1"/>
      <c r="J2323" s="1"/>
    </row>
    <row r="2324" ht="15.75" customHeight="1">
      <c r="A2324" s="1"/>
      <c r="B2324" s="1"/>
      <c r="C2324" s="1"/>
      <c r="D2324" s="1"/>
      <c r="E2324" s="1"/>
      <c r="F2324" s="1"/>
      <c r="G2324" s="1"/>
      <c r="H2324" s="1"/>
      <c r="I2324" s="1"/>
      <c r="J2324" s="1"/>
    </row>
    <row r="2325" ht="15.75" customHeight="1">
      <c r="A2325" s="1"/>
      <c r="B2325" s="1"/>
      <c r="C2325" s="1"/>
      <c r="D2325" s="1"/>
      <c r="E2325" s="1"/>
      <c r="F2325" s="1"/>
      <c r="G2325" s="1"/>
      <c r="H2325" s="1"/>
      <c r="I2325" s="1"/>
      <c r="J2325" s="1"/>
    </row>
    <row r="2326" ht="15.75" customHeight="1">
      <c r="A2326" s="1"/>
      <c r="B2326" s="1"/>
      <c r="C2326" s="1"/>
      <c r="D2326" s="1"/>
      <c r="E2326" s="1"/>
      <c r="F2326" s="1"/>
      <c r="G2326" s="1"/>
      <c r="H2326" s="1"/>
      <c r="I2326" s="1"/>
      <c r="J2326" s="1"/>
    </row>
    <row r="2327" ht="15.75" customHeight="1">
      <c r="A2327" s="1"/>
      <c r="B2327" s="1"/>
      <c r="C2327" s="1"/>
      <c r="D2327" s="1"/>
      <c r="E2327" s="1"/>
      <c r="F2327" s="1"/>
      <c r="G2327" s="1"/>
      <c r="H2327" s="1"/>
      <c r="I2327" s="1"/>
      <c r="J2327" s="1"/>
    </row>
    <row r="2328" ht="15.75" customHeight="1">
      <c r="A2328" s="1"/>
      <c r="B2328" s="1"/>
      <c r="C2328" s="1"/>
      <c r="D2328" s="1"/>
      <c r="E2328" s="1"/>
      <c r="F2328" s="1"/>
      <c r="G2328" s="1"/>
      <c r="H2328" s="1"/>
      <c r="I2328" s="1"/>
      <c r="J2328" s="1"/>
    </row>
    <row r="2329" ht="15.75" customHeight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</row>
    <row r="2330" ht="15.75" customHeight="1">
      <c r="A2330" s="1"/>
      <c r="B2330" s="1"/>
      <c r="C2330" s="1"/>
      <c r="D2330" s="1"/>
      <c r="E2330" s="1"/>
      <c r="F2330" s="1"/>
      <c r="G2330" s="1"/>
      <c r="H2330" s="1"/>
      <c r="I2330" s="1"/>
      <c r="J2330" s="1"/>
    </row>
    <row r="2331" ht="15.75" customHeight="1">
      <c r="A2331" s="1"/>
      <c r="B2331" s="1"/>
      <c r="C2331" s="1"/>
      <c r="D2331" s="1"/>
      <c r="E2331" s="1"/>
      <c r="F2331" s="1"/>
      <c r="G2331" s="1"/>
      <c r="H2331" s="1"/>
      <c r="I2331" s="1"/>
      <c r="J2331" s="1"/>
    </row>
    <row r="2332" ht="15.75" customHeight="1">
      <c r="A2332" s="1"/>
      <c r="B2332" s="1"/>
      <c r="C2332" s="1"/>
      <c r="D2332" s="1"/>
      <c r="E2332" s="1"/>
      <c r="F2332" s="1"/>
      <c r="G2332" s="1"/>
      <c r="H2332" s="1"/>
      <c r="I2332" s="1"/>
      <c r="J2332" s="1"/>
    </row>
    <row r="2333" ht="15.75" customHeight="1">
      <c r="A2333" s="1"/>
      <c r="B2333" s="1"/>
      <c r="C2333" s="1"/>
      <c r="D2333" s="1"/>
      <c r="E2333" s="1"/>
      <c r="F2333" s="1"/>
      <c r="G2333" s="1"/>
      <c r="H2333" s="1"/>
      <c r="I2333" s="1"/>
      <c r="J2333" s="1"/>
    </row>
    <row r="2334" ht="15.75" customHeight="1">
      <c r="A2334" s="1"/>
      <c r="B2334" s="1"/>
      <c r="C2334" s="1"/>
      <c r="D2334" s="1"/>
      <c r="E2334" s="1"/>
      <c r="F2334" s="1"/>
      <c r="G2334" s="1"/>
      <c r="H2334" s="1"/>
      <c r="I2334" s="1"/>
      <c r="J2334" s="1"/>
    </row>
    <row r="2335" ht="15.75" customHeight="1">
      <c r="A2335" s="1"/>
      <c r="B2335" s="1"/>
      <c r="C2335" s="1"/>
      <c r="D2335" s="1"/>
      <c r="E2335" s="1"/>
      <c r="F2335" s="1"/>
      <c r="G2335" s="1"/>
      <c r="H2335" s="1"/>
      <c r="I2335" s="1"/>
      <c r="J2335" s="1"/>
    </row>
    <row r="2336" ht="15.75" customHeight="1">
      <c r="A2336" s="1"/>
      <c r="B2336" s="1"/>
      <c r="C2336" s="1"/>
      <c r="D2336" s="1"/>
      <c r="E2336" s="1"/>
      <c r="F2336" s="1"/>
      <c r="G2336" s="1"/>
      <c r="H2336" s="1"/>
      <c r="I2336" s="1"/>
      <c r="J2336" s="1"/>
    </row>
    <row r="2337" ht="15.75" customHeight="1">
      <c r="A2337" s="1"/>
      <c r="B2337" s="1"/>
      <c r="C2337" s="1"/>
      <c r="D2337" s="1"/>
      <c r="E2337" s="1"/>
      <c r="F2337" s="1"/>
      <c r="G2337" s="1"/>
      <c r="H2337" s="1"/>
      <c r="I2337" s="1"/>
      <c r="J2337" s="1"/>
    </row>
    <row r="2338" ht="15.75" customHeight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</row>
    <row r="2339" ht="15.75" customHeight="1">
      <c r="A2339" s="1"/>
      <c r="B2339" s="1"/>
      <c r="C2339" s="1"/>
      <c r="D2339" s="1"/>
      <c r="E2339" s="1"/>
      <c r="F2339" s="1"/>
      <c r="G2339" s="1"/>
      <c r="H2339" s="1"/>
      <c r="I2339" s="1"/>
      <c r="J2339" s="1"/>
    </row>
    <row r="2340" ht="15.75" customHeight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</row>
    <row r="2341" ht="15.75" customHeight="1">
      <c r="A2341" s="1"/>
      <c r="B2341" s="1"/>
      <c r="C2341" s="1"/>
      <c r="D2341" s="1"/>
      <c r="E2341" s="1"/>
      <c r="F2341" s="1"/>
      <c r="G2341" s="1"/>
      <c r="H2341" s="1"/>
      <c r="I2341" s="1"/>
      <c r="J2341" s="1"/>
    </row>
    <row r="2342" ht="15.75" customHeight="1">
      <c r="A2342" s="1"/>
      <c r="B2342" s="1"/>
      <c r="C2342" s="1"/>
      <c r="D2342" s="1"/>
      <c r="E2342" s="1"/>
      <c r="F2342" s="1"/>
      <c r="G2342" s="1"/>
      <c r="H2342" s="1"/>
      <c r="I2342" s="1"/>
      <c r="J2342" s="1"/>
    </row>
    <row r="2343" ht="15.75" customHeight="1">
      <c r="A2343" s="1"/>
      <c r="B2343" s="1"/>
      <c r="C2343" s="1"/>
      <c r="D2343" s="1"/>
      <c r="E2343" s="1"/>
      <c r="F2343" s="1"/>
      <c r="G2343" s="1"/>
      <c r="H2343" s="1"/>
      <c r="I2343" s="1"/>
      <c r="J2343" s="1"/>
    </row>
    <row r="2344" ht="15.75" customHeight="1">
      <c r="A2344" s="1"/>
      <c r="B2344" s="1"/>
      <c r="C2344" s="1"/>
      <c r="D2344" s="1"/>
      <c r="E2344" s="1"/>
      <c r="F2344" s="1"/>
      <c r="G2344" s="1"/>
      <c r="H2344" s="1"/>
      <c r="I2344" s="1"/>
      <c r="J2344" s="1"/>
    </row>
    <row r="2345" ht="15.75" customHeight="1">
      <c r="A2345" s="1"/>
      <c r="B2345" s="1"/>
      <c r="C2345" s="1"/>
      <c r="D2345" s="1"/>
      <c r="E2345" s="1"/>
      <c r="F2345" s="1"/>
      <c r="G2345" s="1"/>
      <c r="H2345" s="1"/>
      <c r="I2345" s="1"/>
      <c r="J2345" s="1"/>
    </row>
    <row r="2346" ht="15.75" customHeight="1">
      <c r="A2346" s="1"/>
      <c r="B2346" s="1"/>
      <c r="C2346" s="1"/>
      <c r="D2346" s="1"/>
      <c r="E2346" s="1"/>
      <c r="F2346" s="1"/>
      <c r="G2346" s="1"/>
      <c r="H2346" s="1"/>
      <c r="I2346" s="1"/>
      <c r="J2346" s="1"/>
    </row>
    <row r="2347" ht="15.75" customHeight="1">
      <c r="A2347" s="1"/>
      <c r="B2347" s="1"/>
      <c r="C2347" s="1"/>
      <c r="D2347" s="1"/>
      <c r="E2347" s="1"/>
      <c r="F2347" s="1"/>
      <c r="G2347" s="1"/>
      <c r="H2347" s="1"/>
      <c r="I2347" s="1"/>
      <c r="J2347" s="1"/>
    </row>
    <row r="2348" ht="15.75" customHeight="1">
      <c r="A2348" s="1"/>
      <c r="B2348" s="1"/>
      <c r="C2348" s="1"/>
      <c r="D2348" s="1"/>
      <c r="E2348" s="1"/>
      <c r="F2348" s="1"/>
      <c r="G2348" s="1"/>
      <c r="H2348" s="1"/>
      <c r="I2348" s="1"/>
      <c r="J2348" s="1"/>
    </row>
    <row r="2349" ht="15.75" customHeight="1">
      <c r="A2349" s="1"/>
      <c r="B2349" s="1"/>
      <c r="C2349" s="1"/>
      <c r="D2349" s="1"/>
      <c r="E2349" s="1"/>
      <c r="F2349" s="1"/>
      <c r="G2349" s="1"/>
      <c r="H2349" s="1"/>
      <c r="I2349" s="1"/>
      <c r="J2349" s="1"/>
    </row>
    <row r="2350" ht="15.75" customHeight="1">
      <c r="A2350" s="1"/>
      <c r="B2350" s="1"/>
      <c r="C2350" s="1"/>
      <c r="D2350" s="1"/>
      <c r="E2350" s="1"/>
      <c r="F2350" s="1"/>
      <c r="G2350" s="1"/>
      <c r="H2350" s="1"/>
      <c r="I2350" s="1"/>
      <c r="J2350" s="1"/>
    </row>
    <row r="2351" ht="15.75" customHeight="1">
      <c r="A2351" s="1"/>
      <c r="B2351" s="1"/>
      <c r="C2351" s="1"/>
      <c r="D2351" s="1"/>
      <c r="E2351" s="1"/>
      <c r="F2351" s="1"/>
      <c r="G2351" s="1"/>
      <c r="H2351" s="1"/>
      <c r="I2351" s="1"/>
      <c r="J2351" s="1"/>
    </row>
    <row r="2352" ht="15.75" customHeight="1">
      <c r="A2352" s="1"/>
      <c r="B2352" s="1"/>
      <c r="C2352" s="1"/>
      <c r="D2352" s="1"/>
      <c r="E2352" s="1"/>
      <c r="F2352" s="1"/>
      <c r="G2352" s="1"/>
      <c r="H2352" s="1"/>
      <c r="I2352" s="1"/>
      <c r="J2352" s="1"/>
    </row>
    <row r="2353" ht="15.75" customHeight="1">
      <c r="A2353" s="1"/>
      <c r="B2353" s="1"/>
      <c r="C2353" s="1"/>
      <c r="D2353" s="1"/>
      <c r="E2353" s="1"/>
      <c r="F2353" s="1"/>
      <c r="G2353" s="1"/>
      <c r="H2353" s="1"/>
      <c r="I2353" s="1"/>
      <c r="J2353" s="1"/>
    </row>
    <row r="2354" ht="15.75" customHeight="1">
      <c r="A2354" s="1"/>
      <c r="B2354" s="1"/>
      <c r="C2354" s="1"/>
      <c r="D2354" s="1"/>
      <c r="E2354" s="1"/>
      <c r="F2354" s="1"/>
      <c r="G2354" s="1"/>
      <c r="H2354" s="1"/>
      <c r="I2354" s="1"/>
      <c r="J2354" s="1"/>
    </row>
    <row r="2355" ht="15.75" customHeight="1">
      <c r="A2355" s="1"/>
      <c r="B2355" s="1"/>
      <c r="C2355" s="1"/>
      <c r="D2355" s="1"/>
      <c r="E2355" s="1"/>
      <c r="F2355" s="1"/>
      <c r="G2355" s="1"/>
      <c r="H2355" s="1"/>
      <c r="I2355" s="1"/>
      <c r="J2355" s="1"/>
    </row>
    <row r="2356" ht="15.75" customHeight="1">
      <c r="A2356" s="1"/>
      <c r="B2356" s="1"/>
      <c r="C2356" s="1"/>
      <c r="D2356" s="1"/>
      <c r="E2356" s="1"/>
      <c r="F2356" s="1"/>
      <c r="G2356" s="1"/>
      <c r="H2356" s="1"/>
      <c r="I2356" s="1"/>
      <c r="J2356" s="1"/>
    </row>
    <row r="2357" ht="15.75" customHeight="1">
      <c r="A2357" s="1"/>
      <c r="B2357" s="1"/>
      <c r="C2357" s="1"/>
      <c r="D2357" s="1"/>
      <c r="E2357" s="1"/>
      <c r="F2357" s="1"/>
      <c r="G2357" s="1"/>
      <c r="H2357" s="1"/>
      <c r="I2357" s="1"/>
      <c r="J2357" s="1"/>
    </row>
    <row r="2358" ht="15.75" customHeight="1">
      <c r="A2358" s="1"/>
      <c r="B2358" s="1"/>
      <c r="C2358" s="1"/>
      <c r="D2358" s="1"/>
      <c r="E2358" s="1"/>
      <c r="F2358" s="1"/>
      <c r="G2358" s="1"/>
      <c r="H2358" s="1"/>
      <c r="I2358" s="1"/>
      <c r="J2358" s="1"/>
    </row>
    <row r="2359" ht="15.75" customHeight="1">
      <c r="A2359" s="1"/>
      <c r="B2359" s="1"/>
      <c r="C2359" s="1"/>
      <c r="D2359" s="1"/>
      <c r="E2359" s="1"/>
      <c r="F2359" s="1"/>
      <c r="G2359" s="1"/>
      <c r="H2359" s="1"/>
      <c r="I2359" s="1"/>
      <c r="J2359" s="1"/>
    </row>
    <row r="2360" ht="15.75" customHeight="1">
      <c r="A2360" s="1"/>
      <c r="B2360" s="1"/>
      <c r="C2360" s="1"/>
      <c r="D2360" s="1"/>
      <c r="E2360" s="1"/>
      <c r="F2360" s="1"/>
      <c r="G2360" s="1"/>
      <c r="H2360" s="1"/>
      <c r="I2360" s="1"/>
      <c r="J2360" s="1"/>
    </row>
    <row r="2361" ht="15.75" customHeight="1">
      <c r="A2361" s="1"/>
      <c r="B2361" s="1"/>
      <c r="C2361" s="1"/>
      <c r="D2361" s="1"/>
      <c r="E2361" s="1"/>
      <c r="F2361" s="1"/>
      <c r="G2361" s="1"/>
      <c r="H2361" s="1"/>
      <c r="I2361" s="1"/>
      <c r="J2361" s="1"/>
    </row>
    <row r="2362" ht="15.75" customHeight="1">
      <c r="A2362" s="1"/>
      <c r="B2362" s="1"/>
      <c r="C2362" s="1"/>
      <c r="D2362" s="1"/>
      <c r="E2362" s="1"/>
      <c r="F2362" s="1"/>
      <c r="G2362" s="1"/>
      <c r="H2362" s="1"/>
      <c r="I2362" s="1"/>
      <c r="J2362" s="1"/>
    </row>
    <row r="2363" ht="15.75" customHeight="1">
      <c r="A2363" s="1"/>
      <c r="B2363" s="1"/>
      <c r="C2363" s="1"/>
      <c r="D2363" s="1"/>
      <c r="E2363" s="1"/>
      <c r="F2363" s="1"/>
      <c r="G2363" s="1"/>
      <c r="H2363" s="1"/>
      <c r="I2363" s="1"/>
      <c r="J2363" s="1"/>
    </row>
    <row r="2364" ht="15.75" customHeight="1">
      <c r="A2364" s="1"/>
      <c r="B2364" s="1"/>
      <c r="C2364" s="1"/>
      <c r="D2364" s="1"/>
      <c r="E2364" s="1"/>
      <c r="F2364" s="1"/>
      <c r="G2364" s="1"/>
      <c r="H2364" s="1"/>
      <c r="I2364" s="1"/>
      <c r="J2364" s="1"/>
    </row>
    <row r="2365" ht="15.75" customHeight="1">
      <c r="A2365" s="1"/>
      <c r="B2365" s="1"/>
      <c r="C2365" s="1"/>
      <c r="D2365" s="1"/>
      <c r="E2365" s="1"/>
      <c r="F2365" s="1"/>
      <c r="G2365" s="1"/>
      <c r="H2365" s="1"/>
      <c r="I2365" s="1"/>
      <c r="J2365" s="1"/>
    </row>
    <row r="2366" ht="15.75" customHeight="1">
      <c r="A2366" s="1"/>
      <c r="B2366" s="1"/>
      <c r="C2366" s="1"/>
      <c r="D2366" s="1"/>
      <c r="E2366" s="1"/>
      <c r="F2366" s="1"/>
      <c r="G2366" s="1"/>
      <c r="H2366" s="1"/>
      <c r="I2366" s="1"/>
      <c r="J2366" s="1"/>
    </row>
    <row r="2367" ht="15.75" customHeight="1">
      <c r="A2367" s="1"/>
      <c r="B2367" s="1"/>
      <c r="C2367" s="1"/>
      <c r="D2367" s="1"/>
      <c r="E2367" s="1"/>
      <c r="F2367" s="1"/>
      <c r="G2367" s="1"/>
      <c r="H2367" s="1"/>
      <c r="I2367" s="1"/>
      <c r="J2367" s="1"/>
    </row>
    <row r="2368" ht="15.75" customHeight="1">
      <c r="A2368" s="1"/>
      <c r="B2368" s="1"/>
      <c r="C2368" s="1"/>
      <c r="D2368" s="1"/>
      <c r="E2368" s="1"/>
      <c r="F2368" s="1"/>
      <c r="G2368" s="1"/>
      <c r="H2368" s="1"/>
      <c r="I2368" s="1"/>
      <c r="J2368" s="1"/>
    </row>
    <row r="2369" ht="15.75" customHeight="1">
      <c r="A2369" s="1"/>
      <c r="B2369" s="1"/>
      <c r="C2369" s="1"/>
      <c r="D2369" s="1"/>
      <c r="E2369" s="1"/>
      <c r="F2369" s="1"/>
      <c r="G2369" s="1"/>
      <c r="H2369" s="1"/>
      <c r="I2369" s="1"/>
      <c r="J2369" s="1"/>
    </row>
    <row r="2370" ht="15.75" customHeight="1">
      <c r="A2370" s="1"/>
      <c r="B2370" s="1"/>
      <c r="C2370" s="1"/>
      <c r="D2370" s="1"/>
      <c r="E2370" s="1"/>
      <c r="F2370" s="1"/>
      <c r="G2370" s="1"/>
      <c r="H2370" s="1"/>
      <c r="I2370" s="1"/>
      <c r="J2370" s="1"/>
    </row>
    <row r="2371" ht="15.75" customHeight="1">
      <c r="A2371" s="1"/>
      <c r="B2371" s="1"/>
      <c r="C2371" s="1"/>
      <c r="D2371" s="1"/>
      <c r="E2371" s="1"/>
      <c r="F2371" s="1"/>
      <c r="G2371" s="1"/>
      <c r="H2371" s="1"/>
      <c r="I2371" s="1"/>
      <c r="J2371" s="1"/>
    </row>
    <row r="2372" ht="15.75" customHeight="1">
      <c r="A2372" s="1"/>
      <c r="B2372" s="1"/>
      <c r="C2372" s="1"/>
      <c r="D2372" s="1"/>
      <c r="E2372" s="1"/>
      <c r="F2372" s="1"/>
      <c r="G2372" s="1"/>
      <c r="H2372" s="1"/>
      <c r="I2372" s="1"/>
      <c r="J2372" s="1"/>
    </row>
    <row r="2373" ht="15.75" customHeight="1">
      <c r="A2373" s="1"/>
      <c r="B2373" s="1"/>
      <c r="C2373" s="1"/>
      <c r="D2373" s="1"/>
      <c r="E2373" s="1"/>
      <c r="F2373" s="1"/>
      <c r="G2373" s="1"/>
      <c r="H2373" s="1"/>
      <c r="I2373" s="1"/>
      <c r="J2373" s="1"/>
    </row>
    <row r="2374" ht="15.75" customHeight="1">
      <c r="A2374" s="1"/>
      <c r="B2374" s="1"/>
      <c r="C2374" s="1"/>
      <c r="D2374" s="1"/>
      <c r="E2374" s="1"/>
      <c r="F2374" s="1"/>
      <c r="G2374" s="1"/>
      <c r="H2374" s="1"/>
      <c r="I2374" s="1"/>
      <c r="J2374" s="1"/>
    </row>
    <row r="2375" ht="15.75" customHeight="1">
      <c r="A2375" s="1"/>
      <c r="B2375" s="1"/>
      <c r="C2375" s="1"/>
      <c r="D2375" s="1"/>
      <c r="E2375" s="1"/>
      <c r="F2375" s="1"/>
      <c r="G2375" s="1"/>
      <c r="H2375" s="1"/>
      <c r="I2375" s="1"/>
      <c r="J2375" s="1"/>
    </row>
    <row r="2376" ht="15.75" customHeight="1">
      <c r="A2376" s="1"/>
      <c r="B2376" s="1"/>
      <c r="C2376" s="1"/>
      <c r="D2376" s="1"/>
      <c r="E2376" s="1"/>
      <c r="F2376" s="1"/>
      <c r="G2376" s="1"/>
      <c r="H2376" s="1"/>
      <c r="I2376" s="1"/>
      <c r="J2376" s="1"/>
    </row>
    <row r="2377" ht="15.75" customHeight="1">
      <c r="A2377" s="1"/>
      <c r="B2377" s="1"/>
      <c r="C2377" s="1"/>
      <c r="D2377" s="1"/>
      <c r="E2377" s="1"/>
      <c r="F2377" s="1"/>
      <c r="G2377" s="1"/>
      <c r="H2377" s="1"/>
      <c r="I2377" s="1"/>
      <c r="J2377" s="1"/>
    </row>
    <row r="2378" ht="15.75" customHeight="1">
      <c r="A2378" s="1"/>
      <c r="B2378" s="1"/>
      <c r="C2378" s="1"/>
      <c r="D2378" s="1"/>
      <c r="E2378" s="1"/>
      <c r="F2378" s="1"/>
      <c r="G2378" s="1"/>
      <c r="H2378" s="1"/>
      <c r="I2378" s="1"/>
      <c r="J2378" s="1"/>
    </row>
    <row r="2379" ht="15.75" customHeight="1">
      <c r="A2379" s="1"/>
      <c r="B2379" s="1"/>
      <c r="C2379" s="1"/>
      <c r="D2379" s="1"/>
      <c r="E2379" s="1"/>
      <c r="F2379" s="1"/>
      <c r="G2379" s="1"/>
      <c r="H2379" s="1"/>
      <c r="I2379" s="1"/>
      <c r="J2379" s="1"/>
    </row>
    <row r="2380" ht="15.75" customHeight="1">
      <c r="A2380" s="1"/>
      <c r="B2380" s="1"/>
      <c r="C2380" s="1"/>
      <c r="D2380" s="1"/>
      <c r="E2380" s="1"/>
      <c r="F2380" s="1"/>
      <c r="G2380" s="1"/>
      <c r="H2380" s="1"/>
      <c r="I2380" s="1"/>
      <c r="J2380" s="1"/>
    </row>
    <row r="2381" ht="15.75" customHeight="1">
      <c r="A2381" s="1"/>
      <c r="B2381" s="1"/>
      <c r="C2381" s="1"/>
      <c r="D2381" s="1"/>
      <c r="E2381" s="1"/>
      <c r="F2381" s="1"/>
      <c r="G2381" s="1"/>
      <c r="H2381" s="1"/>
      <c r="I2381" s="1"/>
      <c r="J2381" s="1"/>
    </row>
    <row r="2382" ht="15.75" customHeight="1">
      <c r="A2382" s="1"/>
      <c r="B2382" s="1"/>
      <c r="C2382" s="1"/>
      <c r="D2382" s="1"/>
      <c r="E2382" s="1"/>
      <c r="F2382" s="1"/>
      <c r="G2382" s="1"/>
      <c r="H2382" s="1"/>
      <c r="I2382" s="1"/>
      <c r="J2382" s="1"/>
    </row>
    <row r="2383" ht="15.75" customHeight="1">
      <c r="A2383" s="1"/>
      <c r="B2383" s="1"/>
      <c r="C2383" s="1"/>
      <c r="D2383" s="1"/>
      <c r="E2383" s="1"/>
      <c r="F2383" s="1"/>
      <c r="G2383" s="1"/>
      <c r="H2383" s="1"/>
      <c r="I2383" s="1"/>
      <c r="J2383" s="1"/>
    </row>
    <row r="2384" ht="15.75" customHeight="1">
      <c r="A2384" s="1"/>
      <c r="B2384" s="1"/>
      <c r="C2384" s="1"/>
      <c r="D2384" s="1"/>
      <c r="E2384" s="1"/>
      <c r="F2384" s="1"/>
      <c r="G2384" s="1"/>
      <c r="H2384" s="1"/>
      <c r="I2384" s="1"/>
      <c r="J2384" s="1"/>
    </row>
    <row r="2385" ht="15.75" customHeight="1">
      <c r="A2385" s="1"/>
      <c r="B2385" s="1"/>
      <c r="C2385" s="1"/>
      <c r="D2385" s="1"/>
      <c r="E2385" s="1"/>
      <c r="F2385" s="1"/>
      <c r="G2385" s="1"/>
      <c r="H2385" s="1"/>
      <c r="I2385" s="1"/>
      <c r="J2385" s="1"/>
    </row>
    <row r="2386" ht="15.75" customHeight="1">
      <c r="A2386" s="1"/>
      <c r="B2386" s="1"/>
      <c r="C2386" s="1"/>
      <c r="D2386" s="1"/>
      <c r="E2386" s="1"/>
      <c r="F2386" s="1"/>
      <c r="G2386" s="1"/>
      <c r="H2386" s="1"/>
      <c r="I2386" s="1"/>
      <c r="J2386" s="1"/>
    </row>
    <row r="2387" ht="15.75" customHeight="1">
      <c r="A2387" s="1"/>
      <c r="B2387" s="1"/>
      <c r="C2387" s="1"/>
      <c r="D2387" s="1"/>
      <c r="E2387" s="1"/>
      <c r="F2387" s="1"/>
      <c r="G2387" s="1"/>
      <c r="H2387" s="1"/>
      <c r="I2387" s="1"/>
      <c r="J2387" s="1"/>
    </row>
    <row r="2388" ht="15.75" customHeight="1">
      <c r="A2388" s="1"/>
      <c r="B2388" s="1"/>
      <c r="C2388" s="1"/>
      <c r="D2388" s="1"/>
      <c r="E2388" s="1"/>
      <c r="F2388" s="1"/>
      <c r="G2388" s="1"/>
      <c r="H2388" s="1"/>
      <c r="I2388" s="1"/>
      <c r="J2388" s="1"/>
    </row>
    <row r="2389" ht="15.75" customHeight="1">
      <c r="A2389" s="1"/>
      <c r="B2389" s="1"/>
      <c r="C2389" s="1"/>
      <c r="D2389" s="1"/>
      <c r="E2389" s="1"/>
      <c r="F2389" s="1"/>
      <c r="G2389" s="1"/>
      <c r="H2389" s="1"/>
      <c r="I2389" s="1"/>
      <c r="J2389" s="1"/>
    </row>
    <row r="2390" ht="15.75" customHeight="1">
      <c r="A2390" s="1"/>
      <c r="B2390" s="1"/>
      <c r="C2390" s="1"/>
      <c r="D2390" s="1"/>
      <c r="E2390" s="1"/>
      <c r="F2390" s="1"/>
      <c r="G2390" s="1"/>
      <c r="H2390" s="1"/>
      <c r="I2390" s="1"/>
      <c r="J2390" s="1"/>
    </row>
    <row r="2391" ht="15.75" customHeight="1">
      <c r="A2391" s="1"/>
      <c r="B2391" s="1"/>
      <c r="C2391" s="1"/>
      <c r="D2391" s="1"/>
      <c r="E2391" s="1"/>
      <c r="F2391" s="1"/>
      <c r="G2391" s="1"/>
      <c r="H2391" s="1"/>
      <c r="I2391" s="1"/>
      <c r="J2391" s="1"/>
    </row>
    <row r="2392" ht="15.75" customHeight="1">
      <c r="A2392" s="1"/>
      <c r="B2392" s="1"/>
      <c r="C2392" s="1"/>
      <c r="D2392" s="1"/>
      <c r="E2392" s="1"/>
      <c r="F2392" s="1"/>
      <c r="G2392" s="1"/>
      <c r="H2392" s="1"/>
      <c r="I2392" s="1"/>
      <c r="J2392" s="1"/>
    </row>
    <row r="2393" ht="15.75" customHeight="1">
      <c r="A2393" s="1"/>
      <c r="B2393" s="1"/>
      <c r="C2393" s="1"/>
      <c r="D2393" s="1"/>
      <c r="E2393" s="1"/>
      <c r="F2393" s="1"/>
      <c r="G2393" s="1"/>
      <c r="H2393" s="1"/>
      <c r="I2393" s="1"/>
      <c r="J2393" s="1"/>
    </row>
    <row r="2394" ht="15.75" customHeight="1">
      <c r="A2394" s="1"/>
      <c r="B2394" s="1"/>
      <c r="C2394" s="1"/>
      <c r="D2394" s="1"/>
      <c r="E2394" s="1"/>
      <c r="F2394" s="1"/>
      <c r="G2394" s="1"/>
      <c r="H2394" s="1"/>
      <c r="I2394" s="1"/>
      <c r="J2394" s="1"/>
    </row>
    <row r="2395" ht="15.75" customHeight="1">
      <c r="A2395" s="1"/>
      <c r="B2395" s="1"/>
      <c r="C2395" s="1"/>
      <c r="D2395" s="1"/>
      <c r="E2395" s="1"/>
      <c r="F2395" s="1"/>
      <c r="G2395" s="1"/>
      <c r="H2395" s="1"/>
      <c r="I2395" s="1"/>
      <c r="J2395" s="1"/>
    </row>
    <row r="2396" ht="15.75" customHeight="1">
      <c r="A2396" s="1"/>
      <c r="B2396" s="1"/>
      <c r="C2396" s="1"/>
      <c r="D2396" s="1"/>
      <c r="E2396" s="1"/>
      <c r="F2396" s="1"/>
      <c r="G2396" s="1"/>
      <c r="H2396" s="1"/>
      <c r="I2396" s="1"/>
      <c r="J2396" s="1"/>
    </row>
    <row r="2397" ht="15.75" customHeight="1">
      <c r="A2397" s="1"/>
      <c r="B2397" s="1"/>
      <c r="C2397" s="1"/>
      <c r="D2397" s="1"/>
      <c r="E2397" s="1"/>
      <c r="F2397" s="1"/>
      <c r="G2397" s="1"/>
      <c r="H2397" s="1"/>
      <c r="I2397" s="1"/>
      <c r="J2397" s="1"/>
    </row>
    <row r="2398" ht="15.75" customHeight="1">
      <c r="A2398" s="1"/>
      <c r="B2398" s="1"/>
      <c r="C2398" s="1"/>
      <c r="D2398" s="1"/>
      <c r="E2398" s="1"/>
      <c r="F2398" s="1"/>
      <c r="G2398" s="1"/>
      <c r="H2398" s="1"/>
      <c r="I2398" s="1"/>
      <c r="J2398" s="1"/>
    </row>
    <row r="2399" ht="15.75" customHeight="1">
      <c r="A2399" s="1"/>
      <c r="B2399" s="1"/>
      <c r="C2399" s="1"/>
      <c r="D2399" s="1"/>
      <c r="E2399" s="1"/>
      <c r="F2399" s="1"/>
      <c r="G2399" s="1"/>
      <c r="H2399" s="1"/>
      <c r="I2399" s="1"/>
      <c r="J2399" s="1"/>
    </row>
    <row r="2400" ht="15.75" customHeight="1">
      <c r="A2400" s="1"/>
      <c r="B2400" s="1"/>
      <c r="C2400" s="1"/>
      <c r="D2400" s="1"/>
      <c r="E2400" s="1"/>
      <c r="F2400" s="1"/>
      <c r="G2400" s="1"/>
      <c r="H2400" s="1"/>
      <c r="I2400" s="1"/>
      <c r="J2400" s="1"/>
    </row>
    <row r="2401" ht="15.75" customHeight="1">
      <c r="A2401" s="1"/>
      <c r="B2401" s="1"/>
      <c r="C2401" s="1"/>
      <c r="D2401" s="1"/>
      <c r="E2401" s="1"/>
      <c r="F2401" s="1"/>
      <c r="G2401" s="1"/>
      <c r="H2401" s="1"/>
      <c r="I2401" s="1"/>
      <c r="J2401" s="1"/>
    </row>
    <row r="2402" ht="15.75" customHeight="1">
      <c r="A2402" s="1"/>
      <c r="B2402" s="1"/>
      <c r="C2402" s="1"/>
      <c r="D2402" s="1"/>
      <c r="E2402" s="1"/>
      <c r="F2402" s="1"/>
      <c r="G2402" s="1"/>
      <c r="H2402" s="1"/>
      <c r="I2402" s="1"/>
      <c r="J2402" s="1"/>
    </row>
    <row r="2403" ht="15.75" customHeight="1">
      <c r="A2403" s="1"/>
      <c r="B2403" s="1"/>
      <c r="C2403" s="1"/>
      <c r="D2403" s="1"/>
      <c r="E2403" s="1"/>
      <c r="F2403" s="1"/>
      <c r="G2403" s="1"/>
      <c r="H2403" s="1"/>
      <c r="I2403" s="1"/>
      <c r="J2403" s="1"/>
    </row>
    <row r="2404" ht="15.75" customHeight="1">
      <c r="A2404" s="1"/>
      <c r="B2404" s="1"/>
      <c r="C2404" s="1"/>
      <c r="D2404" s="1"/>
      <c r="E2404" s="1"/>
      <c r="F2404" s="1"/>
      <c r="G2404" s="1"/>
      <c r="H2404" s="1"/>
      <c r="I2404" s="1"/>
      <c r="J2404" s="1"/>
    </row>
    <row r="2405" ht="15.75" customHeight="1">
      <c r="A2405" s="1"/>
      <c r="B2405" s="1"/>
      <c r="C2405" s="1"/>
      <c r="D2405" s="1"/>
      <c r="E2405" s="1"/>
      <c r="F2405" s="1"/>
      <c r="G2405" s="1"/>
      <c r="H2405" s="1"/>
      <c r="I2405" s="1"/>
      <c r="J2405" s="1"/>
    </row>
    <row r="2406" ht="15.75" customHeight="1">
      <c r="A2406" s="1"/>
      <c r="B2406" s="1"/>
      <c r="C2406" s="1"/>
      <c r="D2406" s="1"/>
      <c r="E2406" s="1"/>
      <c r="F2406" s="1"/>
      <c r="G2406" s="1"/>
      <c r="H2406" s="1"/>
      <c r="I2406" s="1"/>
      <c r="J2406" s="1"/>
    </row>
    <row r="2407" ht="15.75" customHeight="1">
      <c r="A2407" s="1"/>
      <c r="B2407" s="1"/>
      <c r="C2407" s="1"/>
      <c r="D2407" s="1"/>
      <c r="E2407" s="1"/>
      <c r="F2407" s="1"/>
      <c r="G2407" s="1"/>
      <c r="H2407" s="1"/>
      <c r="I2407" s="1"/>
      <c r="J2407" s="1"/>
    </row>
    <row r="2408" ht="15.75" customHeight="1">
      <c r="A2408" s="1"/>
      <c r="B2408" s="1"/>
      <c r="C2408" s="1"/>
      <c r="D2408" s="1"/>
      <c r="E2408" s="1"/>
      <c r="F2408" s="1"/>
      <c r="G2408" s="1"/>
      <c r="H2408" s="1"/>
      <c r="I2408" s="1"/>
      <c r="J2408" s="1"/>
    </row>
    <row r="2409" ht="15.75" customHeight="1">
      <c r="A2409" s="1"/>
      <c r="B2409" s="1"/>
      <c r="C2409" s="1"/>
      <c r="D2409" s="1"/>
      <c r="E2409" s="1"/>
      <c r="F2409" s="1"/>
      <c r="G2409" s="1"/>
      <c r="H2409" s="1"/>
      <c r="I2409" s="1"/>
      <c r="J2409" s="1"/>
    </row>
    <row r="2410" ht="15.75" customHeight="1">
      <c r="A2410" s="1"/>
      <c r="B2410" s="1"/>
      <c r="C2410" s="1"/>
      <c r="D2410" s="1"/>
      <c r="E2410" s="1"/>
      <c r="F2410" s="1"/>
      <c r="G2410" s="1"/>
      <c r="H2410" s="1"/>
      <c r="I2410" s="1"/>
      <c r="J2410" s="1"/>
    </row>
    <row r="2411" ht="15.75" customHeight="1">
      <c r="A2411" s="1"/>
      <c r="B2411" s="1"/>
      <c r="C2411" s="1"/>
      <c r="D2411" s="1"/>
      <c r="E2411" s="1"/>
      <c r="F2411" s="1"/>
      <c r="G2411" s="1"/>
      <c r="H2411" s="1"/>
      <c r="I2411" s="1"/>
      <c r="J2411" s="1"/>
    </row>
    <row r="2412" ht="15.75" customHeight="1">
      <c r="A2412" s="1"/>
      <c r="B2412" s="1"/>
      <c r="C2412" s="1"/>
      <c r="D2412" s="1"/>
      <c r="E2412" s="1"/>
      <c r="F2412" s="1"/>
      <c r="G2412" s="1"/>
      <c r="H2412" s="1"/>
      <c r="I2412" s="1"/>
      <c r="J2412" s="1"/>
    </row>
    <row r="2413" ht="15.75" customHeight="1">
      <c r="A2413" s="1"/>
      <c r="B2413" s="1"/>
      <c r="C2413" s="1"/>
      <c r="D2413" s="1"/>
      <c r="E2413" s="1"/>
      <c r="F2413" s="1"/>
      <c r="G2413" s="1"/>
      <c r="H2413" s="1"/>
      <c r="I2413" s="1"/>
      <c r="J2413" s="1"/>
    </row>
    <row r="2414" ht="15.75" customHeight="1">
      <c r="A2414" s="1"/>
      <c r="B2414" s="1"/>
      <c r="C2414" s="1"/>
      <c r="D2414" s="1"/>
      <c r="E2414" s="1"/>
      <c r="F2414" s="1"/>
      <c r="G2414" s="1"/>
      <c r="H2414" s="1"/>
      <c r="I2414" s="1"/>
      <c r="J2414" s="1"/>
    </row>
    <row r="2415" ht="15.75" customHeight="1">
      <c r="A2415" s="1"/>
      <c r="B2415" s="1"/>
      <c r="C2415" s="1"/>
      <c r="D2415" s="1"/>
      <c r="E2415" s="1"/>
      <c r="F2415" s="1"/>
      <c r="G2415" s="1"/>
      <c r="H2415" s="1"/>
      <c r="I2415" s="1"/>
      <c r="J2415" s="1"/>
    </row>
    <row r="2416" ht="15.75" customHeight="1">
      <c r="A2416" s="1"/>
      <c r="B2416" s="1"/>
      <c r="C2416" s="1"/>
      <c r="D2416" s="1"/>
      <c r="E2416" s="1"/>
      <c r="F2416" s="1"/>
      <c r="G2416" s="1"/>
      <c r="H2416" s="1"/>
      <c r="I2416" s="1"/>
      <c r="J2416" s="1"/>
    </row>
    <row r="2417" ht="15.75" customHeight="1">
      <c r="A2417" s="1"/>
      <c r="B2417" s="1"/>
      <c r="C2417" s="1"/>
      <c r="D2417" s="1"/>
      <c r="E2417" s="1"/>
      <c r="F2417" s="1"/>
      <c r="G2417" s="1"/>
      <c r="H2417" s="1"/>
      <c r="I2417" s="1"/>
      <c r="J2417" s="1"/>
    </row>
    <row r="2418" ht="15.75" customHeight="1">
      <c r="A2418" s="1"/>
      <c r="B2418" s="1"/>
      <c r="C2418" s="1"/>
      <c r="D2418" s="1"/>
      <c r="E2418" s="1"/>
      <c r="F2418" s="1"/>
      <c r="G2418" s="1"/>
      <c r="H2418" s="1"/>
      <c r="I2418" s="1"/>
      <c r="J2418" s="1"/>
    </row>
    <row r="2419" ht="15.75" customHeight="1">
      <c r="A2419" s="1"/>
      <c r="B2419" s="1"/>
      <c r="C2419" s="1"/>
      <c r="D2419" s="1"/>
      <c r="E2419" s="1"/>
      <c r="F2419" s="1"/>
      <c r="G2419" s="1"/>
      <c r="H2419" s="1"/>
      <c r="I2419" s="1"/>
      <c r="J2419" s="1"/>
    </row>
    <row r="2420" ht="15.75" customHeight="1">
      <c r="A2420" s="1"/>
      <c r="B2420" s="1"/>
      <c r="C2420" s="1"/>
      <c r="D2420" s="1"/>
      <c r="E2420" s="1"/>
      <c r="F2420" s="1"/>
      <c r="G2420" s="1"/>
      <c r="H2420" s="1"/>
      <c r="I2420" s="1"/>
      <c r="J2420" s="1"/>
    </row>
    <row r="2421" ht="15.75" customHeight="1">
      <c r="A2421" s="1"/>
      <c r="B2421" s="1"/>
      <c r="C2421" s="1"/>
      <c r="D2421" s="1"/>
      <c r="E2421" s="1"/>
      <c r="F2421" s="1"/>
      <c r="G2421" s="1"/>
      <c r="H2421" s="1"/>
      <c r="I2421" s="1"/>
      <c r="J2421" s="1"/>
    </row>
    <row r="2422" ht="15.75" customHeight="1">
      <c r="A2422" s="1"/>
      <c r="B2422" s="1"/>
      <c r="C2422" s="1"/>
      <c r="D2422" s="1"/>
      <c r="E2422" s="1"/>
      <c r="F2422" s="1"/>
      <c r="G2422" s="1"/>
      <c r="H2422" s="1"/>
      <c r="I2422" s="1"/>
      <c r="J2422" s="1"/>
    </row>
    <row r="2423" ht="15.75" customHeight="1">
      <c r="A2423" s="1"/>
      <c r="B2423" s="1"/>
      <c r="C2423" s="1"/>
      <c r="D2423" s="1"/>
      <c r="E2423" s="1"/>
      <c r="F2423" s="1"/>
      <c r="G2423" s="1"/>
      <c r="H2423" s="1"/>
      <c r="I2423" s="1"/>
      <c r="J2423" s="1"/>
    </row>
    <row r="2424" ht="15.75" customHeight="1">
      <c r="A2424" s="1"/>
      <c r="B2424" s="1"/>
      <c r="C2424" s="1"/>
      <c r="D2424" s="1"/>
      <c r="E2424" s="1"/>
      <c r="F2424" s="1"/>
      <c r="G2424" s="1"/>
      <c r="H2424" s="1"/>
      <c r="I2424" s="1"/>
      <c r="J2424" s="1"/>
    </row>
    <row r="2425" ht="15.75" customHeight="1">
      <c r="A2425" s="1"/>
      <c r="B2425" s="1"/>
      <c r="C2425" s="1"/>
      <c r="D2425" s="1"/>
      <c r="E2425" s="1"/>
      <c r="F2425" s="1"/>
      <c r="G2425" s="1"/>
      <c r="H2425" s="1"/>
      <c r="I2425" s="1"/>
      <c r="J2425" s="1"/>
    </row>
    <row r="2426" ht="15.75" customHeight="1">
      <c r="A2426" s="1"/>
      <c r="B2426" s="1"/>
      <c r="C2426" s="1"/>
      <c r="D2426" s="1"/>
      <c r="E2426" s="1"/>
      <c r="F2426" s="1"/>
      <c r="G2426" s="1"/>
      <c r="H2426" s="1"/>
      <c r="I2426" s="1"/>
      <c r="J2426" s="1"/>
    </row>
    <row r="2427" ht="15.75" customHeight="1">
      <c r="A2427" s="1"/>
      <c r="B2427" s="1"/>
      <c r="C2427" s="1"/>
      <c r="D2427" s="1"/>
      <c r="E2427" s="1"/>
      <c r="F2427" s="1"/>
      <c r="G2427" s="1"/>
      <c r="H2427" s="1"/>
      <c r="I2427" s="1"/>
      <c r="J2427" s="1"/>
    </row>
    <row r="2428" ht="15.75" customHeight="1">
      <c r="A2428" s="1"/>
      <c r="B2428" s="1"/>
      <c r="C2428" s="1"/>
      <c r="D2428" s="1"/>
      <c r="E2428" s="1"/>
      <c r="F2428" s="1"/>
      <c r="G2428" s="1"/>
      <c r="H2428" s="1"/>
      <c r="I2428" s="1"/>
      <c r="J2428" s="1"/>
    </row>
    <row r="2429" ht="15.75" customHeight="1">
      <c r="A2429" s="1"/>
      <c r="B2429" s="1"/>
      <c r="C2429" s="1"/>
      <c r="D2429" s="1"/>
      <c r="E2429" s="1"/>
      <c r="F2429" s="1"/>
      <c r="G2429" s="1"/>
      <c r="H2429" s="1"/>
      <c r="I2429" s="1"/>
      <c r="J2429" s="1"/>
    </row>
    <row r="2430" ht="15.75" customHeight="1">
      <c r="A2430" s="1"/>
      <c r="B2430" s="1"/>
      <c r="C2430" s="1"/>
      <c r="D2430" s="1"/>
      <c r="E2430" s="1"/>
      <c r="F2430" s="1"/>
      <c r="G2430" s="1"/>
      <c r="H2430" s="1"/>
      <c r="I2430" s="1"/>
      <c r="J2430" s="1"/>
    </row>
    <row r="2431" ht="15.75" customHeight="1">
      <c r="A2431" s="1"/>
      <c r="B2431" s="1"/>
      <c r="C2431" s="1"/>
      <c r="D2431" s="1"/>
      <c r="E2431" s="1"/>
      <c r="F2431" s="1"/>
      <c r="G2431" s="1"/>
      <c r="H2431" s="1"/>
      <c r="I2431" s="1"/>
      <c r="J2431" s="1"/>
    </row>
    <row r="2432" ht="15.75" customHeight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</row>
    <row r="2433" ht="15.75" customHeight="1">
      <c r="A2433" s="1"/>
      <c r="B2433" s="1"/>
      <c r="C2433" s="1"/>
      <c r="D2433" s="1"/>
      <c r="E2433" s="1"/>
      <c r="F2433" s="1"/>
      <c r="G2433" s="1"/>
      <c r="H2433" s="1"/>
      <c r="I2433" s="1"/>
      <c r="J2433" s="1"/>
    </row>
    <row r="2434" ht="15.75" customHeight="1">
      <c r="A2434" s="1"/>
      <c r="B2434" s="1"/>
      <c r="C2434" s="1"/>
      <c r="D2434" s="1"/>
      <c r="E2434" s="1"/>
      <c r="F2434" s="1"/>
      <c r="G2434" s="1"/>
      <c r="H2434" s="1"/>
      <c r="I2434" s="1"/>
      <c r="J2434" s="1"/>
    </row>
    <row r="2435" ht="15.75" customHeight="1">
      <c r="A2435" s="1"/>
      <c r="B2435" s="1"/>
      <c r="C2435" s="1"/>
      <c r="D2435" s="1"/>
      <c r="E2435" s="1"/>
      <c r="F2435" s="1"/>
      <c r="G2435" s="1"/>
      <c r="H2435" s="1"/>
      <c r="I2435" s="1"/>
      <c r="J2435" s="1"/>
    </row>
    <row r="2436" ht="15.75" customHeight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</row>
    <row r="2437" ht="15.75" customHeight="1">
      <c r="A2437" s="1"/>
      <c r="B2437" s="1"/>
      <c r="C2437" s="1"/>
      <c r="D2437" s="1"/>
      <c r="E2437" s="1"/>
      <c r="F2437" s="1"/>
      <c r="G2437" s="1"/>
      <c r="H2437" s="1"/>
      <c r="I2437" s="1"/>
      <c r="J2437" s="1"/>
    </row>
    <row r="2438" ht="15.75" customHeight="1">
      <c r="A2438" s="1"/>
      <c r="B2438" s="1"/>
      <c r="C2438" s="1"/>
      <c r="D2438" s="1"/>
      <c r="E2438" s="1"/>
      <c r="F2438" s="1"/>
      <c r="G2438" s="1"/>
      <c r="H2438" s="1"/>
      <c r="I2438" s="1"/>
      <c r="J2438" s="1"/>
    </row>
    <row r="2439" ht="15.75" customHeight="1">
      <c r="A2439" s="1"/>
      <c r="B2439" s="1"/>
      <c r="C2439" s="1"/>
      <c r="D2439" s="1"/>
      <c r="E2439" s="1"/>
      <c r="F2439" s="1"/>
      <c r="G2439" s="1"/>
      <c r="H2439" s="1"/>
      <c r="I2439" s="1"/>
      <c r="J2439" s="1"/>
    </row>
    <row r="2440" ht="15.75" customHeight="1">
      <c r="A2440" s="1"/>
      <c r="B2440" s="1"/>
      <c r="C2440" s="1"/>
      <c r="D2440" s="1"/>
      <c r="E2440" s="1"/>
      <c r="F2440" s="1"/>
      <c r="G2440" s="1"/>
      <c r="H2440" s="1"/>
      <c r="I2440" s="1"/>
      <c r="J2440" s="1"/>
    </row>
    <row r="2441" ht="15.75" customHeight="1">
      <c r="A2441" s="1"/>
      <c r="B2441" s="1"/>
      <c r="C2441" s="1"/>
      <c r="D2441" s="1"/>
      <c r="E2441" s="1"/>
      <c r="F2441" s="1"/>
      <c r="G2441" s="1"/>
      <c r="H2441" s="1"/>
      <c r="I2441" s="1"/>
      <c r="J2441" s="1"/>
    </row>
    <row r="2442" ht="15.75" customHeight="1">
      <c r="A2442" s="1"/>
      <c r="B2442" s="1"/>
      <c r="C2442" s="1"/>
      <c r="D2442" s="1"/>
      <c r="E2442" s="1"/>
      <c r="F2442" s="1"/>
      <c r="G2442" s="1"/>
      <c r="H2442" s="1"/>
      <c r="I2442" s="1"/>
      <c r="J2442" s="1"/>
    </row>
    <row r="2443" ht="15.75" customHeight="1">
      <c r="A2443" s="1"/>
      <c r="B2443" s="1"/>
      <c r="C2443" s="1"/>
      <c r="D2443" s="1"/>
      <c r="E2443" s="1"/>
      <c r="F2443" s="1"/>
      <c r="G2443" s="1"/>
      <c r="H2443" s="1"/>
      <c r="I2443" s="1"/>
      <c r="J2443" s="1"/>
    </row>
    <row r="2444" ht="15.75" customHeight="1">
      <c r="A2444" s="1"/>
      <c r="B2444" s="1"/>
      <c r="C2444" s="1"/>
      <c r="D2444" s="1"/>
      <c r="E2444" s="1"/>
      <c r="F2444" s="1"/>
      <c r="G2444" s="1"/>
      <c r="H2444" s="1"/>
      <c r="I2444" s="1"/>
      <c r="J2444" s="1"/>
    </row>
    <row r="2445" ht="15.75" customHeight="1">
      <c r="A2445" s="1"/>
      <c r="B2445" s="1"/>
      <c r="C2445" s="1"/>
      <c r="D2445" s="1"/>
      <c r="E2445" s="1"/>
      <c r="F2445" s="1"/>
      <c r="G2445" s="1"/>
      <c r="H2445" s="1"/>
      <c r="I2445" s="1"/>
      <c r="J2445" s="1"/>
    </row>
    <row r="2446" ht="15.75" customHeight="1">
      <c r="A2446" s="1"/>
      <c r="B2446" s="1"/>
      <c r="C2446" s="1"/>
      <c r="D2446" s="1"/>
      <c r="E2446" s="1"/>
      <c r="F2446" s="1"/>
      <c r="G2446" s="1"/>
      <c r="H2446" s="1"/>
      <c r="I2446" s="1"/>
      <c r="J2446" s="1"/>
    </row>
    <row r="2447" ht="15.75" customHeight="1">
      <c r="A2447" s="1"/>
      <c r="B2447" s="1"/>
      <c r="C2447" s="1"/>
      <c r="D2447" s="1"/>
      <c r="E2447" s="1"/>
      <c r="F2447" s="1"/>
      <c r="G2447" s="1"/>
      <c r="H2447" s="1"/>
      <c r="I2447" s="1"/>
      <c r="J2447" s="1"/>
    </row>
    <row r="2448" ht="15.75" customHeight="1">
      <c r="A2448" s="1"/>
      <c r="B2448" s="1"/>
      <c r="C2448" s="1"/>
      <c r="D2448" s="1"/>
      <c r="E2448" s="1"/>
      <c r="F2448" s="1"/>
      <c r="G2448" s="1"/>
      <c r="H2448" s="1"/>
      <c r="I2448" s="1"/>
      <c r="J2448" s="1"/>
    </row>
    <row r="2449" ht="15.75" customHeight="1">
      <c r="A2449" s="1"/>
      <c r="B2449" s="1"/>
      <c r="C2449" s="1"/>
      <c r="D2449" s="1"/>
      <c r="E2449" s="1"/>
      <c r="F2449" s="1"/>
      <c r="G2449" s="1"/>
      <c r="H2449" s="1"/>
      <c r="I2449" s="1"/>
      <c r="J2449" s="1"/>
    </row>
    <row r="2450" ht="15.75" customHeight="1">
      <c r="A2450" s="1"/>
      <c r="B2450" s="1"/>
      <c r="C2450" s="1"/>
      <c r="D2450" s="1"/>
      <c r="E2450" s="1"/>
      <c r="F2450" s="1"/>
      <c r="G2450" s="1"/>
      <c r="H2450" s="1"/>
      <c r="I2450" s="1"/>
      <c r="J2450" s="1"/>
    </row>
    <row r="2451" ht="15.75" customHeight="1">
      <c r="A2451" s="1"/>
      <c r="B2451" s="1"/>
      <c r="C2451" s="1"/>
      <c r="D2451" s="1"/>
      <c r="E2451" s="1"/>
      <c r="F2451" s="1"/>
      <c r="G2451" s="1"/>
      <c r="H2451" s="1"/>
      <c r="I2451" s="1"/>
      <c r="J2451" s="1"/>
    </row>
    <row r="2452" ht="15.75" customHeight="1">
      <c r="A2452" s="1"/>
      <c r="B2452" s="1"/>
      <c r="C2452" s="1"/>
      <c r="D2452" s="1"/>
      <c r="E2452" s="1"/>
      <c r="F2452" s="1"/>
      <c r="G2452" s="1"/>
      <c r="H2452" s="1"/>
      <c r="I2452" s="1"/>
      <c r="J2452" s="1"/>
    </row>
    <row r="2453" ht="15.75" customHeight="1">
      <c r="A2453" s="1"/>
      <c r="B2453" s="1"/>
      <c r="C2453" s="1"/>
      <c r="D2453" s="1"/>
      <c r="E2453" s="1"/>
      <c r="F2453" s="1"/>
      <c r="G2453" s="1"/>
      <c r="H2453" s="1"/>
      <c r="I2453" s="1"/>
      <c r="J2453" s="1"/>
    </row>
    <row r="2454" ht="15.75" customHeight="1">
      <c r="A2454" s="1"/>
      <c r="B2454" s="1"/>
      <c r="C2454" s="1"/>
      <c r="D2454" s="1"/>
      <c r="E2454" s="1"/>
      <c r="F2454" s="1"/>
      <c r="G2454" s="1"/>
      <c r="H2454" s="1"/>
      <c r="I2454" s="1"/>
      <c r="J2454" s="1"/>
    </row>
    <row r="2455" ht="15.75" customHeight="1">
      <c r="A2455" s="1"/>
      <c r="B2455" s="1"/>
      <c r="C2455" s="1"/>
      <c r="D2455" s="1"/>
      <c r="E2455" s="1"/>
      <c r="F2455" s="1"/>
      <c r="G2455" s="1"/>
      <c r="H2455" s="1"/>
      <c r="I2455" s="1"/>
      <c r="J2455" s="1"/>
    </row>
    <row r="2456" ht="15.75" customHeight="1">
      <c r="A2456" s="1"/>
      <c r="B2456" s="1"/>
      <c r="C2456" s="1"/>
      <c r="D2456" s="1"/>
      <c r="E2456" s="1"/>
      <c r="F2456" s="1"/>
      <c r="G2456" s="1"/>
      <c r="H2456" s="1"/>
      <c r="I2456" s="1"/>
      <c r="J2456" s="1"/>
    </row>
    <row r="2457" ht="15.75" customHeight="1">
      <c r="A2457" s="1"/>
      <c r="B2457" s="1"/>
      <c r="C2457" s="1"/>
      <c r="D2457" s="1"/>
      <c r="E2457" s="1"/>
      <c r="F2457" s="1"/>
      <c r="G2457" s="1"/>
      <c r="H2457" s="1"/>
      <c r="I2457" s="1"/>
      <c r="J2457" s="1"/>
    </row>
    <row r="2458" ht="15.75" customHeight="1">
      <c r="A2458" s="1"/>
      <c r="B2458" s="1"/>
      <c r="C2458" s="1"/>
      <c r="D2458" s="1"/>
      <c r="E2458" s="1"/>
      <c r="F2458" s="1"/>
      <c r="G2458" s="1"/>
      <c r="H2458" s="1"/>
      <c r="I2458" s="1"/>
      <c r="J2458" s="1"/>
    </row>
    <row r="2459" ht="15.75" customHeight="1">
      <c r="A2459" s="1"/>
      <c r="B2459" s="1"/>
      <c r="C2459" s="1"/>
      <c r="D2459" s="1"/>
      <c r="E2459" s="1"/>
      <c r="F2459" s="1"/>
      <c r="G2459" s="1"/>
      <c r="H2459" s="1"/>
      <c r="I2459" s="1"/>
      <c r="J2459" s="1"/>
    </row>
    <row r="2460" ht="15.75" customHeight="1">
      <c r="A2460" s="1"/>
      <c r="B2460" s="1"/>
      <c r="C2460" s="1"/>
      <c r="D2460" s="1"/>
      <c r="E2460" s="1"/>
      <c r="F2460" s="1"/>
      <c r="G2460" s="1"/>
      <c r="H2460" s="1"/>
      <c r="I2460" s="1"/>
      <c r="J2460" s="1"/>
    </row>
    <row r="2461" ht="15.75" customHeight="1">
      <c r="A2461" s="1"/>
      <c r="B2461" s="1"/>
      <c r="C2461" s="1"/>
      <c r="D2461" s="1"/>
      <c r="E2461" s="1"/>
      <c r="F2461" s="1"/>
      <c r="G2461" s="1"/>
      <c r="H2461" s="1"/>
      <c r="I2461" s="1"/>
      <c r="J2461" s="1"/>
    </row>
    <row r="2462" ht="15.75" customHeight="1">
      <c r="A2462" s="1"/>
      <c r="B2462" s="1"/>
      <c r="C2462" s="1"/>
      <c r="D2462" s="1"/>
      <c r="E2462" s="1"/>
      <c r="F2462" s="1"/>
      <c r="G2462" s="1"/>
      <c r="H2462" s="1"/>
      <c r="I2462" s="1"/>
      <c r="J2462" s="1"/>
    </row>
    <row r="2463" ht="15.75" customHeight="1">
      <c r="A2463" s="1"/>
      <c r="B2463" s="1"/>
      <c r="C2463" s="1"/>
      <c r="D2463" s="1"/>
      <c r="E2463" s="1"/>
      <c r="F2463" s="1"/>
      <c r="G2463" s="1"/>
      <c r="H2463" s="1"/>
      <c r="I2463" s="1"/>
      <c r="J2463" s="1"/>
    </row>
    <row r="2464" ht="15.75" customHeight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</row>
    <row r="2465" ht="15.75" customHeight="1">
      <c r="A2465" s="1"/>
      <c r="B2465" s="1"/>
      <c r="C2465" s="1"/>
      <c r="D2465" s="1"/>
      <c r="E2465" s="1"/>
      <c r="F2465" s="1"/>
      <c r="G2465" s="1"/>
      <c r="H2465" s="1"/>
      <c r="I2465" s="1"/>
      <c r="J2465" s="1"/>
    </row>
    <row r="2466" ht="15.75" customHeight="1">
      <c r="A2466" s="1"/>
      <c r="B2466" s="1"/>
      <c r="C2466" s="1"/>
      <c r="D2466" s="1"/>
      <c r="E2466" s="1"/>
      <c r="F2466" s="1"/>
      <c r="G2466" s="1"/>
      <c r="H2466" s="1"/>
      <c r="I2466" s="1"/>
      <c r="J2466" s="1"/>
    </row>
    <row r="2467" ht="15.75" customHeight="1">
      <c r="A2467" s="1"/>
      <c r="B2467" s="1"/>
      <c r="C2467" s="1"/>
      <c r="D2467" s="1"/>
      <c r="E2467" s="1"/>
      <c r="F2467" s="1"/>
      <c r="G2467" s="1"/>
      <c r="H2467" s="1"/>
      <c r="I2467" s="1"/>
      <c r="J2467" s="1"/>
    </row>
    <row r="2468" ht="15.75" customHeight="1">
      <c r="A2468" s="1"/>
      <c r="B2468" s="1"/>
      <c r="C2468" s="1"/>
      <c r="D2468" s="1"/>
      <c r="E2468" s="1"/>
      <c r="F2468" s="1"/>
      <c r="G2468" s="1"/>
      <c r="H2468" s="1"/>
      <c r="I2468" s="1"/>
      <c r="J2468" s="1"/>
    </row>
    <row r="2469" ht="15.75" customHeight="1">
      <c r="A2469" s="1"/>
      <c r="B2469" s="1"/>
      <c r="C2469" s="1"/>
      <c r="D2469" s="1"/>
      <c r="E2469" s="1"/>
      <c r="F2469" s="1"/>
      <c r="G2469" s="1"/>
      <c r="H2469" s="1"/>
      <c r="I2469" s="1"/>
      <c r="J2469" s="1"/>
    </row>
    <row r="2470" ht="15.75" customHeight="1">
      <c r="A2470" s="1"/>
      <c r="B2470" s="1"/>
      <c r="C2470" s="1"/>
      <c r="D2470" s="1"/>
      <c r="E2470" s="1"/>
      <c r="F2470" s="1"/>
      <c r="G2470" s="1"/>
      <c r="H2470" s="1"/>
      <c r="I2470" s="1"/>
      <c r="J2470" s="1"/>
    </row>
    <row r="2471" ht="15.75" customHeight="1">
      <c r="A2471" s="1"/>
      <c r="B2471" s="1"/>
      <c r="C2471" s="1"/>
      <c r="D2471" s="1"/>
      <c r="E2471" s="1"/>
      <c r="F2471" s="1"/>
      <c r="G2471" s="1"/>
      <c r="H2471" s="1"/>
      <c r="I2471" s="1"/>
      <c r="J2471" s="1"/>
    </row>
    <row r="2472" ht="15.75" customHeight="1">
      <c r="A2472" s="1"/>
      <c r="B2472" s="1"/>
      <c r="C2472" s="1"/>
      <c r="D2472" s="1"/>
      <c r="E2472" s="1"/>
      <c r="F2472" s="1"/>
      <c r="G2472" s="1"/>
      <c r="H2472" s="1"/>
      <c r="I2472" s="1"/>
      <c r="J2472" s="1"/>
    </row>
    <row r="2473" ht="15.75" customHeight="1">
      <c r="A2473" s="1"/>
      <c r="B2473" s="1"/>
      <c r="C2473" s="1"/>
      <c r="D2473" s="1"/>
      <c r="E2473" s="1"/>
      <c r="F2473" s="1"/>
      <c r="G2473" s="1"/>
      <c r="H2473" s="1"/>
      <c r="I2473" s="1"/>
      <c r="J2473" s="1"/>
    </row>
    <row r="2474" ht="15.75" customHeight="1">
      <c r="A2474" s="1"/>
      <c r="B2474" s="1"/>
      <c r="C2474" s="1"/>
      <c r="D2474" s="1"/>
      <c r="E2474" s="1"/>
      <c r="F2474" s="1"/>
      <c r="G2474" s="1"/>
      <c r="H2474" s="1"/>
      <c r="I2474" s="1"/>
      <c r="J2474" s="1"/>
    </row>
    <row r="2475" ht="15.75" customHeight="1">
      <c r="A2475" s="1"/>
      <c r="B2475" s="1"/>
      <c r="C2475" s="1"/>
      <c r="D2475" s="1"/>
      <c r="E2475" s="1"/>
      <c r="F2475" s="1"/>
      <c r="G2475" s="1"/>
      <c r="H2475" s="1"/>
      <c r="I2475" s="1"/>
      <c r="J2475" s="1"/>
    </row>
    <row r="2476" ht="15.75" customHeight="1">
      <c r="A2476" s="1"/>
      <c r="B2476" s="1"/>
      <c r="C2476" s="1"/>
      <c r="D2476" s="1"/>
      <c r="E2476" s="1"/>
      <c r="F2476" s="1"/>
      <c r="G2476" s="1"/>
      <c r="H2476" s="1"/>
      <c r="I2476" s="1"/>
      <c r="J2476" s="1"/>
    </row>
    <row r="2477" ht="15.75" customHeight="1">
      <c r="A2477" s="1"/>
      <c r="B2477" s="1"/>
      <c r="C2477" s="1"/>
      <c r="D2477" s="1"/>
      <c r="E2477" s="1"/>
      <c r="F2477" s="1"/>
      <c r="G2477" s="1"/>
      <c r="H2477" s="1"/>
      <c r="I2477" s="1"/>
      <c r="J2477" s="1"/>
    </row>
    <row r="2478" ht="15.75" customHeight="1">
      <c r="A2478" s="1"/>
      <c r="B2478" s="1"/>
      <c r="C2478" s="1"/>
      <c r="D2478" s="1"/>
      <c r="E2478" s="1"/>
      <c r="F2478" s="1"/>
      <c r="G2478" s="1"/>
      <c r="H2478" s="1"/>
      <c r="I2478" s="1"/>
      <c r="J2478" s="1"/>
    </row>
    <row r="2479" ht="15.75" customHeight="1">
      <c r="A2479" s="1"/>
      <c r="B2479" s="1"/>
      <c r="C2479" s="1"/>
      <c r="D2479" s="1"/>
      <c r="E2479" s="1"/>
      <c r="F2479" s="1"/>
      <c r="G2479" s="1"/>
      <c r="H2479" s="1"/>
      <c r="I2479" s="1"/>
      <c r="J2479" s="1"/>
    </row>
    <row r="2480" ht="15.75" customHeight="1">
      <c r="A2480" s="1"/>
      <c r="B2480" s="1"/>
      <c r="C2480" s="1"/>
      <c r="D2480" s="1"/>
      <c r="E2480" s="1"/>
      <c r="F2480" s="1"/>
      <c r="G2480" s="1"/>
      <c r="H2480" s="1"/>
      <c r="I2480" s="1"/>
      <c r="J2480" s="1"/>
    </row>
    <row r="2481" ht="15.75" customHeight="1">
      <c r="A2481" s="1"/>
      <c r="B2481" s="1"/>
      <c r="C2481" s="1"/>
      <c r="D2481" s="1"/>
      <c r="E2481" s="1"/>
      <c r="F2481" s="1"/>
      <c r="G2481" s="1"/>
      <c r="H2481" s="1"/>
      <c r="I2481" s="1"/>
      <c r="J2481" s="1"/>
    </row>
    <row r="2482" ht="15.75" customHeight="1">
      <c r="A2482" s="1"/>
      <c r="B2482" s="1"/>
      <c r="C2482" s="1"/>
      <c r="D2482" s="1"/>
      <c r="E2482" s="1"/>
      <c r="F2482" s="1"/>
      <c r="G2482" s="1"/>
      <c r="H2482" s="1"/>
      <c r="I2482" s="1"/>
      <c r="J2482" s="1"/>
    </row>
    <row r="2483" ht="15.75" customHeight="1">
      <c r="A2483" s="1"/>
      <c r="B2483" s="1"/>
      <c r="C2483" s="1"/>
      <c r="D2483" s="1"/>
      <c r="E2483" s="1"/>
      <c r="F2483" s="1"/>
      <c r="G2483" s="1"/>
      <c r="H2483" s="1"/>
      <c r="I2483" s="1"/>
      <c r="J2483" s="1"/>
    </row>
    <row r="2484" ht="15.75" customHeight="1">
      <c r="A2484" s="1"/>
      <c r="B2484" s="1"/>
      <c r="C2484" s="1"/>
      <c r="D2484" s="1"/>
      <c r="E2484" s="1"/>
      <c r="F2484" s="1"/>
      <c r="G2484" s="1"/>
      <c r="H2484" s="1"/>
      <c r="I2484" s="1"/>
      <c r="J2484" s="1"/>
    </row>
    <row r="2485" ht="15.75" customHeight="1">
      <c r="A2485" s="1"/>
      <c r="B2485" s="1"/>
      <c r="C2485" s="1"/>
      <c r="D2485" s="1"/>
      <c r="E2485" s="1"/>
      <c r="F2485" s="1"/>
      <c r="G2485" s="1"/>
      <c r="H2485" s="1"/>
      <c r="I2485" s="1"/>
      <c r="J2485" s="1"/>
    </row>
    <row r="2486" ht="15.75" customHeight="1">
      <c r="A2486" s="1"/>
      <c r="B2486" s="1"/>
      <c r="C2486" s="1"/>
      <c r="D2486" s="1"/>
      <c r="E2486" s="1"/>
      <c r="F2486" s="1"/>
      <c r="G2486" s="1"/>
      <c r="H2486" s="1"/>
      <c r="I2486" s="1"/>
      <c r="J2486" s="1"/>
    </row>
    <row r="2487" ht="15.75" customHeight="1">
      <c r="A2487" s="1"/>
      <c r="B2487" s="1"/>
      <c r="C2487" s="1"/>
      <c r="D2487" s="1"/>
      <c r="E2487" s="1"/>
      <c r="F2487" s="1"/>
      <c r="G2487" s="1"/>
      <c r="H2487" s="1"/>
      <c r="I2487" s="1"/>
      <c r="J2487" s="1"/>
    </row>
    <row r="2488" ht="15.75" customHeight="1">
      <c r="A2488" s="1"/>
      <c r="B2488" s="1"/>
      <c r="C2488" s="1"/>
      <c r="D2488" s="1"/>
      <c r="E2488" s="1"/>
      <c r="F2488" s="1"/>
      <c r="G2488" s="1"/>
      <c r="H2488" s="1"/>
      <c r="I2488" s="1"/>
      <c r="J2488" s="1"/>
    </row>
    <row r="2489" ht="15.75" customHeight="1">
      <c r="A2489" s="1"/>
      <c r="B2489" s="1"/>
      <c r="C2489" s="1"/>
      <c r="D2489" s="1"/>
      <c r="E2489" s="1"/>
      <c r="F2489" s="1"/>
      <c r="G2489" s="1"/>
      <c r="H2489" s="1"/>
      <c r="I2489" s="1"/>
      <c r="J2489" s="1"/>
    </row>
    <row r="2490" ht="15.75" customHeight="1">
      <c r="A2490" s="1"/>
      <c r="B2490" s="1"/>
      <c r="C2490" s="1"/>
      <c r="D2490" s="1"/>
      <c r="E2490" s="1"/>
      <c r="F2490" s="1"/>
      <c r="G2490" s="1"/>
      <c r="H2490" s="1"/>
      <c r="I2490" s="1"/>
      <c r="J2490" s="1"/>
    </row>
    <row r="2491" ht="15.75" customHeight="1">
      <c r="A2491" s="1"/>
      <c r="B2491" s="1"/>
      <c r="C2491" s="1"/>
      <c r="D2491" s="1"/>
      <c r="E2491" s="1"/>
      <c r="F2491" s="1"/>
      <c r="G2491" s="1"/>
      <c r="H2491" s="1"/>
      <c r="I2491" s="1"/>
      <c r="J2491" s="1"/>
    </row>
    <row r="2492" ht="15.75" customHeight="1">
      <c r="A2492" s="1"/>
      <c r="B2492" s="1"/>
      <c r="C2492" s="1"/>
      <c r="D2492" s="1"/>
      <c r="E2492" s="1"/>
      <c r="F2492" s="1"/>
      <c r="G2492" s="1"/>
      <c r="H2492" s="1"/>
      <c r="I2492" s="1"/>
      <c r="J2492" s="1"/>
    </row>
    <row r="2493" ht="15.75" customHeight="1">
      <c r="A2493" s="1"/>
      <c r="B2493" s="1"/>
      <c r="C2493" s="1"/>
      <c r="D2493" s="1"/>
      <c r="E2493" s="1"/>
      <c r="F2493" s="1"/>
      <c r="G2493" s="1"/>
      <c r="H2493" s="1"/>
      <c r="I2493" s="1"/>
      <c r="J2493" s="1"/>
    </row>
    <row r="2494" ht="15.75" customHeight="1">
      <c r="A2494" s="1"/>
      <c r="B2494" s="1"/>
      <c r="C2494" s="1"/>
      <c r="D2494" s="1"/>
      <c r="E2494" s="1"/>
      <c r="F2494" s="1"/>
      <c r="G2494" s="1"/>
      <c r="H2494" s="1"/>
      <c r="I2494" s="1"/>
      <c r="J2494" s="1"/>
    </row>
    <row r="2495" ht="15.75" customHeight="1">
      <c r="A2495" s="1"/>
      <c r="B2495" s="1"/>
      <c r="C2495" s="1"/>
      <c r="D2495" s="1"/>
      <c r="E2495" s="1"/>
      <c r="F2495" s="1"/>
      <c r="G2495" s="1"/>
      <c r="H2495" s="1"/>
      <c r="I2495" s="1"/>
      <c r="J2495" s="1"/>
    </row>
    <row r="2496" ht="15.75" customHeight="1">
      <c r="A2496" s="1"/>
      <c r="B2496" s="1"/>
      <c r="C2496" s="1"/>
      <c r="D2496" s="1"/>
      <c r="E2496" s="1"/>
      <c r="F2496" s="1"/>
      <c r="G2496" s="1"/>
      <c r="H2496" s="1"/>
      <c r="I2496" s="1"/>
      <c r="J2496" s="1"/>
    </row>
    <row r="2497" ht="15.75" customHeight="1">
      <c r="A2497" s="1"/>
      <c r="B2497" s="1"/>
      <c r="C2497" s="1"/>
      <c r="D2497" s="1"/>
      <c r="E2497" s="1"/>
      <c r="F2497" s="1"/>
      <c r="G2497" s="1"/>
      <c r="H2497" s="1"/>
      <c r="I2497" s="1"/>
      <c r="J2497" s="1"/>
    </row>
    <row r="2498" ht="15.75" customHeight="1">
      <c r="A2498" s="1"/>
      <c r="B2498" s="1"/>
      <c r="C2498" s="1"/>
      <c r="D2498" s="1"/>
      <c r="E2498" s="1"/>
      <c r="F2498" s="1"/>
      <c r="G2498" s="1"/>
      <c r="H2498" s="1"/>
      <c r="I2498" s="1"/>
      <c r="J2498" s="1"/>
    </row>
    <row r="2499" ht="15.75" customHeight="1">
      <c r="A2499" s="1"/>
      <c r="B2499" s="1"/>
      <c r="C2499" s="1"/>
      <c r="D2499" s="1"/>
      <c r="E2499" s="1"/>
      <c r="F2499" s="1"/>
      <c r="G2499" s="1"/>
      <c r="H2499" s="1"/>
      <c r="I2499" s="1"/>
      <c r="J2499" s="1"/>
    </row>
    <row r="2500" ht="15.75" customHeight="1">
      <c r="A2500" s="1"/>
      <c r="B2500" s="1"/>
      <c r="C2500" s="1"/>
      <c r="D2500" s="1"/>
      <c r="E2500" s="1"/>
      <c r="F2500" s="1"/>
      <c r="G2500" s="1"/>
      <c r="H2500" s="1"/>
      <c r="I2500" s="1"/>
      <c r="J2500" s="1"/>
    </row>
    <row r="2501" ht="15.75" customHeight="1">
      <c r="A2501" s="1"/>
      <c r="B2501" s="1"/>
      <c r="C2501" s="1"/>
      <c r="D2501" s="1"/>
      <c r="E2501" s="1"/>
      <c r="F2501" s="1"/>
      <c r="G2501" s="1"/>
      <c r="H2501" s="1"/>
      <c r="I2501" s="1"/>
      <c r="J2501" s="1"/>
    </row>
    <row r="2502" ht="15.75" customHeight="1">
      <c r="A2502" s="1"/>
      <c r="B2502" s="1"/>
      <c r="C2502" s="1"/>
      <c r="D2502" s="1"/>
      <c r="E2502" s="1"/>
      <c r="F2502" s="1"/>
      <c r="G2502" s="1"/>
      <c r="H2502" s="1"/>
      <c r="I2502" s="1"/>
      <c r="J2502" s="1"/>
    </row>
    <row r="2503" ht="15.75" customHeight="1">
      <c r="A2503" s="1"/>
      <c r="B2503" s="1"/>
      <c r="C2503" s="1"/>
      <c r="D2503" s="1"/>
      <c r="E2503" s="1"/>
      <c r="F2503" s="1"/>
      <c r="G2503" s="1"/>
      <c r="H2503" s="1"/>
      <c r="I2503" s="1"/>
      <c r="J2503" s="1"/>
    </row>
    <row r="2504" ht="15.75" customHeight="1">
      <c r="A2504" s="1"/>
      <c r="B2504" s="1"/>
      <c r="C2504" s="1"/>
      <c r="D2504" s="1"/>
      <c r="E2504" s="1"/>
      <c r="F2504" s="1"/>
      <c r="G2504" s="1"/>
      <c r="H2504" s="1"/>
      <c r="I2504" s="1"/>
      <c r="J2504" s="1"/>
    </row>
    <row r="2505" ht="15.75" customHeight="1">
      <c r="A2505" s="1"/>
      <c r="B2505" s="1"/>
      <c r="C2505" s="1"/>
      <c r="D2505" s="1"/>
      <c r="E2505" s="1"/>
      <c r="F2505" s="1"/>
      <c r="G2505" s="1"/>
      <c r="H2505" s="1"/>
      <c r="I2505" s="1"/>
      <c r="J2505" s="1"/>
    </row>
    <row r="2506" ht="15.75" customHeight="1">
      <c r="A2506" s="1"/>
      <c r="B2506" s="1"/>
      <c r="C2506" s="1"/>
      <c r="D2506" s="1"/>
      <c r="E2506" s="1"/>
      <c r="F2506" s="1"/>
      <c r="G2506" s="1"/>
      <c r="H2506" s="1"/>
      <c r="I2506" s="1"/>
      <c r="J2506" s="1"/>
    </row>
    <row r="2507" ht="15.75" customHeight="1">
      <c r="A2507" s="1"/>
      <c r="B2507" s="1"/>
      <c r="C2507" s="1"/>
      <c r="D2507" s="1"/>
      <c r="E2507" s="1"/>
      <c r="F2507" s="1"/>
      <c r="G2507" s="1"/>
      <c r="H2507" s="1"/>
      <c r="I2507" s="1"/>
      <c r="J2507" s="1"/>
    </row>
    <row r="2508" ht="15.75" customHeight="1">
      <c r="A2508" s="1"/>
      <c r="B2508" s="1"/>
      <c r="C2508" s="1"/>
      <c r="D2508" s="1"/>
      <c r="E2508" s="1"/>
      <c r="F2508" s="1"/>
      <c r="G2508" s="1"/>
      <c r="H2508" s="1"/>
      <c r="I2508" s="1"/>
      <c r="J2508" s="1"/>
    </row>
    <row r="2509" ht="15.75" customHeight="1">
      <c r="A2509" s="1"/>
      <c r="B2509" s="1"/>
      <c r="C2509" s="1"/>
      <c r="D2509" s="1"/>
      <c r="E2509" s="1"/>
      <c r="F2509" s="1"/>
      <c r="G2509" s="1"/>
      <c r="H2509" s="1"/>
      <c r="I2509" s="1"/>
      <c r="J2509" s="1"/>
    </row>
    <row r="2510" ht="15.75" customHeight="1">
      <c r="A2510" s="1"/>
      <c r="B2510" s="1"/>
      <c r="C2510" s="1"/>
      <c r="D2510" s="1"/>
      <c r="E2510" s="1"/>
      <c r="F2510" s="1"/>
      <c r="G2510" s="1"/>
      <c r="H2510" s="1"/>
      <c r="I2510" s="1"/>
      <c r="J2510" s="1"/>
    </row>
    <row r="2511" ht="15.75" customHeight="1">
      <c r="A2511" s="1"/>
      <c r="B2511" s="1"/>
      <c r="C2511" s="1"/>
      <c r="D2511" s="1"/>
      <c r="E2511" s="1"/>
      <c r="F2511" s="1"/>
      <c r="G2511" s="1"/>
      <c r="H2511" s="1"/>
      <c r="I2511" s="1"/>
      <c r="J2511" s="1"/>
    </row>
    <row r="2512" ht="15.75" customHeight="1">
      <c r="A2512" s="1"/>
      <c r="B2512" s="1"/>
      <c r="C2512" s="1"/>
      <c r="D2512" s="1"/>
      <c r="E2512" s="1"/>
      <c r="F2512" s="1"/>
      <c r="G2512" s="1"/>
      <c r="H2512" s="1"/>
      <c r="I2512" s="1"/>
      <c r="J2512" s="1"/>
    </row>
    <row r="2513" ht="15.75" customHeight="1">
      <c r="A2513" s="1"/>
      <c r="B2513" s="1"/>
      <c r="C2513" s="1"/>
      <c r="D2513" s="1"/>
      <c r="E2513" s="1"/>
      <c r="F2513" s="1"/>
      <c r="G2513" s="1"/>
      <c r="H2513" s="1"/>
      <c r="I2513" s="1"/>
      <c r="J2513" s="1"/>
    </row>
    <row r="2514" ht="15.75" customHeight="1">
      <c r="A2514" s="1"/>
      <c r="B2514" s="1"/>
      <c r="C2514" s="1"/>
      <c r="D2514" s="1"/>
      <c r="E2514" s="1"/>
      <c r="F2514" s="1"/>
      <c r="G2514" s="1"/>
      <c r="H2514" s="1"/>
      <c r="I2514" s="1"/>
      <c r="J2514" s="1"/>
    </row>
    <row r="2515" ht="15.75" customHeight="1">
      <c r="A2515" s="1"/>
      <c r="B2515" s="1"/>
      <c r="C2515" s="1"/>
      <c r="D2515" s="1"/>
      <c r="E2515" s="1"/>
      <c r="F2515" s="1"/>
      <c r="G2515" s="1"/>
      <c r="H2515" s="1"/>
      <c r="I2515" s="1"/>
      <c r="J2515" s="1"/>
    </row>
    <row r="2516" ht="15.75" customHeight="1">
      <c r="A2516" s="1"/>
      <c r="B2516" s="1"/>
      <c r="C2516" s="1"/>
      <c r="D2516" s="1"/>
      <c r="E2516" s="1"/>
      <c r="F2516" s="1"/>
      <c r="G2516" s="1"/>
      <c r="H2516" s="1"/>
      <c r="I2516" s="1"/>
      <c r="J2516" s="1"/>
    </row>
    <row r="2517" ht="15.75" customHeight="1">
      <c r="A2517" s="1"/>
      <c r="B2517" s="1"/>
      <c r="C2517" s="1"/>
      <c r="D2517" s="1"/>
      <c r="E2517" s="1"/>
      <c r="F2517" s="1"/>
      <c r="G2517" s="1"/>
      <c r="H2517" s="1"/>
      <c r="I2517" s="1"/>
      <c r="J2517" s="1"/>
    </row>
    <row r="2518" ht="15.75" customHeight="1">
      <c r="A2518" s="1"/>
      <c r="B2518" s="1"/>
      <c r="C2518" s="1"/>
      <c r="D2518" s="1"/>
      <c r="E2518" s="1"/>
      <c r="F2518" s="1"/>
      <c r="G2518" s="1"/>
      <c r="H2518" s="1"/>
      <c r="I2518" s="1"/>
      <c r="J2518" s="1"/>
    </row>
    <row r="2519" ht="15.75" customHeight="1">
      <c r="A2519" s="1"/>
      <c r="B2519" s="1"/>
      <c r="C2519" s="1"/>
      <c r="D2519" s="1"/>
      <c r="E2519" s="1"/>
      <c r="F2519" s="1"/>
      <c r="G2519" s="1"/>
      <c r="H2519" s="1"/>
      <c r="I2519" s="1"/>
      <c r="J2519" s="1"/>
    </row>
    <row r="2520" ht="15.75" customHeight="1">
      <c r="A2520" s="1"/>
      <c r="B2520" s="1"/>
      <c r="C2520" s="1"/>
      <c r="D2520" s="1"/>
      <c r="E2520" s="1"/>
      <c r="F2520" s="1"/>
      <c r="G2520" s="1"/>
      <c r="H2520" s="1"/>
      <c r="I2520" s="1"/>
      <c r="J2520" s="1"/>
    </row>
    <row r="2521" ht="15.75" customHeight="1">
      <c r="A2521" s="1"/>
      <c r="B2521" s="1"/>
      <c r="C2521" s="1"/>
      <c r="D2521" s="1"/>
      <c r="E2521" s="1"/>
      <c r="F2521" s="1"/>
      <c r="G2521" s="1"/>
      <c r="H2521" s="1"/>
      <c r="I2521" s="1"/>
      <c r="J2521" s="1"/>
    </row>
    <row r="2522" ht="15.75" customHeight="1">
      <c r="A2522" s="1"/>
      <c r="B2522" s="1"/>
      <c r="C2522" s="1"/>
      <c r="D2522" s="1"/>
      <c r="E2522" s="1"/>
      <c r="F2522" s="1"/>
      <c r="G2522" s="1"/>
      <c r="H2522" s="1"/>
      <c r="I2522" s="1"/>
      <c r="J2522" s="1"/>
    </row>
    <row r="2523" ht="15.75" customHeight="1">
      <c r="A2523" s="1"/>
      <c r="B2523" s="1"/>
      <c r="C2523" s="1"/>
      <c r="D2523" s="1"/>
      <c r="E2523" s="1"/>
      <c r="F2523" s="1"/>
      <c r="G2523" s="1"/>
      <c r="H2523" s="1"/>
      <c r="I2523" s="1"/>
      <c r="J2523" s="1"/>
    </row>
    <row r="2524" ht="15.75" customHeight="1">
      <c r="A2524" s="1"/>
      <c r="B2524" s="1"/>
      <c r="C2524" s="1"/>
      <c r="D2524" s="1"/>
      <c r="E2524" s="1"/>
      <c r="F2524" s="1"/>
      <c r="G2524" s="1"/>
      <c r="H2524" s="1"/>
      <c r="I2524" s="1"/>
      <c r="J2524" s="1"/>
    </row>
    <row r="2525" ht="15.75" customHeight="1">
      <c r="A2525" s="1"/>
      <c r="B2525" s="1"/>
      <c r="C2525" s="1"/>
      <c r="D2525" s="1"/>
      <c r="E2525" s="1"/>
      <c r="F2525" s="1"/>
      <c r="G2525" s="1"/>
      <c r="H2525" s="1"/>
      <c r="I2525" s="1"/>
      <c r="J2525" s="1"/>
    </row>
    <row r="2526" ht="15.75" customHeight="1">
      <c r="A2526" s="1"/>
      <c r="B2526" s="1"/>
      <c r="C2526" s="1"/>
      <c r="D2526" s="1"/>
      <c r="E2526" s="1"/>
      <c r="F2526" s="1"/>
      <c r="G2526" s="1"/>
      <c r="H2526" s="1"/>
      <c r="I2526" s="1"/>
      <c r="J2526" s="1"/>
    </row>
    <row r="2527" ht="15.75" customHeight="1">
      <c r="A2527" s="1"/>
      <c r="B2527" s="1"/>
      <c r="C2527" s="1"/>
      <c r="D2527" s="1"/>
      <c r="E2527" s="1"/>
      <c r="F2527" s="1"/>
      <c r="G2527" s="1"/>
      <c r="H2527" s="1"/>
      <c r="I2527" s="1"/>
      <c r="J2527" s="1"/>
    </row>
    <row r="2528" ht="15.75" customHeight="1">
      <c r="A2528" s="1"/>
      <c r="B2528" s="1"/>
      <c r="C2528" s="1"/>
      <c r="D2528" s="1"/>
      <c r="E2528" s="1"/>
      <c r="F2528" s="1"/>
      <c r="G2528" s="1"/>
      <c r="H2528" s="1"/>
      <c r="I2528" s="1"/>
      <c r="J2528" s="1"/>
    </row>
    <row r="2529" ht="15.75" customHeight="1">
      <c r="A2529" s="1"/>
      <c r="B2529" s="1"/>
      <c r="C2529" s="1"/>
      <c r="D2529" s="1"/>
      <c r="E2529" s="1"/>
      <c r="F2529" s="1"/>
      <c r="G2529" s="1"/>
      <c r="H2529" s="1"/>
      <c r="I2529" s="1"/>
      <c r="J2529" s="1"/>
    </row>
    <row r="2530" ht="15.75" customHeight="1">
      <c r="A2530" s="1"/>
      <c r="B2530" s="1"/>
      <c r="C2530" s="1"/>
      <c r="D2530" s="1"/>
      <c r="E2530" s="1"/>
      <c r="F2530" s="1"/>
      <c r="G2530" s="1"/>
      <c r="H2530" s="1"/>
      <c r="I2530" s="1"/>
      <c r="J2530" s="1"/>
    </row>
    <row r="2531" ht="15.75" customHeight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</row>
    <row r="2532" ht="15.75" customHeight="1">
      <c r="A2532" s="1"/>
      <c r="B2532" s="1"/>
      <c r="C2532" s="1"/>
      <c r="D2532" s="1"/>
      <c r="E2532" s="1"/>
      <c r="F2532" s="1"/>
      <c r="G2532" s="1"/>
      <c r="H2532" s="1"/>
      <c r="I2532" s="1"/>
      <c r="J2532" s="1"/>
    </row>
    <row r="2533" ht="15.75" customHeight="1">
      <c r="A2533" s="1"/>
      <c r="B2533" s="1"/>
      <c r="C2533" s="1"/>
      <c r="D2533" s="1"/>
      <c r="E2533" s="1"/>
      <c r="F2533" s="1"/>
      <c r="G2533" s="1"/>
      <c r="H2533" s="1"/>
      <c r="I2533" s="1"/>
      <c r="J2533" s="1"/>
    </row>
    <row r="2534" ht="15.75" customHeight="1">
      <c r="A2534" s="1"/>
      <c r="B2534" s="1"/>
      <c r="C2534" s="1"/>
      <c r="D2534" s="1"/>
      <c r="E2534" s="1"/>
      <c r="F2534" s="1"/>
      <c r="G2534" s="1"/>
      <c r="H2534" s="1"/>
      <c r="I2534" s="1"/>
      <c r="J2534" s="1"/>
    </row>
    <row r="2535" ht="15.75" customHeight="1">
      <c r="A2535" s="1"/>
      <c r="B2535" s="1"/>
      <c r="C2535" s="1"/>
      <c r="D2535" s="1"/>
      <c r="E2535" s="1"/>
      <c r="F2535" s="1"/>
      <c r="G2535" s="1"/>
      <c r="H2535" s="1"/>
      <c r="I2535" s="1"/>
      <c r="J2535" s="1"/>
    </row>
    <row r="2536" ht="15.75" customHeight="1">
      <c r="A2536" s="1"/>
      <c r="B2536" s="1"/>
      <c r="C2536" s="1"/>
      <c r="D2536" s="1"/>
      <c r="E2536" s="1"/>
      <c r="F2536" s="1"/>
      <c r="G2536" s="1"/>
      <c r="H2536" s="1"/>
      <c r="I2536" s="1"/>
      <c r="J2536" s="1"/>
    </row>
    <row r="2537" ht="15.75" customHeight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</row>
    <row r="2538" ht="15.75" customHeight="1">
      <c r="A2538" s="1"/>
      <c r="B2538" s="1"/>
      <c r="C2538" s="1"/>
      <c r="D2538" s="1"/>
      <c r="E2538" s="1"/>
      <c r="F2538" s="1"/>
      <c r="G2538" s="1"/>
      <c r="H2538" s="1"/>
      <c r="I2538" s="1"/>
      <c r="J2538" s="1"/>
    </row>
    <row r="2539" ht="15.75" customHeight="1">
      <c r="A2539" s="1"/>
      <c r="B2539" s="1"/>
      <c r="C2539" s="1"/>
      <c r="D2539" s="1"/>
      <c r="E2539" s="1"/>
      <c r="F2539" s="1"/>
      <c r="G2539" s="1"/>
      <c r="H2539" s="1"/>
      <c r="I2539" s="1"/>
      <c r="J2539" s="1"/>
    </row>
    <row r="2540" ht="15.75" customHeight="1">
      <c r="A2540" s="1"/>
      <c r="B2540" s="1"/>
      <c r="C2540" s="1"/>
      <c r="D2540" s="1"/>
      <c r="E2540" s="1"/>
      <c r="F2540" s="1"/>
      <c r="G2540" s="1"/>
      <c r="H2540" s="1"/>
      <c r="I2540" s="1"/>
      <c r="J2540" s="1"/>
    </row>
    <row r="2541" ht="15.75" customHeight="1">
      <c r="A2541" s="1"/>
      <c r="B2541" s="1"/>
      <c r="C2541" s="1"/>
      <c r="D2541" s="1"/>
      <c r="E2541" s="1"/>
      <c r="F2541" s="1"/>
      <c r="G2541" s="1"/>
      <c r="H2541" s="1"/>
      <c r="I2541" s="1"/>
      <c r="J2541" s="1"/>
    </row>
    <row r="2542" ht="15.75" customHeight="1">
      <c r="A2542" s="1"/>
      <c r="B2542" s="1"/>
      <c r="C2542" s="1"/>
      <c r="D2542" s="1"/>
      <c r="E2542" s="1"/>
      <c r="F2542" s="1"/>
      <c r="G2542" s="1"/>
      <c r="H2542" s="1"/>
      <c r="I2542" s="1"/>
      <c r="J2542" s="1"/>
    </row>
    <row r="2543" ht="15.75" customHeight="1">
      <c r="A2543" s="1"/>
      <c r="B2543" s="1"/>
      <c r="C2543" s="1"/>
      <c r="D2543" s="1"/>
      <c r="E2543" s="1"/>
      <c r="F2543" s="1"/>
      <c r="G2543" s="1"/>
      <c r="H2543" s="1"/>
      <c r="I2543" s="1"/>
      <c r="J2543" s="1"/>
    </row>
    <row r="2544" ht="15.75" customHeight="1">
      <c r="A2544" s="1"/>
      <c r="B2544" s="1"/>
      <c r="C2544" s="1"/>
      <c r="D2544" s="1"/>
      <c r="E2544" s="1"/>
      <c r="F2544" s="1"/>
      <c r="G2544" s="1"/>
      <c r="H2544" s="1"/>
      <c r="I2544" s="1"/>
      <c r="J2544" s="1"/>
    </row>
    <row r="2545" ht="15.75" customHeight="1">
      <c r="A2545" s="1"/>
      <c r="B2545" s="1"/>
      <c r="C2545" s="1"/>
      <c r="D2545" s="1"/>
      <c r="E2545" s="1"/>
      <c r="F2545" s="1"/>
      <c r="G2545" s="1"/>
      <c r="H2545" s="1"/>
      <c r="I2545" s="1"/>
      <c r="J2545" s="1"/>
    </row>
    <row r="2546" ht="15.75" customHeight="1">
      <c r="A2546" s="1"/>
      <c r="B2546" s="1"/>
      <c r="C2546" s="1"/>
      <c r="D2546" s="1"/>
      <c r="E2546" s="1"/>
      <c r="F2546" s="1"/>
      <c r="G2546" s="1"/>
      <c r="H2546" s="1"/>
      <c r="I2546" s="1"/>
      <c r="J2546" s="1"/>
    </row>
    <row r="2547" ht="15.75" customHeight="1">
      <c r="A2547" s="1"/>
      <c r="B2547" s="1"/>
      <c r="C2547" s="1"/>
      <c r="D2547" s="1"/>
      <c r="E2547" s="1"/>
      <c r="F2547" s="1"/>
      <c r="G2547" s="1"/>
      <c r="H2547" s="1"/>
      <c r="I2547" s="1"/>
      <c r="J2547" s="1"/>
    </row>
    <row r="2548" ht="15.75" customHeight="1">
      <c r="A2548" s="1"/>
      <c r="B2548" s="1"/>
      <c r="C2548" s="1"/>
      <c r="D2548" s="1"/>
      <c r="E2548" s="1"/>
      <c r="F2548" s="1"/>
      <c r="G2548" s="1"/>
      <c r="H2548" s="1"/>
      <c r="I2548" s="1"/>
      <c r="J2548" s="1"/>
    </row>
    <row r="2549" ht="15.75" customHeight="1">
      <c r="A2549" s="1"/>
      <c r="B2549" s="1"/>
      <c r="C2549" s="1"/>
      <c r="D2549" s="1"/>
      <c r="E2549" s="1"/>
      <c r="F2549" s="1"/>
      <c r="G2549" s="1"/>
      <c r="H2549" s="1"/>
      <c r="I2549" s="1"/>
      <c r="J2549" s="1"/>
    </row>
    <row r="2550" ht="15.75" customHeight="1">
      <c r="A2550" s="1"/>
      <c r="B2550" s="1"/>
      <c r="C2550" s="1"/>
      <c r="D2550" s="1"/>
      <c r="E2550" s="1"/>
      <c r="F2550" s="1"/>
      <c r="G2550" s="1"/>
      <c r="H2550" s="1"/>
      <c r="I2550" s="1"/>
      <c r="J2550" s="1"/>
    </row>
    <row r="2551" ht="15.75" customHeight="1">
      <c r="A2551" s="1"/>
      <c r="B2551" s="1"/>
      <c r="C2551" s="1"/>
      <c r="D2551" s="1"/>
      <c r="E2551" s="1"/>
      <c r="F2551" s="1"/>
      <c r="G2551" s="1"/>
      <c r="H2551" s="1"/>
      <c r="I2551" s="1"/>
      <c r="J2551" s="1"/>
    </row>
    <row r="2552" ht="15.75" customHeight="1">
      <c r="A2552" s="1"/>
      <c r="B2552" s="1"/>
      <c r="C2552" s="1"/>
      <c r="D2552" s="1"/>
      <c r="E2552" s="1"/>
      <c r="F2552" s="1"/>
      <c r="G2552" s="1"/>
      <c r="H2552" s="1"/>
      <c r="I2552" s="1"/>
      <c r="J2552" s="1"/>
    </row>
    <row r="2553" ht="15.75" customHeight="1">
      <c r="A2553" s="1"/>
      <c r="B2553" s="1"/>
      <c r="C2553" s="1"/>
      <c r="D2553" s="1"/>
      <c r="E2553" s="1"/>
      <c r="F2553" s="1"/>
      <c r="G2553" s="1"/>
      <c r="H2553" s="1"/>
      <c r="I2553" s="1"/>
      <c r="J2553" s="1"/>
    </row>
    <row r="2554" ht="15.75" customHeight="1">
      <c r="A2554" s="1"/>
      <c r="B2554" s="1"/>
      <c r="C2554" s="1"/>
      <c r="D2554" s="1"/>
      <c r="E2554" s="1"/>
      <c r="F2554" s="1"/>
      <c r="G2554" s="1"/>
      <c r="H2554" s="1"/>
      <c r="I2554" s="1"/>
      <c r="J2554" s="1"/>
    </row>
    <row r="2555" ht="15.75" customHeight="1">
      <c r="A2555" s="1"/>
      <c r="B2555" s="1"/>
      <c r="C2555" s="1"/>
      <c r="D2555" s="1"/>
      <c r="E2555" s="1"/>
      <c r="F2555" s="1"/>
      <c r="G2555" s="1"/>
      <c r="H2555" s="1"/>
      <c r="I2555" s="1"/>
      <c r="J2555" s="1"/>
    </row>
    <row r="2556" ht="15.75" customHeight="1">
      <c r="A2556" s="1"/>
      <c r="B2556" s="1"/>
      <c r="C2556" s="1"/>
      <c r="D2556" s="1"/>
      <c r="E2556" s="1"/>
      <c r="F2556" s="1"/>
      <c r="G2556" s="1"/>
      <c r="H2556" s="1"/>
      <c r="I2556" s="1"/>
      <c r="J2556" s="1"/>
    </row>
    <row r="2557" ht="15.75" customHeight="1">
      <c r="A2557" s="1"/>
      <c r="B2557" s="1"/>
      <c r="C2557" s="1"/>
      <c r="D2557" s="1"/>
      <c r="E2557" s="1"/>
      <c r="F2557" s="1"/>
      <c r="G2557" s="1"/>
      <c r="H2557" s="1"/>
      <c r="I2557" s="1"/>
      <c r="J2557" s="1"/>
    </row>
    <row r="2558" ht="15.75" customHeight="1">
      <c r="A2558" s="1"/>
      <c r="B2558" s="1"/>
      <c r="C2558" s="1"/>
      <c r="D2558" s="1"/>
      <c r="E2558" s="1"/>
      <c r="F2558" s="1"/>
      <c r="G2558" s="1"/>
      <c r="H2558" s="1"/>
      <c r="I2558" s="1"/>
      <c r="J2558" s="1"/>
    </row>
    <row r="2559" ht="15.75" customHeight="1">
      <c r="A2559" s="1"/>
      <c r="B2559" s="1"/>
      <c r="C2559" s="1"/>
      <c r="D2559" s="1"/>
      <c r="E2559" s="1"/>
      <c r="F2559" s="1"/>
      <c r="G2559" s="1"/>
      <c r="H2559" s="1"/>
      <c r="I2559" s="1"/>
      <c r="J2559" s="1"/>
    </row>
    <row r="2560" ht="15.75" customHeight="1">
      <c r="A2560" s="1"/>
      <c r="B2560" s="1"/>
      <c r="C2560" s="1"/>
      <c r="D2560" s="1"/>
      <c r="E2560" s="1"/>
      <c r="F2560" s="1"/>
      <c r="G2560" s="1"/>
      <c r="H2560" s="1"/>
      <c r="I2560" s="1"/>
      <c r="J2560" s="1"/>
    </row>
    <row r="2561" ht="15.75" customHeight="1">
      <c r="A2561" s="1"/>
      <c r="B2561" s="1"/>
      <c r="C2561" s="1"/>
      <c r="D2561" s="1"/>
      <c r="E2561" s="1"/>
      <c r="F2561" s="1"/>
      <c r="G2561" s="1"/>
      <c r="H2561" s="1"/>
      <c r="I2561" s="1"/>
      <c r="J2561" s="1"/>
    </row>
    <row r="2562" ht="15.75" customHeight="1">
      <c r="A2562" s="1"/>
      <c r="B2562" s="1"/>
      <c r="C2562" s="1"/>
      <c r="D2562" s="1"/>
      <c r="E2562" s="1"/>
      <c r="F2562" s="1"/>
      <c r="G2562" s="1"/>
      <c r="H2562" s="1"/>
      <c r="I2562" s="1"/>
      <c r="J2562" s="1"/>
    </row>
    <row r="2563" ht="15.75" customHeight="1">
      <c r="A2563" s="1"/>
      <c r="B2563" s="1"/>
      <c r="C2563" s="1"/>
      <c r="D2563" s="1"/>
      <c r="E2563" s="1"/>
      <c r="F2563" s="1"/>
      <c r="G2563" s="1"/>
      <c r="H2563" s="1"/>
      <c r="I2563" s="1"/>
      <c r="J2563" s="1"/>
    </row>
    <row r="2564" ht="15.75" customHeight="1">
      <c r="A2564" s="1"/>
      <c r="B2564" s="1"/>
      <c r="C2564" s="1"/>
      <c r="D2564" s="1"/>
      <c r="E2564" s="1"/>
      <c r="F2564" s="1"/>
      <c r="G2564" s="1"/>
      <c r="H2564" s="1"/>
      <c r="I2564" s="1"/>
      <c r="J2564" s="1"/>
    </row>
    <row r="2565" ht="15.75" customHeight="1">
      <c r="A2565" s="1"/>
      <c r="B2565" s="1"/>
      <c r="C2565" s="1"/>
      <c r="D2565" s="1"/>
      <c r="E2565" s="1"/>
      <c r="F2565" s="1"/>
      <c r="G2565" s="1"/>
      <c r="H2565" s="1"/>
      <c r="I2565" s="1"/>
      <c r="J2565" s="1"/>
    </row>
    <row r="2566" ht="15.75" customHeight="1">
      <c r="A2566" s="1"/>
      <c r="B2566" s="1"/>
      <c r="C2566" s="1"/>
      <c r="D2566" s="1"/>
      <c r="E2566" s="1"/>
      <c r="F2566" s="1"/>
      <c r="G2566" s="1"/>
      <c r="H2566" s="1"/>
      <c r="I2566" s="1"/>
      <c r="J2566" s="1"/>
    </row>
    <row r="2567" ht="15.75" customHeight="1">
      <c r="A2567" s="1"/>
      <c r="B2567" s="1"/>
      <c r="C2567" s="1"/>
      <c r="D2567" s="1"/>
      <c r="E2567" s="1"/>
      <c r="F2567" s="1"/>
      <c r="G2567" s="1"/>
      <c r="H2567" s="1"/>
      <c r="I2567" s="1"/>
      <c r="J2567" s="1"/>
    </row>
    <row r="2568" ht="15.75" customHeight="1">
      <c r="A2568" s="1"/>
      <c r="B2568" s="1"/>
      <c r="C2568" s="1"/>
      <c r="D2568" s="1"/>
      <c r="E2568" s="1"/>
      <c r="F2568" s="1"/>
      <c r="G2568" s="1"/>
      <c r="H2568" s="1"/>
      <c r="I2568" s="1"/>
      <c r="J2568" s="1"/>
    </row>
    <row r="2569" ht="15.75" customHeight="1">
      <c r="A2569" s="1"/>
      <c r="B2569" s="1"/>
      <c r="C2569" s="1"/>
      <c r="D2569" s="1"/>
      <c r="E2569" s="1"/>
      <c r="F2569" s="1"/>
      <c r="G2569" s="1"/>
      <c r="H2569" s="1"/>
      <c r="I2569" s="1"/>
      <c r="J2569" s="1"/>
    </row>
    <row r="2570" ht="15.75" customHeight="1">
      <c r="A2570" s="1"/>
      <c r="B2570" s="1"/>
      <c r="C2570" s="1"/>
      <c r="D2570" s="1"/>
      <c r="E2570" s="1"/>
      <c r="F2570" s="1"/>
      <c r="G2570" s="1"/>
      <c r="H2570" s="1"/>
      <c r="I2570" s="1"/>
      <c r="J2570" s="1"/>
    </row>
    <row r="2571" ht="15.75" customHeight="1">
      <c r="A2571" s="1"/>
      <c r="B2571" s="1"/>
      <c r="C2571" s="1"/>
      <c r="D2571" s="1"/>
      <c r="E2571" s="1"/>
      <c r="F2571" s="1"/>
      <c r="G2571" s="1"/>
      <c r="H2571" s="1"/>
      <c r="I2571" s="1"/>
      <c r="J2571" s="1"/>
    </row>
    <row r="2572" ht="15.75" customHeight="1">
      <c r="A2572" s="1"/>
      <c r="B2572" s="1"/>
      <c r="C2572" s="1"/>
      <c r="D2572" s="1"/>
      <c r="E2572" s="1"/>
      <c r="F2572" s="1"/>
      <c r="G2572" s="1"/>
      <c r="H2572" s="1"/>
      <c r="I2572" s="1"/>
      <c r="J2572" s="1"/>
    </row>
    <row r="2573" ht="15.75" customHeight="1">
      <c r="A2573" s="1"/>
      <c r="B2573" s="1"/>
      <c r="C2573" s="1"/>
      <c r="D2573" s="1"/>
      <c r="E2573" s="1"/>
      <c r="F2573" s="1"/>
      <c r="G2573" s="1"/>
      <c r="H2573" s="1"/>
      <c r="I2573" s="1"/>
      <c r="J2573" s="1"/>
    </row>
    <row r="2574" ht="15.75" customHeight="1">
      <c r="A2574" s="1"/>
      <c r="B2574" s="1"/>
      <c r="C2574" s="1"/>
      <c r="D2574" s="1"/>
      <c r="E2574" s="1"/>
      <c r="F2574" s="1"/>
      <c r="G2574" s="1"/>
      <c r="H2574" s="1"/>
      <c r="I2574" s="1"/>
      <c r="J2574" s="1"/>
    </row>
    <row r="2575" ht="15.75" customHeight="1">
      <c r="A2575" s="1"/>
      <c r="B2575" s="1"/>
      <c r="C2575" s="1"/>
      <c r="D2575" s="1"/>
      <c r="E2575" s="1"/>
      <c r="F2575" s="1"/>
      <c r="G2575" s="1"/>
      <c r="H2575" s="1"/>
      <c r="I2575" s="1"/>
      <c r="J2575" s="1"/>
    </row>
    <row r="2576" ht="15.75" customHeight="1">
      <c r="A2576" s="1"/>
      <c r="B2576" s="1"/>
      <c r="C2576" s="1"/>
      <c r="D2576" s="1"/>
      <c r="E2576" s="1"/>
      <c r="F2576" s="1"/>
      <c r="G2576" s="1"/>
      <c r="H2576" s="1"/>
      <c r="I2576" s="1"/>
      <c r="J2576" s="1"/>
    </row>
    <row r="2577" ht="15.75" customHeight="1">
      <c r="A2577" s="1"/>
      <c r="B2577" s="1"/>
      <c r="C2577" s="1"/>
      <c r="D2577" s="1"/>
      <c r="E2577" s="1"/>
      <c r="F2577" s="1"/>
      <c r="G2577" s="1"/>
      <c r="H2577" s="1"/>
      <c r="I2577" s="1"/>
      <c r="J2577" s="1"/>
    </row>
    <row r="2578" ht="15.75" customHeight="1">
      <c r="A2578" s="1"/>
      <c r="B2578" s="1"/>
      <c r="C2578" s="1"/>
      <c r="D2578" s="1"/>
      <c r="E2578" s="1"/>
      <c r="F2578" s="1"/>
      <c r="G2578" s="1"/>
      <c r="H2578" s="1"/>
      <c r="I2578" s="1"/>
      <c r="J2578" s="1"/>
    </row>
    <row r="2579" ht="15.75" customHeight="1">
      <c r="A2579" s="1"/>
      <c r="B2579" s="1"/>
      <c r="C2579" s="1"/>
      <c r="D2579" s="1"/>
      <c r="E2579" s="1"/>
      <c r="F2579" s="1"/>
      <c r="G2579" s="1"/>
      <c r="H2579" s="1"/>
      <c r="I2579" s="1"/>
      <c r="J2579" s="1"/>
    </row>
    <row r="2580" ht="15.75" customHeight="1">
      <c r="A2580" s="1"/>
      <c r="B2580" s="1"/>
      <c r="C2580" s="1"/>
      <c r="D2580" s="1"/>
      <c r="E2580" s="1"/>
      <c r="F2580" s="1"/>
      <c r="G2580" s="1"/>
      <c r="H2580" s="1"/>
      <c r="I2580" s="1"/>
      <c r="J2580" s="1"/>
    </row>
    <row r="2581" ht="15.75" customHeight="1">
      <c r="A2581" s="1"/>
      <c r="B2581" s="1"/>
      <c r="C2581" s="1"/>
      <c r="D2581" s="1"/>
      <c r="E2581" s="1"/>
      <c r="F2581" s="1"/>
      <c r="G2581" s="1"/>
      <c r="H2581" s="1"/>
      <c r="I2581" s="1"/>
      <c r="J2581" s="1"/>
    </row>
    <row r="2582" ht="15.75" customHeight="1">
      <c r="A2582" s="1"/>
      <c r="B2582" s="1"/>
      <c r="C2582" s="1"/>
      <c r="D2582" s="1"/>
      <c r="E2582" s="1"/>
      <c r="F2582" s="1"/>
      <c r="G2582" s="1"/>
      <c r="H2582" s="1"/>
      <c r="I2582" s="1"/>
      <c r="J2582" s="1"/>
    </row>
    <row r="2583" ht="15.75" customHeight="1">
      <c r="A2583" s="1"/>
      <c r="B2583" s="1"/>
      <c r="C2583" s="1"/>
      <c r="D2583" s="1"/>
      <c r="E2583" s="1"/>
      <c r="F2583" s="1"/>
      <c r="G2583" s="1"/>
      <c r="H2583" s="1"/>
      <c r="I2583" s="1"/>
      <c r="J2583" s="1"/>
    </row>
    <row r="2584" ht="15.75" customHeight="1">
      <c r="A2584" s="1"/>
      <c r="B2584" s="1"/>
      <c r="C2584" s="1"/>
      <c r="D2584" s="1"/>
      <c r="E2584" s="1"/>
      <c r="F2584" s="1"/>
      <c r="G2584" s="1"/>
      <c r="H2584" s="1"/>
      <c r="I2584" s="1"/>
      <c r="J2584" s="1"/>
    </row>
    <row r="2585" ht="15.75" customHeight="1">
      <c r="A2585" s="1"/>
      <c r="B2585" s="1"/>
      <c r="C2585" s="1"/>
      <c r="D2585" s="1"/>
      <c r="E2585" s="1"/>
      <c r="F2585" s="1"/>
      <c r="G2585" s="1"/>
      <c r="H2585" s="1"/>
      <c r="I2585" s="1"/>
      <c r="J2585" s="1"/>
    </row>
    <row r="2586" ht="15.75" customHeight="1">
      <c r="A2586" s="1"/>
      <c r="B2586" s="1"/>
      <c r="C2586" s="1"/>
      <c r="D2586" s="1"/>
      <c r="E2586" s="1"/>
      <c r="F2586" s="1"/>
      <c r="G2586" s="1"/>
      <c r="H2586" s="1"/>
      <c r="I2586" s="1"/>
      <c r="J2586" s="1"/>
    </row>
    <row r="2587" ht="15.75" customHeight="1">
      <c r="A2587" s="1"/>
      <c r="B2587" s="1"/>
      <c r="C2587" s="1"/>
      <c r="D2587" s="1"/>
      <c r="E2587" s="1"/>
      <c r="F2587" s="1"/>
      <c r="G2587" s="1"/>
      <c r="H2587" s="1"/>
      <c r="I2587" s="1"/>
      <c r="J2587" s="1"/>
    </row>
    <row r="2588" ht="15.75" customHeight="1">
      <c r="A2588" s="1"/>
      <c r="B2588" s="1"/>
      <c r="C2588" s="1"/>
      <c r="D2588" s="1"/>
      <c r="E2588" s="1"/>
      <c r="F2588" s="1"/>
      <c r="G2588" s="1"/>
      <c r="H2588" s="1"/>
      <c r="I2588" s="1"/>
      <c r="J2588" s="1"/>
    </row>
    <row r="2589" ht="15.75" customHeight="1">
      <c r="A2589" s="1"/>
      <c r="B2589" s="1"/>
      <c r="C2589" s="1"/>
      <c r="D2589" s="1"/>
      <c r="E2589" s="1"/>
      <c r="F2589" s="1"/>
      <c r="G2589" s="1"/>
      <c r="H2589" s="1"/>
      <c r="I2589" s="1"/>
      <c r="J2589" s="1"/>
    </row>
    <row r="2590" ht="15.75" customHeight="1">
      <c r="A2590" s="1"/>
      <c r="B2590" s="1"/>
      <c r="C2590" s="1"/>
      <c r="D2590" s="1"/>
      <c r="E2590" s="1"/>
      <c r="F2590" s="1"/>
      <c r="G2590" s="1"/>
      <c r="H2590" s="1"/>
      <c r="I2590" s="1"/>
      <c r="J2590" s="1"/>
    </row>
    <row r="2591" ht="15.75" customHeight="1">
      <c r="A2591" s="1"/>
      <c r="B2591" s="1"/>
      <c r="C2591" s="1"/>
      <c r="D2591" s="1"/>
      <c r="E2591" s="1"/>
      <c r="F2591" s="1"/>
      <c r="G2591" s="1"/>
      <c r="H2591" s="1"/>
      <c r="I2591" s="1"/>
      <c r="J2591" s="1"/>
    </row>
    <row r="2592" ht="15.75" customHeight="1">
      <c r="A2592" s="1"/>
      <c r="B2592" s="1"/>
      <c r="C2592" s="1"/>
      <c r="D2592" s="1"/>
      <c r="E2592" s="1"/>
      <c r="F2592" s="1"/>
      <c r="G2592" s="1"/>
      <c r="H2592" s="1"/>
      <c r="I2592" s="1"/>
      <c r="J2592" s="1"/>
    </row>
    <row r="2593" ht="15.75" customHeight="1">
      <c r="A2593" s="1"/>
      <c r="B2593" s="1"/>
      <c r="C2593" s="1"/>
      <c r="D2593" s="1"/>
      <c r="E2593" s="1"/>
      <c r="F2593" s="1"/>
      <c r="G2593" s="1"/>
      <c r="H2593" s="1"/>
      <c r="I2593" s="1"/>
      <c r="J2593" s="1"/>
    </row>
    <row r="2594" ht="15.75" customHeight="1">
      <c r="A2594" s="1"/>
      <c r="B2594" s="1"/>
      <c r="C2594" s="1"/>
      <c r="D2594" s="1"/>
      <c r="E2594" s="1"/>
      <c r="F2594" s="1"/>
      <c r="G2594" s="1"/>
      <c r="H2594" s="1"/>
      <c r="I2594" s="1"/>
      <c r="J2594" s="1"/>
    </row>
    <row r="2595" ht="15.75" customHeight="1">
      <c r="A2595" s="1"/>
      <c r="B2595" s="1"/>
      <c r="C2595" s="1"/>
      <c r="D2595" s="1"/>
      <c r="E2595" s="1"/>
      <c r="F2595" s="1"/>
      <c r="G2595" s="1"/>
      <c r="H2595" s="1"/>
      <c r="I2595" s="1"/>
      <c r="J2595" s="1"/>
    </row>
    <row r="2596" ht="15.75" customHeight="1">
      <c r="A2596" s="1"/>
      <c r="B2596" s="1"/>
      <c r="C2596" s="1"/>
      <c r="D2596" s="1"/>
      <c r="E2596" s="1"/>
      <c r="F2596" s="1"/>
      <c r="G2596" s="1"/>
      <c r="H2596" s="1"/>
      <c r="I2596" s="1"/>
      <c r="J2596" s="1"/>
    </row>
    <row r="2597" ht="15.75" customHeight="1">
      <c r="A2597" s="1"/>
      <c r="B2597" s="1"/>
      <c r="C2597" s="1"/>
      <c r="D2597" s="1"/>
      <c r="E2597" s="1"/>
      <c r="F2597" s="1"/>
      <c r="G2597" s="1"/>
      <c r="H2597" s="1"/>
      <c r="I2597" s="1"/>
      <c r="J2597" s="1"/>
    </row>
    <row r="2598" ht="15.75" customHeight="1">
      <c r="A2598" s="1"/>
      <c r="B2598" s="1"/>
      <c r="C2598" s="1"/>
      <c r="D2598" s="1"/>
      <c r="E2598" s="1"/>
      <c r="F2598" s="1"/>
      <c r="G2598" s="1"/>
      <c r="H2598" s="1"/>
      <c r="I2598" s="1"/>
      <c r="J2598" s="1"/>
    </row>
    <row r="2599" ht="15.75" customHeight="1">
      <c r="A2599" s="1"/>
      <c r="B2599" s="1"/>
      <c r="C2599" s="1"/>
      <c r="D2599" s="1"/>
      <c r="E2599" s="1"/>
      <c r="F2599" s="1"/>
      <c r="G2599" s="1"/>
      <c r="H2599" s="1"/>
      <c r="I2599" s="1"/>
      <c r="J2599" s="1"/>
    </row>
    <row r="2600" ht="15.75" customHeight="1">
      <c r="A2600" s="1"/>
      <c r="B2600" s="1"/>
      <c r="C2600" s="1"/>
      <c r="D2600" s="1"/>
      <c r="E2600" s="1"/>
      <c r="F2600" s="1"/>
      <c r="G2600" s="1"/>
      <c r="H2600" s="1"/>
      <c r="I2600" s="1"/>
      <c r="J2600" s="1"/>
    </row>
    <row r="2601" ht="15.75" customHeight="1">
      <c r="A2601" s="1"/>
      <c r="B2601" s="1"/>
      <c r="C2601" s="1"/>
      <c r="D2601" s="1"/>
      <c r="E2601" s="1"/>
      <c r="F2601" s="1"/>
      <c r="G2601" s="1"/>
      <c r="H2601" s="1"/>
      <c r="I2601" s="1"/>
      <c r="J2601" s="1"/>
    </row>
    <row r="2602" ht="15.75" customHeight="1">
      <c r="A2602" s="1"/>
      <c r="B2602" s="1"/>
      <c r="C2602" s="1"/>
      <c r="D2602" s="1"/>
      <c r="E2602" s="1"/>
      <c r="F2602" s="1"/>
      <c r="G2602" s="1"/>
      <c r="H2602" s="1"/>
      <c r="I2602" s="1"/>
      <c r="J2602" s="1"/>
    </row>
    <row r="2603" ht="15.75" customHeight="1">
      <c r="A2603" s="1"/>
      <c r="B2603" s="1"/>
      <c r="C2603" s="1"/>
      <c r="D2603" s="1"/>
      <c r="E2603" s="1"/>
      <c r="F2603" s="1"/>
      <c r="G2603" s="1"/>
      <c r="H2603" s="1"/>
      <c r="I2603" s="1"/>
      <c r="J2603" s="1"/>
    </row>
    <row r="2604" ht="15.75" customHeight="1">
      <c r="A2604" s="1"/>
      <c r="B2604" s="1"/>
      <c r="C2604" s="1"/>
      <c r="D2604" s="1"/>
      <c r="E2604" s="1"/>
      <c r="F2604" s="1"/>
      <c r="G2604" s="1"/>
      <c r="H2604" s="1"/>
      <c r="I2604" s="1"/>
      <c r="J2604" s="1"/>
    </row>
    <row r="2605" ht="15.75" customHeight="1">
      <c r="A2605" s="1"/>
      <c r="B2605" s="1"/>
      <c r="C2605" s="1"/>
      <c r="D2605" s="1"/>
      <c r="E2605" s="1"/>
      <c r="F2605" s="1"/>
      <c r="G2605" s="1"/>
      <c r="H2605" s="1"/>
      <c r="I2605" s="1"/>
      <c r="J2605" s="1"/>
    </row>
    <row r="2606" ht="15.75" customHeight="1">
      <c r="A2606" s="1"/>
      <c r="B2606" s="1"/>
      <c r="C2606" s="1"/>
      <c r="D2606" s="1"/>
      <c r="E2606" s="1"/>
      <c r="F2606" s="1"/>
      <c r="G2606" s="1"/>
      <c r="H2606" s="1"/>
      <c r="I2606" s="1"/>
      <c r="J2606" s="1"/>
    </row>
    <row r="2607" ht="15.75" customHeight="1">
      <c r="A2607" s="1"/>
      <c r="B2607" s="1"/>
      <c r="C2607" s="1"/>
      <c r="D2607" s="1"/>
      <c r="E2607" s="1"/>
      <c r="F2607" s="1"/>
      <c r="G2607" s="1"/>
      <c r="H2607" s="1"/>
      <c r="I2607" s="1"/>
      <c r="J2607" s="1"/>
    </row>
    <row r="2608" ht="15.75" customHeight="1">
      <c r="A2608" s="1"/>
      <c r="B2608" s="1"/>
      <c r="C2608" s="1"/>
      <c r="D2608" s="1"/>
      <c r="E2608" s="1"/>
      <c r="F2608" s="1"/>
      <c r="G2608" s="1"/>
      <c r="H2608" s="1"/>
      <c r="I2608" s="1"/>
      <c r="J2608" s="1"/>
    </row>
    <row r="2609" ht="15.75" customHeight="1">
      <c r="A2609" s="1"/>
      <c r="B2609" s="1"/>
      <c r="C2609" s="1"/>
      <c r="D2609" s="1"/>
      <c r="E2609" s="1"/>
      <c r="F2609" s="1"/>
      <c r="G2609" s="1"/>
      <c r="H2609" s="1"/>
      <c r="I2609" s="1"/>
      <c r="J2609" s="1"/>
    </row>
    <row r="2610" ht="15.75" customHeight="1">
      <c r="A2610" s="1"/>
      <c r="B2610" s="1"/>
      <c r="C2610" s="1"/>
      <c r="D2610" s="1"/>
      <c r="E2610" s="1"/>
      <c r="F2610" s="1"/>
      <c r="G2610" s="1"/>
      <c r="H2610" s="1"/>
      <c r="I2610" s="1"/>
      <c r="J2610" s="1"/>
    </row>
    <row r="2611" ht="15.75" customHeight="1">
      <c r="A2611" s="1"/>
      <c r="B2611" s="1"/>
      <c r="C2611" s="1"/>
      <c r="D2611" s="1"/>
      <c r="E2611" s="1"/>
      <c r="F2611" s="1"/>
      <c r="G2611" s="1"/>
      <c r="H2611" s="1"/>
      <c r="I2611" s="1"/>
      <c r="J2611" s="1"/>
    </row>
    <row r="2612" ht="15.75" customHeight="1">
      <c r="A2612" s="1"/>
      <c r="B2612" s="1"/>
      <c r="C2612" s="1"/>
      <c r="D2612" s="1"/>
      <c r="E2612" s="1"/>
      <c r="F2612" s="1"/>
      <c r="G2612" s="1"/>
      <c r="H2612" s="1"/>
      <c r="I2612" s="1"/>
      <c r="J2612" s="1"/>
    </row>
    <row r="2613" ht="15.75" customHeight="1">
      <c r="A2613" s="1"/>
      <c r="B2613" s="1"/>
      <c r="C2613" s="1"/>
      <c r="D2613" s="1"/>
      <c r="E2613" s="1"/>
      <c r="F2613" s="1"/>
      <c r="G2613" s="1"/>
      <c r="H2613" s="1"/>
      <c r="I2613" s="1"/>
      <c r="J2613" s="1"/>
    </row>
    <row r="2614" ht="15.75" customHeight="1">
      <c r="A2614" s="1"/>
      <c r="B2614" s="1"/>
      <c r="C2614" s="1"/>
      <c r="D2614" s="1"/>
      <c r="E2614" s="1"/>
      <c r="F2614" s="1"/>
      <c r="G2614" s="1"/>
      <c r="H2614" s="1"/>
      <c r="I2614" s="1"/>
      <c r="J2614" s="1"/>
    </row>
    <row r="2615" ht="15.75" customHeight="1">
      <c r="A2615" s="1"/>
      <c r="B2615" s="1"/>
      <c r="C2615" s="1"/>
      <c r="D2615" s="1"/>
      <c r="E2615" s="1"/>
      <c r="F2615" s="1"/>
      <c r="G2615" s="1"/>
      <c r="H2615" s="1"/>
      <c r="I2615" s="1"/>
      <c r="J2615" s="1"/>
    </row>
    <row r="2616" ht="15.75" customHeight="1">
      <c r="A2616" s="1"/>
      <c r="B2616" s="1"/>
      <c r="C2616" s="1"/>
      <c r="D2616" s="1"/>
      <c r="E2616" s="1"/>
      <c r="F2616" s="1"/>
      <c r="G2616" s="1"/>
      <c r="H2616" s="1"/>
      <c r="I2616" s="1"/>
      <c r="J2616" s="1"/>
    </row>
    <row r="2617" ht="15.75" customHeight="1">
      <c r="A2617" s="1"/>
      <c r="B2617" s="1"/>
      <c r="C2617" s="1"/>
      <c r="D2617" s="1"/>
      <c r="E2617" s="1"/>
      <c r="F2617" s="1"/>
      <c r="G2617" s="1"/>
      <c r="H2617" s="1"/>
      <c r="I2617" s="1"/>
      <c r="J2617" s="1"/>
    </row>
    <row r="2618" ht="15.75" customHeight="1">
      <c r="A2618" s="1"/>
      <c r="B2618" s="1"/>
      <c r="C2618" s="1"/>
      <c r="D2618" s="1"/>
      <c r="E2618" s="1"/>
      <c r="F2618" s="1"/>
      <c r="G2618" s="1"/>
      <c r="H2618" s="1"/>
      <c r="I2618" s="1"/>
      <c r="J2618" s="1"/>
    </row>
    <row r="2619" ht="15.75" customHeight="1">
      <c r="A2619" s="1"/>
      <c r="B2619" s="1"/>
      <c r="C2619" s="1"/>
      <c r="D2619" s="1"/>
      <c r="E2619" s="1"/>
      <c r="F2619" s="1"/>
      <c r="G2619" s="1"/>
      <c r="H2619" s="1"/>
      <c r="I2619" s="1"/>
      <c r="J2619" s="1"/>
    </row>
    <row r="2620" ht="15.75" customHeight="1">
      <c r="A2620" s="1"/>
      <c r="B2620" s="1"/>
      <c r="C2620" s="1"/>
      <c r="D2620" s="1"/>
      <c r="E2620" s="1"/>
      <c r="F2620" s="1"/>
      <c r="G2620" s="1"/>
      <c r="H2620" s="1"/>
      <c r="I2620" s="1"/>
      <c r="J2620" s="1"/>
    </row>
    <row r="2621" ht="15.75" customHeight="1">
      <c r="A2621" s="1"/>
      <c r="B2621" s="1"/>
      <c r="C2621" s="1"/>
      <c r="D2621" s="1"/>
      <c r="E2621" s="1"/>
      <c r="F2621" s="1"/>
      <c r="G2621" s="1"/>
      <c r="H2621" s="1"/>
      <c r="I2621" s="1"/>
      <c r="J2621" s="1"/>
    </row>
    <row r="2622" ht="15.75" customHeight="1">
      <c r="A2622" s="1"/>
      <c r="B2622" s="1"/>
      <c r="C2622" s="1"/>
      <c r="D2622" s="1"/>
      <c r="E2622" s="1"/>
      <c r="F2622" s="1"/>
      <c r="G2622" s="1"/>
      <c r="H2622" s="1"/>
      <c r="I2622" s="1"/>
      <c r="J2622" s="1"/>
    </row>
    <row r="2623" ht="15.75" customHeight="1">
      <c r="A2623" s="1"/>
      <c r="B2623" s="1"/>
      <c r="C2623" s="1"/>
      <c r="D2623" s="1"/>
      <c r="E2623" s="1"/>
      <c r="F2623" s="1"/>
      <c r="G2623" s="1"/>
      <c r="H2623" s="1"/>
      <c r="I2623" s="1"/>
      <c r="J2623" s="1"/>
    </row>
    <row r="2624" ht="15.75" customHeight="1">
      <c r="A2624" s="1"/>
      <c r="B2624" s="1"/>
      <c r="C2624" s="1"/>
      <c r="D2624" s="1"/>
      <c r="E2624" s="1"/>
      <c r="F2624" s="1"/>
      <c r="G2624" s="1"/>
      <c r="H2624" s="1"/>
      <c r="I2624" s="1"/>
      <c r="J2624" s="1"/>
    </row>
    <row r="2625" ht="15.75" customHeight="1">
      <c r="A2625" s="1"/>
      <c r="B2625" s="1"/>
      <c r="C2625" s="1"/>
      <c r="D2625" s="1"/>
      <c r="E2625" s="1"/>
      <c r="F2625" s="1"/>
      <c r="G2625" s="1"/>
      <c r="H2625" s="1"/>
      <c r="I2625" s="1"/>
      <c r="J2625" s="1"/>
    </row>
    <row r="2626" ht="15.75" customHeight="1">
      <c r="A2626" s="1"/>
      <c r="B2626" s="1"/>
      <c r="C2626" s="1"/>
      <c r="D2626" s="1"/>
      <c r="E2626" s="1"/>
      <c r="F2626" s="1"/>
      <c r="G2626" s="1"/>
      <c r="H2626" s="1"/>
      <c r="I2626" s="1"/>
      <c r="J2626" s="1"/>
    </row>
    <row r="2627" ht="15.75" customHeight="1">
      <c r="A2627" s="1"/>
      <c r="B2627" s="1"/>
      <c r="C2627" s="1"/>
      <c r="D2627" s="1"/>
      <c r="E2627" s="1"/>
      <c r="F2627" s="1"/>
      <c r="G2627" s="1"/>
      <c r="H2627" s="1"/>
      <c r="I2627" s="1"/>
      <c r="J2627" s="1"/>
    </row>
    <row r="2628" ht="15.75" customHeight="1">
      <c r="A2628" s="1"/>
      <c r="B2628" s="1"/>
      <c r="C2628" s="1"/>
      <c r="D2628" s="1"/>
      <c r="E2628" s="1"/>
      <c r="F2628" s="1"/>
      <c r="G2628" s="1"/>
      <c r="H2628" s="1"/>
      <c r="I2628" s="1"/>
      <c r="J2628" s="1"/>
    </row>
    <row r="2629" ht="15.75" customHeight="1">
      <c r="A2629" s="1"/>
      <c r="B2629" s="1"/>
      <c r="C2629" s="1"/>
      <c r="D2629" s="1"/>
      <c r="E2629" s="1"/>
      <c r="F2629" s="1"/>
      <c r="G2629" s="1"/>
      <c r="H2629" s="1"/>
      <c r="I2629" s="1"/>
      <c r="J2629" s="1"/>
    </row>
    <row r="2630" ht="15.75" customHeight="1">
      <c r="A2630" s="1"/>
      <c r="B2630" s="1"/>
      <c r="C2630" s="1"/>
      <c r="D2630" s="1"/>
      <c r="E2630" s="1"/>
      <c r="F2630" s="1"/>
      <c r="G2630" s="1"/>
      <c r="H2630" s="1"/>
      <c r="I2630" s="1"/>
      <c r="J2630" s="1"/>
    </row>
    <row r="2631" ht="15.75" customHeight="1">
      <c r="A2631" s="1"/>
      <c r="B2631" s="1"/>
      <c r="C2631" s="1"/>
      <c r="D2631" s="1"/>
      <c r="E2631" s="1"/>
      <c r="F2631" s="1"/>
      <c r="G2631" s="1"/>
      <c r="H2631" s="1"/>
      <c r="I2631" s="1"/>
      <c r="J2631" s="1"/>
    </row>
    <row r="2632" ht="15.75" customHeight="1">
      <c r="A2632" s="1"/>
      <c r="B2632" s="1"/>
      <c r="C2632" s="1"/>
      <c r="D2632" s="1"/>
      <c r="E2632" s="1"/>
      <c r="F2632" s="1"/>
      <c r="G2632" s="1"/>
      <c r="H2632" s="1"/>
      <c r="I2632" s="1"/>
      <c r="J2632" s="1"/>
    </row>
    <row r="2633" ht="15.75" customHeight="1">
      <c r="A2633" s="1"/>
      <c r="B2633" s="1"/>
      <c r="C2633" s="1"/>
      <c r="D2633" s="1"/>
      <c r="E2633" s="1"/>
      <c r="F2633" s="1"/>
      <c r="G2633" s="1"/>
      <c r="H2633" s="1"/>
      <c r="I2633" s="1"/>
      <c r="J2633" s="1"/>
    </row>
    <row r="2634" ht="15.75" customHeight="1">
      <c r="A2634" s="1"/>
      <c r="B2634" s="1"/>
      <c r="C2634" s="1"/>
      <c r="D2634" s="1"/>
      <c r="E2634" s="1"/>
      <c r="F2634" s="1"/>
      <c r="G2634" s="1"/>
      <c r="H2634" s="1"/>
      <c r="I2634" s="1"/>
      <c r="J2634" s="1"/>
    </row>
    <row r="2635" ht="15.75" customHeight="1">
      <c r="A2635" s="1"/>
      <c r="B2635" s="1"/>
      <c r="C2635" s="1"/>
      <c r="D2635" s="1"/>
      <c r="E2635" s="1"/>
      <c r="F2635" s="1"/>
      <c r="G2635" s="1"/>
      <c r="H2635" s="1"/>
      <c r="I2635" s="1"/>
      <c r="J2635" s="1"/>
    </row>
    <row r="2636" ht="15.75" customHeight="1">
      <c r="A2636" s="1"/>
      <c r="B2636" s="1"/>
      <c r="C2636" s="1"/>
      <c r="D2636" s="1"/>
      <c r="E2636" s="1"/>
      <c r="F2636" s="1"/>
      <c r="G2636" s="1"/>
      <c r="H2636" s="1"/>
      <c r="I2636" s="1"/>
      <c r="J2636" s="1"/>
    </row>
    <row r="2637" ht="15.75" customHeight="1">
      <c r="A2637" s="1"/>
      <c r="B2637" s="1"/>
      <c r="C2637" s="1"/>
      <c r="D2637" s="1"/>
      <c r="E2637" s="1"/>
      <c r="F2637" s="1"/>
      <c r="G2637" s="1"/>
      <c r="H2637" s="1"/>
      <c r="I2637" s="1"/>
      <c r="J2637" s="1"/>
    </row>
    <row r="2638" ht="15.75" customHeight="1">
      <c r="A2638" s="1"/>
      <c r="B2638" s="1"/>
      <c r="C2638" s="1"/>
      <c r="D2638" s="1"/>
      <c r="E2638" s="1"/>
      <c r="F2638" s="1"/>
      <c r="G2638" s="1"/>
      <c r="H2638" s="1"/>
      <c r="I2638" s="1"/>
      <c r="J2638" s="1"/>
    </row>
    <row r="2639" ht="15.75" customHeight="1">
      <c r="A2639" s="1"/>
      <c r="B2639" s="1"/>
      <c r="C2639" s="1"/>
      <c r="D2639" s="1"/>
      <c r="E2639" s="1"/>
      <c r="F2639" s="1"/>
      <c r="G2639" s="1"/>
      <c r="H2639" s="1"/>
      <c r="I2639" s="1"/>
      <c r="J2639" s="1"/>
    </row>
    <row r="2640" ht="15.75" customHeight="1">
      <c r="A2640" s="1"/>
      <c r="B2640" s="1"/>
      <c r="C2640" s="1"/>
      <c r="D2640" s="1"/>
      <c r="E2640" s="1"/>
      <c r="F2640" s="1"/>
      <c r="G2640" s="1"/>
      <c r="H2640" s="1"/>
      <c r="I2640" s="1"/>
      <c r="J2640" s="1"/>
    </row>
    <row r="2641" ht="15.75" customHeight="1">
      <c r="A2641" s="1"/>
      <c r="B2641" s="1"/>
      <c r="C2641" s="1"/>
      <c r="D2641" s="1"/>
      <c r="E2641" s="1"/>
      <c r="F2641" s="1"/>
      <c r="G2641" s="1"/>
      <c r="H2641" s="1"/>
      <c r="I2641" s="1"/>
      <c r="J2641" s="1"/>
    </row>
    <row r="2642" ht="15.75" customHeight="1">
      <c r="A2642" s="1"/>
      <c r="B2642" s="1"/>
      <c r="C2642" s="1"/>
      <c r="D2642" s="1"/>
      <c r="E2642" s="1"/>
      <c r="F2642" s="1"/>
      <c r="G2642" s="1"/>
      <c r="H2642" s="1"/>
      <c r="I2642" s="1"/>
      <c r="J2642" s="1"/>
    </row>
    <row r="2643" ht="15.75" customHeight="1">
      <c r="A2643" s="1"/>
      <c r="B2643" s="1"/>
      <c r="C2643" s="1"/>
      <c r="D2643" s="1"/>
      <c r="E2643" s="1"/>
      <c r="F2643" s="1"/>
      <c r="G2643" s="1"/>
      <c r="H2643" s="1"/>
      <c r="I2643" s="1"/>
      <c r="J2643" s="1"/>
    </row>
    <row r="2644" ht="15.75" customHeight="1">
      <c r="A2644" s="1"/>
      <c r="B2644" s="1"/>
      <c r="C2644" s="1"/>
      <c r="D2644" s="1"/>
      <c r="E2644" s="1"/>
      <c r="F2644" s="1"/>
      <c r="G2644" s="1"/>
      <c r="H2644" s="1"/>
      <c r="I2644" s="1"/>
      <c r="J2644" s="1"/>
    </row>
    <row r="2645" ht="15.75" customHeight="1">
      <c r="A2645" s="1"/>
      <c r="B2645" s="1"/>
      <c r="C2645" s="1"/>
      <c r="D2645" s="1"/>
      <c r="E2645" s="1"/>
      <c r="F2645" s="1"/>
      <c r="G2645" s="1"/>
      <c r="H2645" s="1"/>
      <c r="I2645" s="1"/>
      <c r="J2645" s="1"/>
    </row>
    <row r="2646" ht="15.75" customHeight="1">
      <c r="A2646" s="1"/>
      <c r="B2646" s="1"/>
      <c r="C2646" s="1"/>
      <c r="D2646" s="1"/>
      <c r="E2646" s="1"/>
      <c r="F2646" s="1"/>
      <c r="G2646" s="1"/>
      <c r="H2646" s="1"/>
      <c r="I2646" s="1"/>
      <c r="J2646" s="1"/>
    </row>
    <row r="2647" ht="15.75" customHeight="1">
      <c r="A2647" s="1"/>
      <c r="B2647" s="1"/>
      <c r="C2647" s="1"/>
      <c r="D2647" s="1"/>
      <c r="E2647" s="1"/>
      <c r="F2647" s="1"/>
      <c r="G2647" s="1"/>
      <c r="H2647" s="1"/>
      <c r="I2647" s="1"/>
      <c r="J2647" s="1"/>
    </row>
    <row r="2648" ht="15.75" customHeight="1">
      <c r="A2648" s="1"/>
      <c r="B2648" s="1"/>
      <c r="C2648" s="1"/>
      <c r="D2648" s="1"/>
      <c r="E2648" s="1"/>
      <c r="F2648" s="1"/>
      <c r="G2648" s="1"/>
      <c r="H2648" s="1"/>
      <c r="I2648" s="1"/>
      <c r="J2648" s="1"/>
    </row>
    <row r="2649" ht="15.75" customHeight="1">
      <c r="A2649" s="1"/>
      <c r="B2649" s="1"/>
      <c r="C2649" s="1"/>
      <c r="D2649" s="1"/>
      <c r="E2649" s="1"/>
      <c r="F2649" s="1"/>
      <c r="G2649" s="1"/>
      <c r="H2649" s="1"/>
      <c r="I2649" s="1"/>
      <c r="J2649" s="1"/>
    </row>
    <row r="2650" ht="15.75" customHeight="1">
      <c r="A2650" s="1"/>
      <c r="B2650" s="1"/>
      <c r="C2650" s="1"/>
      <c r="D2650" s="1"/>
      <c r="E2650" s="1"/>
      <c r="F2650" s="1"/>
      <c r="G2650" s="1"/>
      <c r="H2650" s="1"/>
      <c r="I2650" s="1"/>
      <c r="J2650" s="1"/>
    </row>
    <row r="2651" ht="15.75" customHeight="1">
      <c r="A2651" s="1"/>
      <c r="B2651" s="1"/>
      <c r="C2651" s="1"/>
      <c r="D2651" s="1"/>
      <c r="E2651" s="1"/>
      <c r="F2651" s="1"/>
      <c r="G2651" s="1"/>
      <c r="H2651" s="1"/>
      <c r="I2651" s="1"/>
      <c r="J2651" s="1"/>
    </row>
    <row r="2652" ht="15.75" customHeight="1">
      <c r="A2652" s="1"/>
      <c r="B2652" s="1"/>
      <c r="C2652" s="1"/>
      <c r="D2652" s="1"/>
      <c r="E2652" s="1"/>
      <c r="F2652" s="1"/>
      <c r="G2652" s="1"/>
      <c r="H2652" s="1"/>
      <c r="I2652" s="1"/>
      <c r="J2652" s="1"/>
    </row>
    <row r="2653" ht="15.75" customHeight="1">
      <c r="A2653" s="1"/>
      <c r="B2653" s="1"/>
      <c r="C2653" s="1"/>
      <c r="D2653" s="1"/>
      <c r="E2653" s="1"/>
      <c r="F2653" s="1"/>
      <c r="G2653" s="1"/>
      <c r="H2653" s="1"/>
      <c r="I2653" s="1"/>
      <c r="J2653" s="1"/>
    </row>
    <row r="2654" ht="15.75" customHeight="1">
      <c r="A2654" s="1"/>
      <c r="B2654" s="1"/>
      <c r="C2654" s="1"/>
      <c r="D2654" s="1"/>
      <c r="E2654" s="1"/>
      <c r="F2654" s="1"/>
      <c r="G2654" s="1"/>
      <c r="H2654" s="1"/>
      <c r="I2654" s="1"/>
      <c r="J2654" s="1"/>
    </row>
    <row r="2655" ht="15.75" customHeight="1">
      <c r="A2655" s="1"/>
      <c r="B2655" s="1"/>
      <c r="C2655" s="1"/>
      <c r="D2655" s="1"/>
      <c r="E2655" s="1"/>
      <c r="F2655" s="1"/>
      <c r="G2655" s="1"/>
      <c r="H2655" s="1"/>
      <c r="I2655" s="1"/>
      <c r="J2655" s="1"/>
    </row>
    <row r="2656" ht="15.75" customHeight="1">
      <c r="A2656" s="1"/>
      <c r="B2656" s="1"/>
      <c r="C2656" s="1"/>
      <c r="D2656" s="1"/>
      <c r="E2656" s="1"/>
      <c r="F2656" s="1"/>
      <c r="G2656" s="1"/>
      <c r="H2656" s="1"/>
      <c r="I2656" s="1"/>
      <c r="J2656" s="1"/>
    </row>
    <row r="2657" ht="15.75" customHeight="1">
      <c r="A2657" s="1"/>
      <c r="B2657" s="1"/>
      <c r="C2657" s="1"/>
      <c r="D2657" s="1"/>
      <c r="E2657" s="1"/>
      <c r="F2657" s="1"/>
      <c r="G2657" s="1"/>
      <c r="H2657" s="1"/>
      <c r="I2657" s="1"/>
      <c r="J2657" s="1"/>
    </row>
    <row r="2658" ht="15.75" customHeight="1">
      <c r="A2658" s="1"/>
      <c r="B2658" s="1"/>
      <c r="C2658" s="1"/>
      <c r="D2658" s="1"/>
      <c r="E2658" s="1"/>
      <c r="F2658" s="1"/>
      <c r="G2658" s="1"/>
      <c r="H2658" s="1"/>
      <c r="I2658" s="1"/>
      <c r="J2658" s="1"/>
    </row>
    <row r="2659" ht="15.75" customHeight="1">
      <c r="A2659" s="1"/>
      <c r="B2659" s="1"/>
      <c r="C2659" s="1"/>
      <c r="D2659" s="1"/>
      <c r="E2659" s="1"/>
      <c r="F2659" s="1"/>
      <c r="G2659" s="1"/>
      <c r="H2659" s="1"/>
      <c r="I2659" s="1"/>
      <c r="J2659" s="1"/>
    </row>
    <row r="2660" ht="15.75" customHeight="1">
      <c r="A2660" s="1"/>
      <c r="B2660" s="1"/>
      <c r="C2660" s="1"/>
      <c r="D2660" s="1"/>
      <c r="E2660" s="1"/>
      <c r="F2660" s="1"/>
      <c r="G2660" s="1"/>
      <c r="H2660" s="1"/>
      <c r="I2660" s="1"/>
      <c r="J2660" s="1"/>
    </row>
    <row r="2661" ht="15.75" customHeight="1">
      <c r="A2661" s="1"/>
      <c r="B2661" s="1"/>
      <c r="C2661" s="1"/>
      <c r="D2661" s="1"/>
      <c r="E2661" s="1"/>
      <c r="F2661" s="1"/>
      <c r="G2661" s="1"/>
      <c r="H2661" s="1"/>
      <c r="I2661" s="1"/>
      <c r="J2661" s="1"/>
    </row>
    <row r="2662" ht="15.75" customHeight="1">
      <c r="A2662" s="1"/>
      <c r="B2662" s="1"/>
      <c r="C2662" s="1"/>
      <c r="D2662" s="1"/>
      <c r="E2662" s="1"/>
      <c r="F2662" s="1"/>
      <c r="G2662" s="1"/>
      <c r="H2662" s="1"/>
      <c r="I2662" s="1"/>
      <c r="J2662" s="1"/>
    </row>
    <row r="2663" ht="15.75" customHeight="1">
      <c r="A2663" s="1"/>
      <c r="B2663" s="1"/>
      <c r="C2663" s="1"/>
      <c r="D2663" s="1"/>
      <c r="E2663" s="1"/>
      <c r="F2663" s="1"/>
      <c r="G2663" s="1"/>
      <c r="H2663" s="1"/>
      <c r="I2663" s="1"/>
      <c r="J2663" s="1"/>
    </row>
    <row r="2664" ht="15.75" customHeight="1">
      <c r="A2664" s="1"/>
      <c r="B2664" s="1"/>
      <c r="C2664" s="1"/>
      <c r="D2664" s="1"/>
      <c r="E2664" s="1"/>
      <c r="F2664" s="1"/>
      <c r="G2664" s="1"/>
      <c r="H2664" s="1"/>
      <c r="I2664" s="1"/>
      <c r="J2664" s="1"/>
    </row>
    <row r="2665" ht="15.75" customHeight="1">
      <c r="A2665" s="1"/>
      <c r="B2665" s="1"/>
      <c r="C2665" s="1"/>
      <c r="D2665" s="1"/>
      <c r="E2665" s="1"/>
      <c r="F2665" s="1"/>
      <c r="G2665" s="1"/>
      <c r="H2665" s="1"/>
      <c r="I2665" s="1"/>
      <c r="J2665" s="1"/>
    </row>
    <row r="2666" ht="15.75" customHeight="1">
      <c r="A2666" s="1"/>
      <c r="B2666" s="1"/>
      <c r="C2666" s="1"/>
      <c r="D2666" s="1"/>
      <c r="E2666" s="1"/>
      <c r="F2666" s="1"/>
      <c r="G2666" s="1"/>
      <c r="H2666" s="1"/>
      <c r="I2666" s="1"/>
      <c r="J2666" s="1"/>
    </row>
    <row r="2667" ht="15.75" customHeight="1">
      <c r="A2667" s="1"/>
      <c r="B2667" s="1"/>
      <c r="C2667" s="1"/>
      <c r="D2667" s="1"/>
      <c r="E2667" s="1"/>
      <c r="F2667" s="1"/>
      <c r="G2667" s="1"/>
      <c r="H2667" s="1"/>
      <c r="I2667" s="1"/>
      <c r="J2667" s="1"/>
    </row>
    <row r="2668" ht="15.75" customHeight="1">
      <c r="A2668" s="1"/>
      <c r="B2668" s="1"/>
      <c r="C2668" s="1"/>
      <c r="D2668" s="1"/>
      <c r="E2668" s="1"/>
      <c r="F2668" s="1"/>
      <c r="G2668" s="1"/>
      <c r="H2668" s="1"/>
      <c r="I2668" s="1"/>
      <c r="J2668" s="1"/>
    </row>
    <row r="2669" ht="15.75" customHeight="1">
      <c r="A2669" s="1"/>
      <c r="B2669" s="1"/>
      <c r="C2669" s="1"/>
      <c r="D2669" s="1"/>
      <c r="E2669" s="1"/>
      <c r="F2669" s="1"/>
      <c r="G2669" s="1"/>
      <c r="H2669" s="1"/>
      <c r="I2669" s="1"/>
      <c r="J2669" s="1"/>
    </row>
    <row r="2670" ht="15.75" customHeight="1">
      <c r="A2670" s="1"/>
      <c r="B2670" s="1"/>
      <c r="C2670" s="1"/>
      <c r="D2670" s="1"/>
      <c r="E2670" s="1"/>
      <c r="F2670" s="1"/>
      <c r="G2670" s="1"/>
      <c r="H2670" s="1"/>
      <c r="I2670" s="1"/>
      <c r="J2670" s="1"/>
    </row>
    <row r="2671" ht="15.75" customHeight="1">
      <c r="A2671" s="1"/>
      <c r="B2671" s="1"/>
      <c r="C2671" s="1"/>
      <c r="D2671" s="1"/>
      <c r="E2671" s="1"/>
      <c r="F2671" s="1"/>
      <c r="G2671" s="1"/>
      <c r="H2671" s="1"/>
      <c r="I2671" s="1"/>
      <c r="J2671" s="1"/>
    </row>
    <row r="2672" ht="15.75" customHeight="1">
      <c r="A2672" s="1"/>
      <c r="B2672" s="1"/>
      <c r="C2672" s="1"/>
      <c r="D2672" s="1"/>
      <c r="E2672" s="1"/>
      <c r="F2672" s="1"/>
      <c r="G2672" s="1"/>
      <c r="H2672" s="1"/>
      <c r="I2672" s="1"/>
      <c r="J2672" s="1"/>
    </row>
    <row r="2673" ht="15.75" customHeight="1">
      <c r="A2673" s="1"/>
      <c r="B2673" s="1"/>
      <c r="C2673" s="1"/>
      <c r="D2673" s="1"/>
      <c r="E2673" s="1"/>
      <c r="F2673" s="1"/>
      <c r="G2673" s="1"/>
      <c r="H2673" s="1"/>
      <c r="I2673" s="1"/>
      <c r="J2673" s="1"/>
    </row>
    <row r="2674" ht="15.75" customHeight="1">
      <c r="A2674" s="1"/>
      <c r="B2674" s="1"/>
      <c r="C2674" s="1"/>
      <c r="D2674" s="1"/>
      <c r="E2674" s="1"/>
      <c r="F2674" s="1"/>
      <c r="G2674" s="1"/>
      <c r="H2674" s="1"/>
      <c r="I2674" s="1"/>
      <c r="J2674" s="1"/>
    </row>
    <row r="2675" ht="15.75" customHeight="1">
      <c r="A2675" s="1"/>
      <c r="B2675" s="1"/>
      <c r="C2675" s="1"/>
      <c r="D2675" s="1"/>
      <c r="E2675" s="1"/>
      <c r="F2675" s="1"/>
      <c r="G2675" s="1"/>
      <c r="H2675" s="1"/>
      <c r="I2675" s="1"/>
      <c r="J2675" s="1"/>
    </row>
    <row r="2676" ht="15.75" customHeight="1">
      <c r="A2676" s="1"/>
      <c r="B2676" s="1"/>
      <c r="C2676" s="1"/>
      <c r="D2676" s="1"/>
      <c r="E2676" s="1"/>
      <c r="F2676" s="1"/>
      <c r="G2676" s="1"/>
      <c r="H2676" s="1"/>
      <c r="I2676" s="1"/>
      <c r="J2676" s="1"/>
    </row>
    <row r="2677" ht="15.75" customHeight="1">
      <c r="A2677" s="1"/>
      <c r="B2677" s="1"/>
      <c r="C2677" s="1"/>
      <c r="D2677" s="1"/>
      <c r="E2677" s="1"/>
      <c r="F2677" s="1"/>
      <c r="G2677" s="1"/>
      <c r="H2677" s="1"/>
      <c r="I2677" s="1"/>
      <c r="J2677" s="1"/>
    </row>
    <row r="2678" ht="15.75" customHeight="1">
      <c r="A2678" s="1"/>
      <c r="B2678" s="1"/>
      <c r="C2678" s="1"/>
      <c r="D2678" s="1"/>
      <c r="E2678" s="1"/>
      <c r="F2678" s="1"/>
      <c r="G2678" s="1"/>
      <c r="H2678" s="1"/>
      <c r="I2678" s="1"/>
      <c r="J2678" s="1"/>
    </row>
    <row r="2679" ht="15.75" customHeight="1">
      <c r="A2679" s="1"/>
      <c r="B2679" s="1"/>
      <c r="C2679" s="1"/>
      <c r="D2679" s="1"/>
      <c r="E2679" s="1"/>
      <c r="F2679" s="1"/>
      <c r="G2679" s="1"/>
      <c r="H2679" s="1"/>
      <c r="I2679" s="1"/>
      <c r="J2679" s="1"/>
    </row>
    <row r="2680" ht="15.75" customHeight="1">
      <c r="A2680" s="1"/>
      <c r="B2680" s="1"/>
      <c r="C2680" s="1"/>
      <c r="D2680" s="1"/>
      <c r="E2680" s="1"/>
      <c r="F2680" s="1"/>
      <c r="G2680" s="1"/>
      <c r="H2680" s="1"/>
      <c r="I2680" s="1"/>
      <c r="J2680" s="1"/>
    </row>
    <row r="2681" ht="15.75" customHeight="1">
      <c r="A2681" s="1"/>
      <c r="B2681" s="1"/>
      <c r="C2681" s="1"/>
      <c r="D2681" s="1"/>
      <c r="E2681" s="1"/>
      <c r="F2681" s="1"/>
      <c r="G2681" s="1"/>
      <c r="H2681" s="1"/>
      <c r="I2681" s="1"/>
      <c r="J2681" s="1"/>
    </row>
    <row r="2682" ht="15.75" customHeight="1">
      <c r="A2682" s="1"/>
      <c r="B2682" s="1"/>
      <c r="C2682" s="1"/>
      <c r="D2682" s="1"/>
      <c r="E2682" s="1"/>
      <c r="F2682" s="1"/>
      <c r="G2682" s="1"/>
      <c r="H2682" s="1"/>
      <c r="I2682" s="1"/>
      <c r="J2682" s="1"/>
    </row>
    <row r="2683" ht="15.75" customHeight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</row>
    <row r="2684" ht="15.75" customHeight="1">
      <c r="A2684" s="1"/>
      <c r="B2684" s="1"/>
      <c r="C2684" s="1"/>
      <c r="D2684" s="1"/>
      <c r="E2684" s="1"/>
      <c r="F2684" s="1"/>
      <c r="G2684" s="1"/>
      <c r="H2684" s="1"/>
      <c r="I2684" s="1"/>
      <c r="J2684" s="1"/>
    </row>
    <row r="2685" ht="15.75" customHeight="1">
      <c r="A2685" s="1"/>
      <c r="B2685" s="1"/>
      <c r="C2685" s="1"/>
      <c r="D2685" s="1"/>
      <c r="E2685" s="1"/>
      <c r="F2685" s="1"/>
      <c r="G2685" s="1"/>
      <c r="H2685" s="1"/>
      <c r="I2685" s="1"/>
      <c r="J2685" s="1"/>
    </row>
    <row r="2686" ht="15.75" customHeight="1">
      <c r="A2686" s="1"/>
      <c r="B2686" s="1"/>
      <c r="C2686" s="1"/>
      <c r="D2686" s="1"/>
      <c r="E2686" s="1"/>
      <c r="F2686" s="1"/>
      <c r="G2686" s="1"/>
      <c r="H2686" s="1"/>
      <c r="I2686" s="1"/>
      <c r="J2686" s="1"/>
    </row>
    <row r="2687" ht="15.75" customHeight="1">
      <c r="A2687" s="1"/>
      <c r="B2687" s="1"/>
      <c r="C2687" s="1"/>
      <c r="D2687" s="1"/>
      <c r="E2687" s="1"/>
      <c r="F2687" s="1"/>
      <c r="G2687" s="1"/>
      <c r="H2687" s="1"/>
      <c r="I2687" s="1"/>
      <c r="J2687" s="1"/>
    </row>
    <row r="2688" ht="15.75" customHeight="1">
      <c r="A2688" s="1"/>
      <c r="B2688" s="1"/>
      <c r="C2688" s="1"/>
      <c r="D2688" s="1"/>
      <c r="E2688" s="1"/>
      <c r="F2688" s="1"/>
      <c r="G2688" s="1"/>
      <c r="H2688" s="1"/>
      <c r="I2688" s="1"/>
      <c r="J2688" s="1"/>
    </row>
    <row r="2689" ht="15.75" customHeight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</row>
    <row r="2690" ht="15.75" customHeight="1">
      <c r="A2690" s="1"/>
      <c r="B2690" s="1"/>
      <c r="C2690" s="1"/>
      <c r="D2690" s="1"/>
      <c r="E2690" s="1"/>
      <c r="F2690" s="1"/>
      <c r="G2690" s="1"/>
      <c r="H2690" s="1"/>
      <c r="I2690" s="1"/>
      <c r="J2690" s="1"/>
    </row>
    <row r="2691" ht="15.75" customHeight="1">
      <c r="A2691" s="1"/>
      <c r="B2691" s="1"/>
      <c r="C2691" s="1"/>
      <c r="D2691" s="1"/>
      <c r="E2691" s="1"/>
      <c r="F2691" s="1"/>
      <c r="G2691" s="1"/>
      <c r="H2691" s="1"/>
      <c r="I2691" s="1"/>
      <c r="J2691" s="1"/>
    </row>
    <row r="2692" ht="15.75" customHeight="1">
      <c r="A2692" s="1"/>
      <c r="B2692" s="1"/>
      <c r="C2692" s="1"/>
      <c r="D2692" s="1"/>
      <c r="E2692" s="1"/>
      <c r="F2692" s="1"/>
      <c r="G2692" s="1"/>
      <c r="H2692" s="1"/>
      <c r="I2692" s="1"/>
      <c r="J2692" s="1"/>
    </row>
    <row r="2693" ht="15.75" customHeight="1">
      <c r="A2693" s="1"/>
      <c r="B2693" s="1"/>
      <c r="C2693" s="1"/>
      <c r="D2693" s="1"/>
      <c r="E2693" s="1"/>
      <c r="F2693" s="1"/>
      <c r="G2693" s="1"/>
      <c r="H2693" s="1"/>
      <c r="I2693" s="1"/>
      <c r="J2693" s="1"/>
    </row>
    <row r="2694" ht="15.75" customHeight="1">
      <c r="A2694" s="1"/>
      <c r="B2694" s="1"/>
      <c r="C2694" s="1"/>
      <c r="D2694" s="1"/>
      <c r="E2694" s="1"/>
      <c r="F2694" s="1"/>
      <c r="G2694" s="1"/>
      <c r="H2694" s="1"/>
      <c r="I2694" s="1"/>
      <c r="J2694" s="1"/>
    </row>
    <row r="2695" ht="15.75" customHeight="1">
      <c r="A2695" s="1"/>
      <c r="B2695" s="1"/>
      <c r="C2695" s="1"/>
      <c r="D2695" s="1"/>
      <c r="E2695" s="1"/>
      <c r="F2695" s="1"/>
      <c r="G2695" s="1"/>
      <c r="H2695" s="1"/>
      <c r="I2695" s="1"/>
      <c r="J2695" s="1"/>
    </row>
    <row r="2696" ht="15.75" customHeight="1">
      <c r="A2696" s="1"/>
      <c r="B2696" s="1"/>
      <c r="C2696" s="1"/>
      <c r="D2696" s="1"/>
      <c r="E2696" s="1"/>
      <c r="F2696" s="1"/>
      <c r="G2696" s="1"/>
      <c r="H2696" s="1"/>
      <c r="I2696" s="1"/>
      <c r="J2696" s="1"/>
    </row>
    <row r="2697" ht="15.75" customHeight="1">
      <c r="A2697" s="1"/>
      <c r="B2697" s="1"/>
      <c r="C2697" s="1"/>
      <c r="D2697" s="1"/>
      <c r="E2697" s="1"/>
      <c r="F2697" s="1"/>
      <c r="G2697" s="1"/>
      <c r="H2697" s="1"/>
      <c r="I2697" s="1"/>
      <c r="J2697" s="1"/>
    </row>
    <row r="2698" ht="15.75" customHeight="1">
      <c r="A2698" s="1"/>
      <c r="B2698" s="1"/>
      <c r="C2698" s="1"/>
      <c r="D2698" s="1"/>
      <c r="E2698" s="1"/>
      <c r="F2698" s="1"/>
      <c r="G2698" s="1"/>
      <c r="H2698" s="1"/>
      <c r="I2698" s="1"/>
      <c r="J2698" s="1"/>
    </row>
    <row r="2699" ht="15.75" customHeight="1">
      <c r="A2699" s="1"/>
      <c r="B2699" s="1"/>
      <c r="C2699" s="1"/>
      <c r="D2699" s="1"/>
      <c r="E2699" s="1"/>
      <c r="F2699" s="1"/>
      <c r="G2699" s="1"/>
      <c r="H2699" s="1"/>
      <c r="I2699" s="1"/>
      <c r="J2699" s="1"/>
    </row>
    <row r="2700" ht="15.75" customHeight="1">
      <c r="A2700" s="1"/>
      <c r="B2700" s="1"/>
      <c r="C2700" s="1"/>
      <c r="D2700" s="1"/>
      <c r="E2700" s="1"/>
      <c r="F2700" s="1"/>
      <c r="G2700" s="1"/>
      <c r="H2700" s="1"/>
      <c r="I2700" s="1"/>
      <c r="J2700" s="1"/>
    </row>
    <row r="2701" ht="15.75" customHeight="1">
      <c r="A2701" s="1"/>
      <c r="B2701" s="1"/>
      <c r="C2701" s="1"/>
      <c r="D2701" s="1"/>
      <c r="E2701" s="1"/>
      <c r="F2701" s="1"/>
      <c r="G2701" s="1"/>
      <c r="H2701" s="1"/>
      <c r="I2701" s="1"/>
      <c r="J2701" s="1"/>
    </row>
    <row r="2702" ht="15.75" customHeight="1">
      <c r="A2702" s="1"/>
      <c r="B2702" s="1"/>
      <c r="C2702" s="1"/>
      <c r="D2702" s="1"/>
      <c r="E2702" s="1"/>
      <c r="F2702" s="1"/>
      <c r="G2702" s="1"/>
      <c r="H2702" s="1"/>
      <c r="I2702" s="1"/>
      <c r="J2702" s="1"/>
    </row>
    <row r="2703" ht="15.75" customHeight="1">
      <c r="A2703" s="1"/>
      <c r="B2703" s="1"/>
      <c r="C2703" s="1"/>
      <c r="D2703" s="1"/>
      <c r="E2703" s="1"/>
      <c r="F2703" s="1"/>
      <c r="G2703" s="1"/>
      <c r="H2703" s="1"/>
      <c r="I2703" s="1"/>
      <c r="J2703" s="1"/>
    </row>
    <row r="2704" ht="15.75" customHeight="1">
      <c r="A2704" s="1"/>
      <c r="B2704" s="1"/>
      <c r="C2704" s="1"/>
      <c r="D2704" s="1"/>
      <c r="E2704" s="1"/>
      <c r="F2704" s="1"/>
      <c r="G2704" s="1"/>
      <c r="H2704" s="1"/>
      <c r="I2704" s="1"/>
      <c r="J2704" s="1"/>
    </row>
    <row r="2705" ht="15.75" customHeight="1">
      <c r="A2705" s="1"/>
      <c r="B2705" s="1"/>
      <c r="C2705" s="1"/>
      <c r="D2705" s="1"/>
      <c r="E2705" s="1"/>
      <c r="F2705" s="1"/>
      <c r="G2705" s="1"/>
      <c r="H2705" s="1"/>
      <c r="I2705" s="1"/>
      <c r="J2705" s="1"/>
    </row>
    <row r="2706" ht="15.75" customHeight="1">
      <c r="A2706" s="1"/>
      <c r="B2706" s="1"/>
      <c r="C2706" s="1"/>
      <c r="D2706" s="1"/>
      <c r="E2706" s="1"/>
      <c r="F2706" s="1"/>
      <c r="G2706" s="1"/>
      <c r="H2706" s="1"/>
      <c r="I2706" s="1"/>
      <c r="J2706" s="1"/>
    </row>
    <row r="2707" ht="15.75" customHeight="1">
      <c r="A2707" s="1"/>
      <c r="B2707" s="1"/>
      <c r="C2707" s="1"/>
      <c r="D2707" s="1"/>
      <c r="E2707" s="1"/>
      <c r="F2707" s="1"/>
      <c r="G2707" s="1"/>
      <c r="H2707" s="1"/>
      <c r="I2707" s="1"/>
      <c r="J2707" s="1"/>
    </row>
    <row r="2708" ht="15.75" customHeight="1">
      <c r="A2708" s="1"/>
      <c r="B2708" s="1"/>
      <c r="C2708" s="1"/>
      <c r="D2708" s="1"/>
      <c r="E2708" s="1"/>
      <c r="F2708" s="1"/>
      <c r="G2708" s="1"/>
      <c r="H2708" s="1"/>
      <c r="I2708" s="1"/>
      <c r="J2708" s="1"/>
    </row>
    <row r="2709" ht="15.75" customHeight="1">
      <c r="A2709" s="1"/>
      <c r="B2709" s="1"/>
      <c r="C2709" s="1"/>
      <c r="D2709" s="1"/>
      <c r="E2709" s="1"/>
      <c r="F2709" s="1"/>
      <c r="G2709" s="1"/>
      <c r="H2709" s="1"/>
      <c r="I2709" s="1"/>
      <c r="J2709" s="1"/>
    </row>
    <row r="2710" ht="15.75" customHeight="1">
      <c r="A2710" s="1"/>
      <c r="B2710" s="1"/>
      <c r="C2710" s="1"/>
      <c r="D2710" s="1"/>
      <c r="E2710" s="1"/>
      <c r="F2710" s="1"/>
      <c r="G2710" s="1"/>
      <c r="H2710" s="1"/>
      <c r="I2710" s="1"/>
      <c r="J2710" s="1"/>
    </row>
    <row r="2711" ht="15.75" customHeight="1">
      <c r="A2711" s="1"/>
      <c r="B2711" s="1"/>
      <c r="C2711" s="1"/>
      <c r="D2711" s="1"/>
      <c r="E2711" s="1"/>
      <c r="F2711" s="1"/>
      <c r="G2711" s="1"/>
      <c r="H2711" s="1"/>
      <c r="I2711" s="1"/>
      <c r="J2711" s="1"/>
    </row>
    <row r="2712" ht="15.75" customHeight="1">
      <c r="A2712" s="1"/>
      <c r="B2712" s="1"/>
      <c r="C2712" s="1"/>
      <c r="D2712" s="1"/>
      <c r="E2712" s="1"/>
      <c r="F2712" s="1"/>
      <c r="G2712" s="1"/>
      <c r="H2712" s="1"/>
      <c r="I2712" s="1"/>
      <c r="J2712" s="1"/>
    </row>
    <row r="2713" ht="15.75" customHeight="1">
      <c r="A2713" s="1"/>
      <c r="B2713" s="1"/>
      <c r="C2713" s="1"/>
      <c r="D2713" s="1"/>
      <c r="E2713" s="1"/>
      <c r="F2713" s="1"/>
      <c r="G2713" s="1"/>
      <c r="H2713" s="1"/>
      <c r="I2713" s="1"/>
      <c r="J2713" s="1"/>
    </row>
    <row r="2714" ht="15.75" customHeight="1">
      <c r="A2714" s="1"/>
      <c r="B2714" s="1"/>
      <c r="C2714" s="1"/>
      <c r="D2714" s="1"/>
      <c r="E2714" s="1"/>
      <c r="F2714" s="1"/>
      <c r="G2714" s="1"/>
      <c r="H2714" s="1"/>
      <c r="I2714" s="1"/>
      <c r="J2714" s="1"/>
    </row>
    <row r="2715" ht="15.75" customHeight="1">
      <c r="A2715" s="1"/>
      <c r="B2715" s="1"/>
      <c r="C2715" s="1"/>
      <c r="D2715" s="1"/>
      <c r="E2715" s="1"/>
      <c r="F2715" s="1"/>
      <c r="G2715" s="1"/>
      <c r="H2715" s="1"/>
      <c r="I2715" s="1"/>
      <c r="J2715" s="1"/>
    </row>
    <row r="2716" ht="15.75" customHeight="1">
      <c r="A2716" s="1"/>
      <c r="B2716" s="1"/>
      <c r="C2716" s="1"/>
      <c r="D2716" s="1"/>
      <c r="E2716" s="1"/>
      <c r="F2716" s="1"/>
      <c r="G2716" s="1"/>
      <c r="H2716" s="1"/>
      <c r="I2716" s="1"/>
      <c r="J2716" s="1"/>
    </row>
    <row r="2717" ht="15.75" customHeight="1">
      <c r="A2717" s="1"/>
      <c r="B2717" s="1"/>
      <c r="C2717" s="1"/>
      <c r="D2717" s="1"/>
      <c r="E2717" s="1"/>
      <c r="F2717" s="1"/>
      <c r="G2717" s="1"/>
      <c r="H2717" s="1"/>
      <c r="I2717" s="1"/>
      <c r="J2717" s="1"/>
    </row>
    <row r="2718" ht="15.75" customHeight="1">
      <c r="A2718" s="1"/>
      <c r="B2718" s="1"/>
      <c r="C2718" s="1"/>
      <c r="D2718" s="1"/>
      <c r="E2718" s="1"/>
      <c r="F2718" s="1"/>
      <c r="G2718" s="1"/>
      <c r="H2718" s="1"/>
      <c r="I2718" s="1"/>
      <c r="J2718" s="1"/>
    </row>
    <row r="2719" ht="15.75" customHeight="1">
      <c r="A2719" s="1"/>
      <c r="B2719" s="1"/>
      <c r="C2719" s="1"/>
      <c r="D2719" s="1"/>
      <c r="E2719" s="1"/>
      <c r="F2719" s="1"/>
      <c r="G2719" s="1"/>
      <c r="H2719" s="1"/>
      <c r="I2719" s="1"/>
      <c r="J2719" s="1"/>
    </row>
    <row r="2720" ht="15.75" customHeight="1">
      <c r="A2720" s="1"/>
      <c r="B2720" s="1"/>
      <c r="C2720" s="1"/>
      <c r="D2720" s="1"/>
      <c r="E2720" s="1"/>
      <c r="F2720" s="1"/>
      <c r="G2720" s="1"/>
      <c r="H2720" s="1"/>
      <c r="I2720" s="1"/>
      <c r="J2720" s="1"/>
    </row>
    <row r="2721" ht="15.75" customHeight="1">
      <c r="A2721" s="1"/>
      <c r="B2721" s="1"/>
      <c r="C2721" s="1"/>
      <c r="D2721" s="1"/>
      <c r="E2721" s="1"/>
      <c r="F2721" s="1"/>
      <c r="G2721" s="1"/>
      <c r="H2721" s="1"/>
      <c r="I2721" s="1"/>
      <c r="J2721" s="1"/>
    </row>
    <row r="2722" ht="15.75" customHeight="1">
      <c r="A2722" s="1"/>
      <c r="B2722" s="1"/>
      <c r="C2722" s="1"/>
      <c r="D2722" s="1"/>
      <c r="E2722" s="1"/>
      <c r="F2722" s="1"/>
      <c r="G2722" s="1"/>
      <c r="H2722" s="1"/>
      <c r="I2722" s="1"/>
      <c r="J2722" s="1"/>
    </row>
    <row r="2723" ht="15.75" customHeight="1">
      <c r="A2723" s="1"/>
      <c r="B2723" s="1"/>
      <c r="C2723" s="1"/>
      <c r="D2723" s="1"/>
      <c r="E2723" s="1"/>
      <c r="F2723" s="1"/>
      <c r="G2723" s="1"/>
      <c r="H2723" s="1"/>
      <c r="I2723" s="1"/>
      <c r="J2723" s="1"/>
    </row>
    <row r="2724" ht="15.75" customHeight="1">
      <c r="A2724" s="1"/>
      <c r="B2724" s="1"/>
      <c r="C2724" s="1"/>
      <c r="D2724" s="1"/>
      <c r="E2724" s="1"/>
      <c r="F2724" s="1"/>
      <c r="G2724" s="1"/>
      <c r="H2724" s="1"/>
      <c r="I2724" s="1"/>
      <c r="J2724" s="1"/>
    </row>
    <row r="2725" ht="15.75" customHeight="1">
      <c r="A2725" s="1"/>
      <c r="B2725" s="1"/>
      <c r="C2725" s="1"/>
      <c r="D2725" s="1"/>
      <c r="E2725" s="1"/>
      <c r="F2725" s="1"/>
      <c r="G2725" s="1"/>
      <c r="H2725" s="1"/>
      <c r="I2725" s="1"/>
      <c r="J2725" s="1"/>
    </row>
    <row r="2726" ht="15.75" customHeight="1">
      <c r="A2726" s="1"/>
      <c r="B2726" s="1"/>
      <c r="C2726" s="1"/>
      <c r="D2726" s="1"/>
      <c r="E2726" s="1"/>
      <c r="F2726" s="1"/>
      <c r="G2726" s="1"/>
      <c r="H2726" s="1"/>
      <c r="I2726" s="1"/>
      <c r="J2726" s="1"/>
    </row>
    <row r="2727" ht="15.75" customHeight="1">
      <c r="A2727" s="1"/>
      <c r="B2727" s="1"/>
      <c r="C2727" s="1"/>
      <c r="D2727" s="1"/>
      <c r="E2727" s="1"/>
      <c r="F2727" s="1"/>
      <c r="G2727" s="1"/>
      <c r="H2727" s="1"/>
      <c r="I2727" s="1"/>
      <c r="J2727" s="1"/>
    </row>
    <row r="2728" ht="15.75" customHeight="1">
      <c r="A2728" s="1"/>
      <c r="B2728" s="1"/>
      <c r="C2728" s="1"/>
      <c r="D2728" s="1"/>
      <c r="E2728" s="1"/>
      <c r="F2728" s="1"/>
      <c r="G2728" s="1"/>
      <c r="H2728" s="1"/>
      <c r="I2728" s="1"/>
      <c r="J2728" s="1"/>
    </row>
    <row r="2729" ht="15.75" customHeight="1">
      <c r="A2729" s="1"/>
      <c r="B2729" s="1"/>
      <c r="C2729" s="1"/>
      <c r="D2729" s="1"/>
      <c r="E2729" s="1"/>
      <c r="F2729" s="1"/>
      <c r="G2729" s="1"/>
      <c r="H2729" s="1"/>
      <c r="I2729" s="1"/>
      <c r="J2729" s="1"/>
    </row>
    <row r="2730" ht="15.75" customHeight="1">
      <c r="A2730" s="1"/>
      <c r="B2730" s="1"/>
      <c r="C2730" s="1"/>
      <c r="D2730" s="1"/>
      <c r="E2730" s="1"/>
      <c r="F2730" s="1"/>
      <c r="G2730" s="1"/>
      <c r="H2730" s="1"/>
      <c r="I2730" s="1"/>
      <c r="J2730" s="1"/>
    </row>
    <row r="2731" ht="15.75" customHeight="1">
      <c r="A2731" s="1"/>
      <c r="B2731" s="1"/>
      <c r="C2731" s="1"/>
      <c r="D2731" s="1"/>
      <c r="E2731" s="1"/>
      <c r="F2731" s="1"/>
      <c r="G2731" s="1"/>
      <c r="H2731" s="1"/>
      <c r="I2731" s="1"/>
      <c r="J2731" s="1"/>
    </row>
    <row r="2732" ht="15.75" customHeight="1">
      <c r="A2732" s="1"/>
      <c r="B2732" s="1"/>
      <c r="C2732" s="1"/>
      <c r="D2732" s="1"/>
      <c r="E2732" s="1"/>
      <c r="F2732" s="1"/>
      <c r="G2732" s="1"/>
      <c r="H2732" s="1"/>
      <c r="I2732" s="1"/>
      <c r="J2732" s="1"/>
    </row>
    <row r="2733" ht="15.75" customHeight="1">
      <c r="A2733" s="1"/>
      <c r="B2733" s="1"/>
      <c r="C2733" s="1"/>
      <c r="D2733" s="1"/>
      <c r="E2733" s="1"/>
      <c r="F2733" s="1"/>
      <c r="G2733" s="1"/>
      <c r="H2733" s="1"/>
      <c r="I2733" s="1"/>
      <c r="J2733" s="1"/>
    </row>
    <row r="2734" ht="15.75" customHeight="1">
      <c r="A2734" s="1"/>
      <c r="B2734" s="1"/>
      <c r="C2734" s="1"/>
      <c r="D2734" s="1"/>
      <c r="E2734" s="1"/>
      <c r="F2734" s="1"/>
      <c r="G2734" s="1"/>
      <c r="H2734" s="1"/>
      <c r="I2734" s="1"/>
      <c r="J2734" s="1"/>
    </row>
    <row r="2735" ht="15.75" customHeight="1">
      <c r="A2735" s="1"/>
      <c r="B2735" s="1"/>
      <c r="C2735" s="1"/>
      <c r="D2735" s="1"/>
      <c r="E2735" s="1"/>
      <c r="F2735" s="1"/>
      <c r="G2735" s="1"/>
      <c r="H2735" s="1"/>
      <c r="I2735" s="1"/>
      <c r="J2735" s="1"/>
    </row>
    <row r="2736" ht="15.75" customHeight="1">
      <c r="A2736" s="1"/>
      <c r="B2736" s="1"/>
      <c r="C2736" s="1"/>
      <c r="D2736" s="1"/>
      <c r="E2736" s="1"/>
      <c r="F2736" s="1"/>
      <c r="G2736" s="1"/>
      <c r="H2736" s="1"/>
      <c r="I2736" s="1"/>
      <c r="J2736" s="1"/>
    </row>
    <row r="2737" ht="15.75" customHeight="1">
      <c r="A2737" s="1"/>
      <c r="B2737" s="1"/>
      <c r="C2737" s="1"/>
      <c r="D2737" s="1"/>
      <c r="E2737" s="1"/>
      <c r="F2737" s="1"/>
      <c r="G2737" s="1"/>
      <c r="H2737" s="1"/>
      <c r="I2737" s="1"/>
      <c r="J2737" s="1"/>
    </row>
    <row r="2738" ht="15.75" customHeight="1">
      <c r="A2738" s="1"/>
      <c r="B2738" s="1"/>
      <c r="C2738" s="1"/>
      <c r="D2738" s="1"/>
      <c r="E2738" s="1"/>
      <c r="F2738" s="1"/>
      <c r="G2738" s="1"/>
      <c r="H2738" s="1"/>
      <c r="I2738" s="1"/>
      <c r="J2738" s="1"/>
    </row>
    <row r="2739" ht="15.75" customHeight="1">
      <c r="A2739" s="1"/>
      <c r="B2739" s="1"/>
      <c r="C2739" s="1"/>
      <c r="D2739" s="1"/>
      <c r="E2739" s="1"/>
      <c r="F2739" s="1"/>
      <c r="G2739" s="1"/>
      <c r="H2739" s="1"/>
      <c r="I2739" s="1"/>
      <c r="J2739" s="1"/>
    </row>
    <row r="2740" ht="15.75" customHeight="1">
      <c r="A2740" s="1"/>
      <c r="B2740" s="1"/>
      <c r="C2740" s="1"/>
      <c r="D2740" s="1"/>
      <c r="E2740" s="1"/>
      <c r="F2740" s="1"/>
      <c r="G2740" s="1"/>
      <c r="H2740" s="1"/>
      <c r="I2740" s="1"/>
      <c r="J2740" s="1"/>
    </row>
    <row r="2741" ht="15.75" customHeight="1">
      <c r="A2741" s="1"/>
      <c r="B2741" s="1"/>
      <c r="C2741" s="1"/>
      <c r="D2741" s="1"/>
      <c r="E2741" s="1"/>
      <c r="F2741" s="1"/>
      <c r="G2741" s="1"/>
      <c r="H2741" s="1"/>
      <c r="I2741" s="1"/>
      <c r="J2741" s="1"/>
    </row>
    <row r="2742" ht="15.75" customHeight="1">
      <c r="A2742" s="1"/>
      <c r="B2742" s="1"/>
      <c r="C2742" s="1"/>
      <c r="D2742" s="1"/>
      <c r="E2742" s="1"/>
      <c r="F2742" s="1"/>
      <c r="G2742" s="1"/>
      <c r="H2742" s="1"/>
      <c r="I2742" s="1"/>
      <c r="J2742" s="1"/>
    </row>
    <row r="2743" ht="15.75" customHeight="1">
      <c r="A2743" s="1"/>
      <c r="B2743" s="1"/>
      <c r="C2743" s="1"/>
      <c r="D2743" s="1"/>
      <c r="E2743" s="1"/>
      <c r="F2743" s="1"/>
      <c r="G2743" s="1"/>
      <c r="H2743" s="1"/>
      <c r="I2743" s="1"/>
      <c r="J2743" s="1"/>
    </row>
    <row r="2744" ht="15.75" customHeight="1">
      <c r="A2744" s="1"/>
      <c r="B2744" s="1"/>
      <c r="C2744" s="1"/>
      <c r="D2744" s="1"/>
      <c r="E2744" s="1"/>
      <c r="F2744" s="1"/>
      <c r="G2744" s="1"/>
      <c r="H2744" s="1"/>
      <c r="I2744" s="1"/>
      <c r="J2744" s="1"/>
    </row>
    <row r="2745" ht="15.75" customHeight="1">
      <c r="A2745" s="1"/>
      <c r="B2745" s="1"/>
      <c r="C2745" s="1"/>
      <c r="D2745" s="1"/>
      <c r="E2745" s="1"/>
      <c r="F2745" s="1"/>
      <c r="G2745" s="1"/>
      <c r="H2745" s="1"/>
      <c r="I2745" s="1"/>
      <c r="J2745" s="1"/>
    </row>
    <row r="2746" ht="15.75" customHeight="1">
      <c r="A2746" s="1"/>
      <c r="B2746" s="1"/>
      <c r="C2746" s="1"/>
      <c r="D2746" s="1"/>
      <c r="E2746" s="1"/>
      <c r="F2746" s="1"/>
      <c r="G2746" s="1"/>
      <c r="H2746" s="1"/>
      <c r="I2746" s="1"/>
      <c r="J2746" s="1"/>
    </row>
    <row r="2747" ht="15.75" customHeight="1">
      <c r="A2747" s="1"/>
      <c r="B2747" s="1"/>
      <c r="C2747" s="1"/>
      <c r="D2747" s="1"/>
      <c r="E2747" s="1"/>
      <c r="F2747" s="1"/>
      <c r="G2747" s="1"/>
      <c r="H2747" s="1"/>
      <c r="I2747" s="1"/>
      <c r="J2747" s="1"/>
    </row>
    <row r="2748" ht="15.75" customHeight="1">
      <c r="A2748" s="1"/>
      <c r="B2748" s="1"/>
      <c r="C2748" s="1"/>
      <c r="D2748" s="1"/>
      <c r="E2748" s="1"/>
      <c r="F2748" s="1"/>
      <c r="G2748" s="1"/>
      <c r="H2748" s="1"/>
      <c r="I2748" s="1"/>
      <c r="J2748" s="1"/>
    </row>
    <row r="2749" ht="15.75" customHeight="1">
      <c r="A2749" s="1"/>
      <c r="B2749" s="1"/>
      <c r="C2749" s="1"/>
      <c r="D2749" s="1"/>
      <c r="E2749" s="1"/>
      <c r="F2749" s="1"/>
      <c r="G2749" s="1"/>
      <c r="H2749" s="1"/>
      <c r="I2749" s="1"/>
      <c r="J2749" s="1"/>
    </row>
    <row r="2750" ht="15.75" customHeight="1">
      <c r="A2750" s="1"/>
      <c r="B2750" s="1"/>
      <c r="C2750" s="1"/>
      <c r="D2750" s="1"/>
      <c r="E2750" s="1"/>
      <c r="F2750" s="1"/>
      <c r="G2750" s="1"/>
      <c r="H2750" s="1"/>
      <c r="I2750" s="1"/>
      <c r="J2750" s="1"/>
    </row>
    <row r="2751" ht="15.75" customHeight="1">
      <c r="A2751" s="1"/>
      <c r="B2751" s="1"/>
      <c r="C2751" s="1"/>
      <c r="D2751" s="1"/>
      <c r="E2751" s="1"/>
      <c r="F2751" s="1"/>
      <c r="G2751" s="1"/>
      <c r="H2751" s="1"/>
      <c r="I2751" s="1"/>
      <c r="J2751" s="1"/>
    </row>
    <row r="2752" ht="15.75" customHeight="1">
      <c r="A2752" s="1"/>
      <c r="B2752" s="1"/>
      <c r="C2752" s="1"/>
      <c r="D2752" s="1"/>
      <c r="E2752" s="1"/>
      <c r="F2752" s="1"/>
      <c r="G2752" s="1"/>
      <c r="H2752" s="1"/>
      <c r="I2752" s="1"/>
      <c r="J2752" s="1"/>
    </row>
    <row r="2753" ht="15.75" customHeight="1">
      <c r="A2753" s="1"/>
      <c r="B2753" s="1"/>
      <c r="C2753" s="1"/>
      <c r="D2753" s="1"/>
      <c r="E2753" s="1"/>
      <c r="F2753" s="1"/>
      <c r="G2753" s="1"/>
      <c r="H2753" s="1"/>
      <c r="I2753" s="1"/>
      <c r="J2753" s="1"/>
    </row>
    <row r="2754" ht="15.75" customHeight="1">
      <c r="A2754" s="1"/>
      <c r="B2754" s="1"/>
      <c r="C2754" s="1"/>
      <c r="D2754" s="1"/>
      <c r="E2754" s="1"/>
      <c r="F2754" s="1"/>
      <c r="G2754" s="1"/>
      <c r="H2754" s="1"/>
      <c r="I2754" s="1"/>
      <c r="J2754" s="1"/>
    </row>
    <row r="2755" ht="15.75" customHeight="1">
      <c r="A2755" s="1"/>
      <c r="B2755" s="1"/>
      <c r="C2755" s="1"/>
      <c r="D2755" s="1"/>
      <c r="E2755" s="1"/>
      <c r="F2755" s="1"/>
      <c r="G2755" s="1"/>
      <c r="H2755" s="1"/>
      <c r="I2755" s="1"/>
      <c r="J2755" s="1"/>
    </row>
    <row r="2756" ht="15.75" customHeight="1">
      <c r="A2756" s="1"/>
      <c r="B2756" s="1"/>
      <c r="C2756" s="1"/>
      <c r="D2756" s="1"/>
      <c r="E2756" s="1"/>
      <c r="F2756" s="1"/>
      <c r="G2756" s="1"/>
      <c r="H2756" s="1"/>
      <c r="I2756" s="1"/>
      <c r="J2756" s="1"/>
    </row>
    <row r="2757" ht="15.75" customHeight="1">
      <c r="A2757" s="1"/>
      <c r="B2757" s="1"/>
      <c r="C2757" s="1"/>
      <c r="D2757" s="1"/>
      <c r="E2757" s="1"/>
      <c r="F2757" s="1"/>
      <c r="G2757" s="1"/>
      <c r="H2757" s="1"/>
      <c r="I2757" s="1"/>
      <c r="J2757" s="1"/>
    </row>
    <row r="2758" ht="15.75" customHeight="1">
      <c r="A2758" s="1"/>
      <c r="B2758" s="1"/>
      <c r="C2758" s="1"/>
      <c r="D2758" s="1"/>
      <c r="E2758" s="1"/>
      <c r="F2758" s="1"/>
      <c r="G2758" s="1"/>
      <c r="H2758" s="1"/>
      <c r="I2758" s="1"/>
      <c r="J2758" s="1"/>
    </row>
    <row r="2759" ht="15.75" customHeight="1">
      <c r="A2759" s="1"/>
      <c r="B2759" s="1"/>
      <c r="C2759" s="1"/>
      <c r="D2759" s="1"/>
      <c r="E2759" s="1"/>
      <c r="F2759" s="1"/>
      <c r="G2759" s="1"/>
      <c r="H2759" s="1"/>
      <c r="I2759" s="1"/>
      <c r="J2759" s="1"/>
    </row>
    <row r="2760" ht="15.75" customHeight="1">
      <c r="A2760" s="1"/>
      <c r="B2760" s="1"/>
      <c r="C2760" s="1"/>
      <c r="D2760" s="1"/>
      <c r="E2760" s="1"/>
      <c r="F2760" s="1"/>
      <c r="G2760" s="1"/>
      <c r="H2760" s="1"/>
      <c r="I2760" s="1"/>
      <c r="J2760" s="1"/>
    </row>
    <row r="2761" ht="15.75" customHeight="1">
      <c r="A2761" s="1"/>
      <c r="B2761" s="1"/>
      <c r="C2761" s="1"/>
      <c r="D2761" s="1"/>
      <c r="E2761" s="1"/>
      <c r="F2761" s="1"/>
      <c r="G2761" s="1"/>
      <c r="H2761" s="1"/>
      <c r="I2761" s="1"/>
      <c r="J2761" s="1"/>
    </row>
    <row r="2762" ht="15.75" customHeight="1">
      <c r="A2762" s="1"/>
      <c r="B2762" s="1"/>
      <c r="C2762" s="1"/>
      <c r="D2762" s="1"/>
      <c r="E2762" s="1"/>
      <c r="F2762" s="1"/>
      <c r="G2762" s="1"/>
      <c r="H2762" s="1"/>
      <c r="I2762" s="1"/>
      <c r="J2762" s="1"/>
    </row>
    <row r="2763" ht="15.75" customHeight="1">
      <c r="A2763" s="1"/>
      <c r="B2763" s="1"/>
      <c r="C2763" s="1"/>
      <c r="D2763" s="1"/>
      <c r="E2763" s="1"/>
      <c r="F2763" s="1"/>
      <c r="G2763" s="1"/>
      <c r="H2763" s="1"/>
      <c r="I2763" s="1"/>
      <c r="J2763" s="1"/>
    </row>
    <row r="2764" ht="15.75" customHeight="1">
      <c r="A2764" s="1"/>
      <c r="B2764" s="1"/>
      <c r="C2764" s="1"/>
      <c r="D2764" s="1"/>
      <c r="E2764" s="1"/>
      <c r="F2764" s="1"/>
      <c r="G2764" s="1"/>
      <c r="H2764" s="1"/>
      <c r="I2764" s="1"/>
      <c r="J2764" s="1"/>
    </row>
    <row r="2765" ht="15.75" customHeight="1">
      <c r="A2765" s="1"/>
      <c r="B2765" s="1"/>
      <c r="C2765" s="1"/>
      <c r="D2765" s="1"/>
      <c r="E2765" s="1"/>
      <c r="F2765" s="1"/>
      <c r="G2765" s="1"/>
      <c r="H2765" s="1"/>
      <c r="I2765" s="1"/>
      <c r="J2765" s="1"/>
    </row>
    <row r="2766" ht="15.75" customHeight="1">
      <c r="A2766" s="1"/>
      <c r="B2766" s="1"/>
      <c r="C2766" s="1"/>
      <c r="D2766" s="1"/>
      <c r="E2766" s="1"/>
      <c r="F2766" s="1"/>
      <c r="G2766" s="1"/>
      <c r="H2766" s="1"/>
      <c r="I2766" s="1"/>
      <c r="J2766" s="1"/>
    </row>
    <row r="2767" ht="15.75" customHeight="1">
      <c r="A2767" s="1"/>
      <c r="B2767" s="1"/>
      <c r="C2767" s="1"/>
      <c r="D2767" s="1"/>
      <c r="E2767" s="1"/>
      <c r="F2767" s="1"/>
      <c r="G2767" s="1"/>
      <c r="H2767" s="1"/>
      <c r="I2767" s="1"/>
      <c r="J2767" s="1"/>
    </row>
    <row r="2768" ht="15.75" customHeight="1">
      <c r="A2768" s="1"/>
      <c r="B2768" s="1"/>
      <c r="C2768" s="1"/>
      <c r="D2768" s="1"/>
      <c r="E2768" s="1"/>
      <c r="F2768" s="1"/>
      <c r="G2768" s="1"/>
      <c r="H2768" s="1"/>
      <c r="I2768" s="1"/>
      <c r="J2768" s="1"/>
    </row>
    <row r="2769" ht="15.75" customHeight="1">
      <c r="A2769" s="1"/>
      <c r="B2769" s="1"/>
      <c r="C2769" s="1"/>
      <c r="D2769" s="1"/>
      <c r="E2769" s="1"/>
      <c r="F2769" s="1"/>
      <c r="G2769" s="1"/>
      <c r="H2769" s="1"/>
      <c r="I2769" s="1"/>
      <c r="J2769" s="1"/>
    </row>
    <row r="2770" ht="15.75" customHeight="1">
      <c r="A2770" s="1"/>
      <c r="B2770" s="1"/>
      <c r="C2770" s="1"/>
      <c r="D2770" s="1"/>
      <c r="E2770" s="1"/>
      <c r="F2770" s="1"/>
      <c r="G2770" s="1"/>
      <c r="H2770" s="1"/>
      <c r="I2770" s="1"/>
      <c r="J2770" s="1"/>
    </row>
    <row r="2771" ht="15.75" customHeight="1">
      <c r="A2771" s="1"/>
      <c r="B2771" s="1"/>
      <c r="C2771" s="1"/>
      <c r="D2771" s="1"/>
      <c r="E2771" s="1"/>
      <c r="F2771" s="1"/>
      <c r="G2771" s="1"/>
      <c r="H2771" s="1"/>
      <c r="I2771" s="1"/>
      <c r="J2771" s="1"/>
    </row>
    <row r="2772" ht="15.75" customHeight="1">
      <c r="A2772" s="1"/>
      <c r="B2772" s="1"/>
      <c r="C2772" s="1"/>
      <c r="D2772" s="1"/>
      <c r="E2772" s="1"/>
      <c r="F2772" s="1"/>
      <c r="G2772" s="1"/>
      <c r="H2772" s="1"/>
      <c r="I2772" s="1"/>
      <c r="J2772" s="1"/>
    </row>
    <row r="2773" ht="15.75" customHeight="1">
      <c r="A2773" s="1"/>
      <c r="B2773" s="1"/>
      <c r="C2773" s="1"/>
      <c r="D2773" s="1"/>
      <c r="E2773" s="1"/>
      <c r="F2773" s="1"/>
      <c r="G2773" s="1"/>
      <c r="H2773" s="1"/>
      <c r="I2773" s="1"/>
      <c r="J2773" s="1"/>
    </row>
    <row r="2774" ht="15.75" customHeight="1">
      <c r="A2774" s="1"/>
      <c r="B2774" s="1"/>
      <c r="C2774" s="1"/>
      <c r="D2774" s="1"/>
      <c r="E2774" s="1"/>
      <c r="F2774" s="1"/>
      <c r="G2774" s="1"/>
      <c r="H2774" s="1"/>
      <c r="I2774" s="1"/>
      <c r="J2774" s="1"/>
    </row>
    <row r="2775" ht="15.75" customHeight="1">
      <c r="A2775" s="1"/>
      <c r="B2775" s="1"/>
      <c r="C2775" s="1"/>
      <c r="D2775" s="1"/>
      <c r="E2775" s="1"/>
      <c r="F2775" s="1"/>
      <c r="G2775" s="1"/>
      <c r="H2775" s="1"/>
      <c r="I2775" s="1"/>
      <c r="J2775" s="1"/>
    </row>
    <row r="2776" ht="15.75" customHeight="1">
      <c r="A2776" s="1"/>
      <c r="B2776" s="1"/>
      <c r="C2776" s="1"/>
      <c r="D2776" s="1"/>
      <c r="E2776" s="1"/>
      <c r="F2776" s="1"/>
      <c r="G2776" s="1"/>
      <c r="H2776" s="1"/>
      <c r="I2776" s="1"/>
      <c r="J2776" s="1"/>
    </row>
    <row r="2777" ht="15.75" customHeight="1">
      <c r="A2777" s="1"/>
      <c r="B2777" s="1"/>
      <c r="C2777" s="1"/>
      <c r="D2777" s="1"/>
      <c r="E2777" s="1"/>
      <c r="F2777" s="1"/>
      <c r="G2777" s="1"/>
      <c r="H2777" s="1"/>
      <c r="I2777" s="1"/>
      <c r="J2777" s="1"/>
    </row>
    <row r="2778" ht="15.75" customHeight="1">
      <c r="A2778" s="1"/>
      <c r="B2778" s="1"/>
      <c r="C2778" s="1"/>
      <c r="D2778" s="1"/>
      <c r="E2778" s="1"/>
      <c r="F2778" s="1"/>
      <c r="G2778" s="1"/>
      <c r="H2778" s="1"/>
      <c r="I2778" s="1"/>
      <c r="J2778" s="1"/>
    </row>
    <row r="2779" ht="15.75" customHeight="1">
      <c r="A2779" s="1"/>
      <c r="B2779" s="1"/>
      <c r="C2779" s="1"/>
      <c r="D2779" s="1"/>
      <c r="E2779" s="1"/>
      <c r="F2779" s="1"/>
      <c r="G2779" s="1"/>
      <c r="H2779" s="1"/>
      <c r="I2779" s="1"/>
      <c r="J2779" s="1"/>
    </row>
    <row r="2780" ht="15.75" customHeight="1">
      <c r="A2780" s="1"/>
      <c r="B2780" s="1"/>
      <c r="C2780" s="1"/>
      <c r="D2780" s="1"/>
      <c r="E2780" s="1"/>
      <c r="F2780" s="1"/>
      <c r="G2780" s="1"/>
      <c r="H2780" s="1"/>
      <c r="I2780" s="1"/>
      <c r="J2780" s="1"/>
    </row>
    <row r="2781" ht="15.75" customHeight="1">
      <c r="A2781" s="1"/>
      <c r="B2781" s="1"/>
      <c r="C2781" s="1"/>
      <c r="D2781" s="1"/>
      <c r="E2781" s="1"/>
      <c r="F2781" s="1"/>
      <c r="G2781" s="1"/>
      <c r="H2781" s="1"/>
      <c r="I2781" s="1"/>
      <c r="J2781" s="1"/>
    </row>
    <row r="2782" ht="15.75" customHeight="1">
      <c r="A2782" s="1"/>
      <c r="B2782" s="1"/>
      <c r="C2782" s="1"/>
      <c r="D2782" s="1"/>
      <c r="E2782" s="1"/>
      <c r="F2782" s="1"/>
      <c r="G2782" s="1"/>
      <c r="H2782" s="1"/>
      <c r="I2782" s="1"/>
      <c r="J2782" s="1"/>
    </row>
    <row r="2783" ht="15.75" customHeight="1">
      <c r="A2783" s="1"/>
      <c r="B2783" s="1"/>
      <c r="C2783" s="1"/>
      <c r="D2783" s="1"/>
      <c r="E2783" s="1"/>
      <c r="F2783" s="1"/>
      <c r="G2783" s="1"/>
      <c r="H2783" s="1"/>
      <c r="I2783" s="1"/>
      <c r="J2783" s="1"/>
    </row>
    <row r="2784" ht="15.75" customHeight="1">
      <c r="A2784" s="1"/>
      <c r="B2784" s="1"/>
      <c r="C2784" s="1"/>
      <c r="D2784" s="1"/>
      <c r="E2784" s="1"/>
      <c r="F2784" s="1"/>
      <c r="G2784" s="1"/>
      <c r="H2784" s="1"/>
      <c r="I2784" s="1"/>
      <c r="J2784" s="1"/>
    </row>
    <row r="2785" ht="15.75" customHeight="1">
      <c r="A2785" s="1"/>
      <c r="B2785" s="1"/>
      <c r="C2785" s="1"/>
      <c r="D2785" s="1"/>
      <c r="E2785" s="1"/>
      <c r="F2785" s="1"/>
      <c r="G2785" s="1"/>
      <c r="H2785" s="1"/>
      <c r="I2785" s="1"/>
      <c r="J2785" s="1"/>
    </row>
    <row r="2786" ht="15.75" customHeight="1">
      <c r="A2786" s="1"/>
      <c r="B2786" s="1"/>
      <c r="C2786" s="1"/>
      <c r="D2786" s="1"/>
      <c r="E2786" s="1"/>
      <c r="F2786" s="1"/>
      <c r="G2786" s="1"/>
      <c r="H2786" s="1"/>
      <c r="I2786" s="1"/>
      <c r="J2786" s="1"/>
    </row>
    <row r="2787" ht="15.75" customHeight="1">
      <c r="A2787" s="1"/>
      <c r="B2787" s="1"/>
      <c r="C2787" s="1"/>
      <c r="D2787" s="1"/>
      <c r="E2787" s="1"/>
      <c r="F2787" s="1"/>
      <c r="G2787" s="1"/>
      <c r="H2787" s="1"/>
      <c r="I2787" s="1"/>
      <c r="J2787" s="1"/>
    </row>
    <row r="2788" ht="15.75" customHeight="1">
      <c r="A2788" s="1"/>
      <c r="B2788" s="1"/>
      <c r="C2788" s="1"/>
      <c r="D2788" s="1"/>
      <c r="E2788" s="1"/>
      <c r="F2788" s="1"/>
      <c r="G2788" s="1"/>
      <c r="H2788" s="1"/>
      <c r="I2788" s="1"/>
      <c r="J2788" s="1"/>
    </row>
    <row r="2789" ht="15.75" customHeight="1">
      <c r="A2789" s="1"/>
      <c r="B2789" s="1"/>
      <c r="C2789" s="1"/>
      <c r="D2789" s="1"/>
      <c r="E2789" s="1"/>
      <c r="F2789" s="1"/>
      <c r="G2789" s="1"/>
      <c r="H2789" s="1"/>
      <c r="I2789" s="1"/>
      <c r="J2789" s="1"/>
    </row>
    <row r="2790" ht="15.75" customHeight="1">
      <c r="A2790" s="1"/>
      <c r="B2790" s="1"/>
      <c r="C2790" s="1"/>
      <c r="D2790" s="1"/>
      <c r="E2790" s="1"/>
      <c r="F2790" s="1"/>
      <c r="G2790" s="1"/>
      <c r="H2790" s="1"/>
      <c r="I2790" s="1"/>
      <c r="J2790" s="1"/>
    </row>
    <row r="2791" ht="15.75" customHeight="1">
      <c r="A2791" s="1"/>
      <c r="B2791" s="1"/>
      <c r="C2791" s="1"/>
      <c r="D2791" s="1"/>
      <c r="E2791" s="1"/>
      <c r="F2791" s="1"/>
      <c r="G2791" s="1"/>
      <c r="H2791" s="1"/>
      <c r="I2791" s="1"/>
      <c r="J2791" s="1"/>
    </row>
    <row r="2792" ht="15.75" customHeight="1">
      <c r="A2792" s="1"/>
      <c r="B2792" s="1"/>
      <c r="C2792" s="1"/>
      <c r="D2792" s="1"/>
      <c r="E2792" s="1"/>
      <c r="F2792" s="1"/>
      <c r="G2792" s="1"/>
      <c r="H2792" s="1"/>
      <c r="I2792" s="1"/>
      <c r="J2792" s="1"/>
    </row>
    <row r="2793" ht="15.75" customHeight="1">
      <c r="A2793" s="1"/>
      <c r="B2793" s="1"/>
      <c r="C2793" s="1"/>
      <c r="D2793" s="1"/>
      <c r="E2793" s="1"/>
      <c r="F2793" s="1"/>
      <c r="G2793" s="1"/>
      <c r="H2793" s="1"/>
      <c r="I2793" s="1"/>
      <c r="J2793" s="1"/>
    </row>
    <row r="2794" ht="15.75" customHeight="1">
      <c r="A2794" s="1"/>
      <c r="B2794" s="1"/>
      <c r="C2794" s="1"/>
      <c r="D2794" s="1"/>
      <c r="E2794" s="1"/>
      <c r="F2794" s="1"/>
      <c r="G2794" s="1"/>
      <c r="H2794" s="1"/>
      <c r="I2794" s="1"/>
      <c r="J2794" s="1"/>
    </row>
    <row r="2795" ht="15.75" customHeight="1">
      <c r="A2795" s="1"/>
      <c r="B2795" s="1"/>
      <c r="C2795" s="1"/>
      <c r="D2795" s="1"/>
      <c r="E2795" s="1"/>
      <c r="F2795" s="1"/>
      <c r="G2795" s="1"/>
      <c r="H2795" s="1"/>
      <c r="I2795" s="1"/>
      <c r="J2795" s="1"/>
    </row>
    <row r="2796" ht="15.75" customHeight="1">
      <c r="A2796" s="1"/>
      <c r="B2796" s="1"/>
      <c r="C2796" s="1"/>
      <c r="D2796" s="1"/>
      <c r="E2796" s="1"/>
      <c r="F2796" s="1"/>
      <c r="G2796" s="1"/>
      <c r="H2796" s="1"/>
      <c r="I2796" s="1"/>
      <c r="J2796" s="1"/>
    </row>
    <row r="2797" ht="15.75" customHeight="1">
      <c r="A2797" s="1"/>
      <c r="B2797" s="1"/>
      <c r="C2797" s="1"/>
      <c r="D2797" s="1"/>
      <c r="E2797" s="1"/>
      <c r="F2797" s="1"/>
      <c r="G2797" s="1"/>
      <c r="H2797" s="1"/>
      <c r="I2797" s="1"/>
      <c r="J2797" s="1"/>
    </row>
    <row r="2798" ht="15.75" customHeight="1">
      <c r="A2798" s="1"/>
      <c r="B2798" s="1"/>
      <c r="C2798" s="1"/>
      <c r="D2798" s="1"/>
      <c r="E2798" s="1"/>
      <c r="F2798" s="1"/>
      <c r="G2798" s="1"/>
      <c r="H2798" s="1"/>
      <c r="I2798" s="1"/>
      <c r="J2798" s="1"/>
    </row>
    <row r="2799" ht="15.75" customHeight="1">
      <c r="A2799" s="1"/>
      <c r="B2799" s="1"/>
      <c r="C2799" s="1"/>
      <c r="D2799" s="1"/>
      <c r="E2799" s="1"/>
      <c r="F2799" s="1"/>
      <c r="G2799" s="1"/>
      <c r="H2799" s="1"/>
      <c r="I2799" s="1"/>
      <c r="J2799" s="1"/>
    </row>
    <row r="2800" ht="15.75" customHeight="1">
      <c r="A2800" s="1"/>
      <c r="B2800" s="1"/>
      <c r="C2800" s="1"/>
      <c r="D2800" s="1"/>
      <c r="E2800" s="1"/>
      <c r="F2800" s="1"/>
      <c r="G2800" s="1"/>
      <c r="H2800" s="1"/>
      <c r="I2800" s="1"/>
      <c r="J2800" s="1"/>
    </row>
    <row r="2801" ht="15.75" customHeight="1">
      <c r="A2801" s="1"/>
      <c r="B2801" s="1"/>
      <c r="C2801" s="1"/>
      <c r="D2801" s="1"/>
      <c r="E2801" s="1"/>
      <c r="F2801" s="1"/>
      <c r="G2801" s="1"/>
      <c r="H2801" s="1"/>
      <c r="I2801" s="1"/>
      <c r="J2801" s="1"/>
    </row>
    <row r="2802" ht="15.75" customHeight="1">
      <c r="A2802" s="1"/>
      <c r="B2802" s="1"/>
      <c r="C2802" s="1"/>
      <c r="D2802" s="1"/>
      <c r="E2802" s="1"/>
      <c r="F2802" s="1"/>
      <c r="G2802" s="1"/>
      <c r="H2802" s="1"/>
      <c r="I2802" s="1"/>
      <c r="J2802" s="1"/>
    </row>
    <row r="2803" ht="15.75" customHeight="1">
      <c r="A2803" s="1"/>
      <c r="B2803" s="1"/>
      <c r="C2803" s="1"/>
      <c r="D2803" s="1"/>
      <c r="E2803" s="1"/>
      <c r="F2803" s="1"/>
      <c r="G2803" s="1"/>
      <c r="H2803" s="1"/>
      <c r="I2803" s="1"/>
      <c r="J2803" s="1"/>
    </row>
    <row r="2804" ht="15.75" customHeight="1">
      <c r="A2804" s="1"/>
      <c r="B2804" s="1"/>
      <c r="C2804" s="1"/>
      <c r="D2804" s="1"/>
      <c r="E2804" s="1"/>
      <c r="F2804" s="1"/>
      <c r="G2804" s="1"/>
      <c r="H2804" s="1"/>
      <c r="I2804" s="1"/>
      <c r="J2804" s="1"/>
    </row>
    <row r="2805" ht="15.75" customHeight="1">
      <c r="A2805" s="1"/>
      <c r="B2805" s="1"/>
      <c r="C2805" s="1"/>
      <c r="D2805" s="1"/>
      <c r="E2805" s="1"/>
      <c r="F2805" s="1"/>
      <c r="G2805" s="1"/>
      <c r="H2805" s="1"/>
      <c r="I2805" s="1"/>
      <c r="J2805" s="1"/>
    </row>
    <row r="2806" ht="15.75" customHeight="1">
      <c r="A2806" s="1"/>
      <c r="B2806" s="1"/>
      <c r="C2806" s="1"/>
      <c r="D2806" s="1"/>
      <c r="E2806" s="1"/>
      <c r="F2806" s="1"/>
      <c r="G2806" s="1"/>
      <c r="H2806" s="1"/>
      <c r="I2806" s="1"/>
      <c r="J2806" s="1"/>
    </row>
    <row r="2807" ht="15.75" customHeight="1">
      <c r="A2807" s="1"/>
      <c r="B2807" s="1"/>
      <c r="C2807" s="1"/>
      <c r="D2807" s="1"/>
      <c r="E2807" s="1"/>
      <c r="F2807" s="1"/>
      <c r="G2807" s="1"/>
      <c r="H2807" s="1"/>
      <c r="I2807" s="1"/>
      <c r="J2807" s="1"/>
    </row>
    <row r="2808" ht="15.75" customHeight="1">
      <c r="A2808" s="1"/>
      <c r="B2808" s="1"/>
      <c r="C2808" s="1"/>
      <c r="D2808" s="1"/>
      <c r="E2808" s="1"/>
      <c r="F2808" s="1"/>
      <c r="G2808" s="1"/>
      <c r="H2808" s="1"/>
      <c r="I2808" s="1"/>
      <c r="J2808" s="1"/>
    </row>
    <row r="2809" ht="15.75" customHeight="1">
      <c r="A2809" s="1"/>
      <c r="B2809" s="1"/>
      <c r="C2809" s="1"/>
      <c r="D2809" s="1"/>
      <c r="E2809" s="1"/>
      <c r="F2809" s="1"/>
      <c r="G2809" s="1"/>
      <c r="H2809" s="1"/>
      <c r="I2809" s="1"/>
      <c r="J2809" s="1"/>
    </row>
    <row r="2810" ht="15.75" customHeight="1">
      <c r="A2810" s="1"/>
      <c r="B2810" s="1"/>
      <c r="C2810" s="1"/>
      <c r="D2810" s="1"/>
      <c r="E2810" s="1"/>
      <c r="F2810" s="1"/>
      <c r="G2810" s="1"/>
      <c r="H2810" s="1"/>
      <c r="I2810" s="1"/>
      <c r="J2810" s="1"/>
    </row>
    <row r="2811" ht="15.75" customHeight="1">
      <c r="A2811" s="1"/>
      <c r="B2811" s="1"/>
      <c r="C2811" s="1"/>
      <c r="D2811" s="1"/>
      <c r="E2811" s="1"/>
      <c r="F2811" s="1"/>
      <c r="G2811" s="1"/>
      <c r="H2811" s="1"/>
      <c r="I2811" s="1"/>
      <c r="J2811" s="1"/>
    </row>
    <row r="2812" ht="15.75" customHeight="1">
      <c r="A2812" s="1"/>
      <c r="B2812" s="1"/>
      <c r="C2812" s="1"/>
      <c r="D2812" s="1"/>
      <c r="E2812" s="1"/>
      <c r="F2812" s="1"/>
      <c r="G2812" s="1"/>
      <c r="H2812" s="1"/>
      <c r="I2812" s="1"/>
      <c r="J2812" s="1"/>
    </row>
    <row r="2813" ht="15.75" customHeight="1">
      <c r="A2813" s="1"/>
      <c r="B2813" s="1"/>
      <c r="C2813" s="1"/>
      <c r="D2813" s="1"/>
      <c r="E2813" s="1"/>
      <c r="F2813" s="1"/>
      <c r="G2813" s="1"/>
      <c r="H2813" s="1"/>
      <c r="I2813" s="1"/>
      <c r="J2813" s="1"/>
    </row>
    <row r="2814" ht="15.75" customHeight="1">
      <c r="A2814" s="1"/>
      <c r="B2814" s="1"/>
      <c r="C2814" s="1"/>
      <c r="D2814" s="1"/>
      <c r="E2814" s="1"/>
      <c r="F2814" s="1"/>
      <c r="G2814" s="1"/>
      <c r="H2814" s="1"/>
      <c r="I2814" s="1"/>
      <c r="J2814" s="1"/>
    </row>
    <row r="2815" ht="15.75" customHeight="1">
      <c r="A2815" s="1"/>
      <c r="B2815" s="1"/>
      <c r="C2815" s="1"/>
      <c r="D2815" s="1"/>
      <c r="E2815" s="1"/>
      <c r="F2815" s="1"/>
      <c r="G2815" s="1"/>
      <c r="H2815" s="1"/>
      <c r="I2815" s="1"/>
      <c r="J2815" s="1"/>
    </row>
    <row r="2816" ht="15.75" customHeight="1">
      <c r="A2816" s="1"/>
      <c r="B2816" s="1"/>
      <c r="C2816" s="1"/>
      <c r="D2816" s="1"/>
      <c r="E2816" s="1"/>
      <c r="F2816" s="1"/>
      <c r="G2816" s="1"/>
      <c r="H2816" s="1"/>
      <c r="I2816" s="1"/>
      <c r="J2816" s="1"/>
    </row>
    <row r="2817" ht="15.75" customHeight="1">
      <c r="A2817" s="1"/>
      <c r="B2817" s="1"/>
      <c r="C2817" s="1"/>
      <c r="D2817" s="1"/>
      <c r="E2817" s="1"/>
      <c r="F2817" s="1"/>
      <c r="G2817" s="1"/>
      <c r="H2817" s="1"/>
      <c r="I2817" s="1"/>
      <c r="J2817" s="1"/>
    </row>
    <row r="2818" ht="15.75" customHeight="1">
      <c r="A2818" s="1"/>
      <c r="B2818" s="1"/>
      <c r="C2818" s="1"/>
      <c r="D2818" s="1"/>
      <c r="E2818" s="1"/>
      <c r="F2818" s="1"/>
      <c r="G2818" s="1"/>
      <c r="H2818" s="1"/>
      <c r="I2818" s="1"/>
      <c r="J2818" s="1"/>
    </row>
    <row r="2819" ht="15.75" customHeight="1">
      <c r="A2819" s="1"/>
      <c r="B2819" s="1"/>
      <c r="C2819" s="1"/>
      <c r="D2819" s="1"/>
      <c r="E2819" s="1"/>
      <c r="F2819" s="1"/>
      <c r="G2819" s="1"/>
      <c r="H2819" s="1"/>
      <c r="I2819" s="1"/>
      <c r="J2819" s="1"/>
    </row>
    <row r="2820" ht="15.75" customHeight="1">
      <c r="A2820" s="1"/>
      <c r="B2820" s="1"/>
      <c r="C2820" s="1"/>
      <c r="D2820" s="1"/>
      <c r="E2820" s="1"/>
      <c r="F2820" s="1"/>
      <c r="G2820" s="1"/>
      <c r="H2820" s="1"/>
      <c r="I2820" s="1"/>
      <c r="J2820" s="1"/>
    </row>
    <row r="2821" ht="15.75" customHeight="1">
      <c r="A2821" s="1"/>
      <c r="B2821" s="1"/>
      <c r="C2821" s="1"/>
      <c r="D2821" s="1"/>
      <c r="E2821" s="1"/>
      <c r="F2821" s="1"/>
      <c r="G2821" s="1"/>
      <c r="H2821" s="1"/>
      <c r="I2821" s="1"/>
      <c r="J2821" s="1"/>
    </row>
    <row r="2822" ht="15.75" customHeight="1">
      <c r="A2822" s="1"/>
      <c r="B2822" s="1"/>
      <c r="C2822" s="1"/>
      <c r="D2822" s="1"/>
      <c r="E2822" s="1"/>
      <c r="F2822" s="1"/>
      <c r="G2822" s="1"/>
      <c r="H2822" s="1"/>
      <c r="I2822" s="1"/>
      <c r="J2822" s="1"/>
    </row>
    <row r="2823" ht="15.75" customHeight="1">
      <c r="A2823" s="1"/>
      <c r="B2823" s="1"/>
      <c r="C2823" s="1"/>
      <c r="D2823" s="1"/>
      <c r="E2823" s="1"/>
      <c r="F2823" s="1"/>
      <c r="G2823" s="1"/>
      <c r="H2823" s="1"/>
      <c r="I2823" s="1"/>
      <c r="J2823" s="1"/>
    </row>
    <row r="2824" ht="15.75" customHeight="1">
      <c r="A2824" s="1"/>
      <c r="B2824" s="1"/>
      <c r="C2824" s="1"/>
      <c r="D2824" s="1"/>
      <c r="E2824" s="1"/>
      <c r="F2824" s="1"/>
      <c r="G2824" s="1"/>
      <c r="H2824" s="1"/>
      <c r="I2824" s="1"/>
      <c r="J2824" s="1"/>
    </row>
    <row r="2825" ht="15.75" customHeight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</row>
    <row r="2826" ht="15.75" customHeight="1">
      <c r="A2826" s="1"/>
      <c r="B2826" s="1"/>
      <c r="C2826" s="1"/>
      <c r="D2826" s="1"/>
      <c r="E2826" s="1"/>
      <c r="F2826" s="1"/>
      <c r="G2826" s="1"/>
      <c r="H2826" s="1"/>
      <c r="I2826" s="1"/>
      <c r="J2826" s="1"/>
    </row>
    <row r="2827" ht="15.75" customHeight="1">
      <c r="A2827" s="1"/>
      <c r="B2827" s="1"/>
      <c r="C2827" s="1"/>
      <c r="D2827" s="1"/>
      <c r="E2827" s="1"/>
      <c r="F2827" s="1"/>
      <c r="G2827" s="1"/>
      <c r="H2827" s="1"/>
      <c r="I2827" s="1"/>
      <c r="J2827" s="1"/>
    </row>
    <row r="2828" ht="15.75" customHeight="1">
      <c r="A2828" s="1"/>
      <c r="B2828" s="1"/>
      <c r="C2828" s="1"/>
      <c r="D2828" s="1"/>
      <c r="E2828" s="1"/>
      <c r="F2828" s="1"/>
      <c r="G2828" s="1"/>
      <c r="H2828" s="1"/>
      <c r="I2828" s="1"/>
      <c r="J2828" s="1"/>
    </row>
    <row r="2829" ht="15.75" customHeight="1">
      <c r="A2829" s="1"/>
      <c r="B2829" s="1"/>
      <c r="C2829" s="1"/>
      <c r="D2829" s="1"/>
      <c r="E2829" s="1"/>
      <c r="F2829" s="1"/>
      <c r="G2829" s="1"/>
      <c r="H2829" s="1"/>
      <c r="I2829" s="1"/>
      <c r="J2829" s="1"/>
    </row>
    <row r="2830" ht="15.75" customHeight="1">
      <c r="A2830" s="1"/>
      <c r="B2830" s="1"/>
      <c r="C2830" s="1"/>
      <c r="D2830" s="1"/>
      <c r="E2830" s="1"/>
      <c r="F2830" s="1"/>
      <c r="G2830" s="1"/>
      <c r="H2830" s="1"/>
      <c r="I2830" s="1"/>
      <c r="J2830" s="1"/>
    </row>
    <row r="2831" ht="15.75" customHeight="1">
      <c r="A2831" s="1"/>
      <c r="B2831" s="1"/>
      <c r="C2831" s="1"/>
      <c r="D2831" s="1"/>
      <c r="E2831" s="1"/>
      <c r="F2831" s="1"/>
      <c r="G2831" s="1"/>
      <c r="H2831" s="1"/>
      <c r="I2831" s="1"/>
      <c r="J2831" s="1"/>
    </row>
    <row r="2832" ht="15.75" customHeight="1">
      <c r="A2832" s="1"/>
      <c r="B2832" s="1"/>
      <c r="C2832" s="1"/>
      <c r="D2832" s="1"/>
      <c r="E2832" s="1"/>
      <c r="F2832" s="1"/>
      <c r="G2832" s="1"/>
      <c r="H2832" s="1"/>
      <c r="I2832" s="1"/>
      <c r="J2832" s="1"/>
    </row>
    <row r="2833" ht="15.75" customHeight="1">
      <c r="A2833" s="1"/>
      <c r="B2833" s="1"/>
      <c r="C2833" s="1"/>
      <c r="D2833" s="1"/>
      <c r="E2833" s="1"/>
      <c r="F2833" s="1"/>
      <c r="G2833" s="1"/>
      <c r="H2833" s="1"/>
      <c r="I2833" s="1"/>
      <c r="J2833" s="1"/>
    </row>
    <row r="2834" ht="15.75" customHeight="1">
      <c r="A2834" s="1"/>
      <c r="B2834" s="1"/>
      <c r="C2834" s="1"/>
      <c r="D2834" s="1"/>
      <c r="E2834" s="1"/>
      <c r="F2834" s="1"/>
      <c r="G2834" s="1"/>
      <c r="H2834" s="1"/>
      <c r="I2834" s="1"/>
      <c r="J2834" s="1"/>
    </row>
    <row r="2835" ht="15.75" customHeight="1">
      <c r="A2835" s="1"/>
      <c r="B2835" s="1"/>
      <c r="C2835" s="1"/>
      <c r="D2835" s="1"/>
      <c r="E2835" s="1"/>
      <c r="F2835" s="1"/>
      <c r="G2835" s="1"/>
      <c r="H2835" s="1"/>
      <c r="I2835" s="1"/>
      <c r="J2835" s="1"/>
    </row>
    <row r="2836" ht="15.75" customHeight="1">
      <c r="A2836" s="1"/>
      <c r="B2836" s="1"/>
      <c r="C2836" s="1"/>
      <c r="D2836" s="1"/>
      <c r="E2836" s="1"/>
      <c r="F2836" s="1"/>
      <c r="G2836" s="1"/>
      <c r="H2836" s="1"/>
      <c r="I2836" s="1"/>
      <c r="J2836" s="1"/>
    </row>
    <row r="2837" ht="15.75" customHeight="1">
      <c r="A2837" s="1"/>
      <c r="B2837" s="1"/>
      <c r="C2837" s="1"/>
      <c r="D2837" s="1"/>
      <c r="E2837" s="1"/>
      <c r="F2837" s="1"/>
      <c r="G2837" s="1"/>
      <c r="H2837" s="1"/>
      <c r="I2837" s="1"/>
      <c r="J2837" s="1"/>
    </row>
    <row r="2838" ht="15.75" customHeight="1">
      <c r="A2838" s="1"/>
      <c r="B2838" s="1"/>
      <c r="C2838" s="1"/>
      <c r="D2838" s="1"/>
      <c r="E2838" s="1"/>
      <c r="F2838" s="1"/>
      <c r="G2838" s="1"/>
      <c r="H2838" s="1"/>
      <c r="I2838" s="1"/>
      <c r="J2838" s="1"/>
    </row>
    <row r="2839" ht="15.75" customHeight="1">
      <c r="A2839" s="1"/>
      <c r="B2839" s="1"/>
      <c r="C2839" s="1"/>
      <c r="D2839" s="1"/>
      <c r="E2839" s="1"/>
      <c r="F2839" s="1"/>
      <c r="G2839" s="1"/>
      <c r="H2839" s="1"/>
      <c r="I2839" s="1"/>
      <c r="J2839" s="1"/>
    </row>
    <row r="2840" ht="15.75" customHeight="1">
      <c r="A2840" s="1"/>
      <c r="B2840" s="1"/>
      <c r="C2840" s="1"/>
      <c r="D2840" s="1"/>
      <c r="E2840" s="1"/>
      <c r="F2840" s="1"/>
      <c r="G2840" s="1"/>
      <c r="H2840" s="1"/>
      <c r="I2840" s="1"/>
      <c r="J2840" s="1"/>
    </row>
    <row r="2841" ht="15.75" customHeight="1">
      <c r="A2841" s="1"/>
      <c r="B2841" s="1"/>
      <c r="C2841" s="1"/>
      <c r="D2841" s="1"/>
      <c r="E2841" s="1"/>
      <c r="F2841" s="1"/>
      <c r="G2841" s="1"/>
      <c r="H2841" s="1"/>
      <c r="I2841" s="1"/>
      <c r="J2841" s="1"/>
    </row>
    <row r="2842" ht="15.75" customHeight="1">
      <c r="A2842" s="1"/>
      <c r="B2842" s="1"/>
      <c r="C2842" s="1"/>
      <c r="D2842" s="1"/>
      <c r="E2842" s="1"/>
      <c r="F2842" s="1"/>
      <c r="G2842" s="1"/>
      <c r="H2842" s="1"/>
      <c r="I2842" s="1"/>
      <c r="J2842" s="1"/>
    </row>
    <row r="2843" ht="15.75" customHeight="1">
      <c r="A2843" s="1"/>
      <c r="B2843" s="1"/>
      <c r="C2843" s="1"/>
      <c r="D2843" s="1"/>
      <c r="E2843" s="1"/>
      <c r="F2843" s="1"/>
      <c r="G2843" s="1"/>
      <c r="H2843" s="1"/>
      <c r="I2843" s="1"/>
      <c r="J2843" s="1"/>
    </row>
    <row r="2844" ht="15.75" customHeight="1">
      <c r="A2844" s="1"/>
      <c r="B2844" s="1"/>
      <c r="C2844" s="1"/>
      <c r="D2844" s="1"/>
      <c r="E2844" s="1"/>
      <c r="F2844" s="1"/>
      <c r="G2844" s="1"/>
      <c r="H2844" s="1"/>
      <c r="I2844" s="1"/>
      <c r="J2844" s="1"/>
    </row>
    <row r="2845" ht="15.75" customHeight="1">
      <c r="A2845" s="1"/>
      <c r="B2845" s="1"/>
      <c r="C2845" s="1"/>
      <c r="D2845" s="1"/>
      <c r="E2845" s="1"/>
      <c r="F2845" s="1"/>
      <c r="G2845" s="1"/>
      <c r="H2845" s="1"/>
      <c r="I2845" s="1"/>
      <c r="J2845" s="1"/>
    </row>
    <row r="2846" ht="15.75" customHeight="1">
      <c r="A2846" s="1"/>
      <c r="B2846" s="1"/>
      <c r="C2846" s="1"/>
      <c r="D2846" s="1"/>
      <c r="E2846" s="1"/>
      <c r="F2846" s="1"/>
      <c r="G2846" s="1"/>
      <c r="H2846" s="1"/>
      <c r="I2846" s="1"/>
      <c r="J2846" s="1"/>
    </row>
    <row r="2847" ht="15.75" customHeight="1">
      <c r="A2847" s="1"/>
      <c r="B2847" s="1"/>
      <c r="C2847" s="1"/>
      <c r="D2847" s="1"/>
      <c r="E2847" s="1"/>
      <c r="F2847" s="1"/>
      <c r="G2847" s="1"/>
      <c r="H2847" s="1"/>
      <c r="I2847" s="1"/>
      <c r="J2847" s="1"/>
    </row>
    <row r="2848" ht="15.75" customHeight="1">
      <c r="A2848" s="1"/>
      <c r="B2848" s="1"/>
      <c r="C2848" s="1"/>
      <c r="D2848" s="1"/>
      <c r="E2848" s="1"/>
      <c r="F2848" s="1"/>
      <c r="G2848" s="1"/>
      <c r="H2848" s="1"/>
      <c r="I2848" s="1"/>
      <c r="J2848" s="1"/>
    </row>
    <row r="2849" ht="15.75" customHeight="1">
      <c r="A2849" s="1"/>
      <c r="B2849" s="1"/>
      <c r="C2849" s="1"/>
      <c r="D2849" s="1"/>
      <c r="E2849" s="1"/>
      <c r="F2849" s="1"/>
      <c r="G2849" s="1"/>
      <c r="H2849" s="1"/>
      <c r="I2849" s="1"/>
      <c r="J2849" s="1"/>
    </row>
    <row r="2850" ht="15.75" customHeight="1">
      <c r="A2850" s="1"/>
      <c r="B2850" s="1"/>
      <c r="C2850" s="1"/>
      <c r="D2850" s="1"/>
      <c r="E2850" s="1"/>
      <c r="F2850" s="1"/>
      <c r="G2850" s="1"/>
      <c r="H2850" s="1"/>
      <c r="I2850" s="1"/>
      <c r="J2850" s="1"/>
    </row>
    <row r="2851" ht="15.75" customHeight="1">
      <c r="A2851" s="1"/>
      <c r="B2851" s="1"/>
      <c r="C2851" s="1"/>
      <c r="D2851" s="1"/>
      <c r="E2851" s="1"/>
      <c r="F2851" s="1"/>
      <c r="G2851" s="1"/>
      <c r="H2851" s="1"/>
      <c r="I2851" s="1"/>
      <c r="J2851" s="1"/>
    </row>
    <row r="2852" ht="15.75" customHeight="1">
      <c r="A2852" s="1"/>
      <c r="B2852" s="1"/>
      <c r="C2852" s="1"/>
      <c r="D2852" s="1"/>
      <c r="E2852" s="1"/>
      <c r="F2852" s="1"/>
      <c r="G2852" s="1"/>
      <c r="H2852" s="1"/>
      <c r="I2852" s="1"/>
      <c r="J2852" s="1"/>
    </row>
    <row r="2853" ht="15.75" customHeight="1">
      <c r="A2853" s="1"/>
      <c r="B2853" s="1"/>
      <c r="C2853" s="1"/>
      <c r="D2853" s="1"/>
      <c r="E2853" s="1"/>
      <c r="F2853" s="1"/>
      <c r="G2853" s="1"/>
      <c r="H2853" s="1"/>
      <c r="I2853" s="1"/>
      <c r="J2853" s="1"/>
    </row>
    <row r="2854" ht="15.75" customHeight="1">
      <c r="A2854" s="1"/>
      <c r="B2854" s="1"/>
      <c r="C2854" s="1"/>
      <c r="D2854" s="1"/>
      <c r="E2854" s="1"/>
      <c r="F2854" s="1"/>
      <c r="G2854" s="1"/>
      <c r="H2854" s="1"/>
      <c r="I2854" s="1"/>
      <c r="J2854" s="1"/>
    </row>
    <row r="2855" ht="15.75" customHeight="1">
      <c r="A2855" s="1"/>
      <c r="B2855" s="1"/>
      <c r="C2855" s="1"/>
      <c r="D2855" s="1"/>
      <c r="E2855" s="1"/>
      <c r="F2855" s="1"/>
      <c r="G2855" s="1"/>
      <c r="H2855" s="1"/>
      <c r="I2855" s="1"/>
      <c r="J2855" s="1"/>
    </row>
    <row r="2856" ht="15.75" customHeight="1">
      <c r="A2856" s="1"/>
      <c r="B2856" s="1"/>
      <c r="C2856" s="1"/>
      <c r="D2856" s="1"/>
      <c r="E2856" s="1"/>
      <c r="F2856" s="1"/>
      <c r="G2856" s="1"/>
      <c r="H2856" s="1"/>
      <c r="I2856" s="1"/>
      <c r="J2856" s="1"/>
    </row>
    <row r="2857" ht="15.75" customHeight="1">
      <c r="A2857" s="1"/>
      <c r="B2857" s="1"/>
      <c r="C2857" s="1"/>
      <c r="D2857" s="1"/>
      <c r="E2857" s="1"/>
      <c r="F2857" s="1"/>
      <c r="G2857" s="1"/>
      <c r="H2857" s="1"/>
      <c r="I2857" s="1"/>
      <c r="J2857" s="1"/>
    </row>
    <row r="2858" ht="15.75" customHeight="1">
      <c r="A2858" s="1"/>
      <c r="B2858" s="1"/>
      <c r="C2858" s="1"/>
      <c r="D2858" s="1"/>
      <c r="E2858" s="1"/>
      <c r="F2858" s="1"/>
      <c r="G2858" s="1"/>
      <c r="H2858" s="1"/>
      <c r="I2858" s="1"/>
      <c r="J2858" s="1"/>
    </row>
    <row r="2859" ht="15.75" customHeight="1">
      <c r="A2859" s="1"/>
      <c r="B2859" s="1"/>
      <c r="C2859" s="1"/>
      <c r="D2859" s="1"/>
      <c r="E2859" s="1"/>
      <c r="F2859" s="1"/>
      <c r="G2859" s="1"/>
      <c r="H2859" s="1"/>
      <c r="I2859" s="1"/>
      <c r="J2859" s="1"/>
    </row>
    <row r="2860" ht="15.75" customHeight="1">
      <c r="A2860" s="1"/>
      <c r="B2860" s="1"/>
      <c r="C2860" s="1"/>
      <c r="D2860" s="1"/>
      <c r="E2860" s="1"/>
      <c r="F2860" s="1"/>
      <c r="G2860" s="1"/>
      <c r="H2860" s="1"/>
      <c r="I2860" s="1"/>
      <c r="J2860" s="1"/>
    </row>
    <row r="2861" ht="15.75" customHeight="1">
      <c r="A2861" s="1"/>
      <c r="B2861" s="1"/>
      <c r="C2861" s="1"/>
      <c r="D2861" s="1"/>
      <c r="E2861" s="1"/>
      <c r="F2861" s="1"/>
      <c r="G2861" s="1"/>
      <c r="H2861" s="1"/>
      <c r="I2861" s="1"/>
      <c r="J2861" s="1"/>
    </row>
    <row r="2862" ht="15.75" customHeight="1">
      <c r="A2862" s="1"/>
      <c r="B2862" s="1"/>
      <c r="C2862" s="1"/>
      <c r="D2862" s="1"/>
      <c r="E2862" s="1"/>
      <c r="F2862" s="1"/>
      <c r="G2862" s="1"/>
      <c r="H2862" s="1"/>
      <c r="I2862" s="1"/>
      <c r="J2862" s="1"/>
    </row>
    <row r="2863" ht="15.75" customHeight="1">
      <c r="A2863" s="1"/>
      <c r="B2863" s="1"/>
      <c r="C2863" s="1"/>
      <c r="D2863" s="1"/>
      <c r="E2863" s="1"/>
      <c r="F2863" s="1"/>
      <c r="G2863" s="1"/>
      <c r="H2863" s="1"/>
      <c r="I2863" s="1"/>
      <c r="J2863" s="1"/>
    </row>
    <row r="2864" ht="15.75" customHeight="1">
      <c r="A2864" s="1"/>
      <c r="B2864" s="1"/>
      <c r="C2864" s="1"/>
      <c r="D2864" s="1"/>
      <c r="E2864" s="1"/>
      <c r="F2864" s="1"/>
      <c r="G2864" s="1"/>
      <c r="H2864" s="1"/>
      <c r="I2864" s="1"/>
      <c r="J2864" s="1"/>
    </row>
    <row r="2865" ht="15.75" customHeight="1">
      <c r="A2865" s="1"/>
      <c r="B2865" s="1"/>
      <c r="C2865" s="1"/>
      <c r="D2865" s="1"/>
      <c r="E2865" s="1"/>
      <c r="F2865" s="1"/>
      <c r="G2865" s="1"/>
      <c r="H2865" s="1"/>
      <c r="I2865" s="1"/>
      <c r="J2865" s="1"/>
    </row>
    <row r="2866" ht="15.75" customHeight="1">
      <c r="A2866" s="1"/>
      <c r="B2866" s="1"/>
      <c r="C2866" s="1"/>
      <c r="D2866" s="1"/>
      <c r="E2866" s="1"/>
      <c r="F2866" s="1"/>
      <c r="G2866" s="1"/>
      <c r="H2866" s="1"/>
      <c r="I2866" s="1"/>
      <c r="J2866" s="1"/>
    </row>
    <row r="2867" ht="15.75" customHeight="1">
      <c r="A2867" s="1"/>
      <c r="B2867" s="1"/>
      <c r="C2867" s="1"/>
      <c r="D2867" s="1"/>
      <c r="E2867" s="1"/>
      <c r="F2867" s="1"/>
      <c r="G2867" s="1"/>
      <c r="H2867" s="1"/>
      <c r="I2867" s="1"/>
      <c r="J2867" s="1"/>
    </row>
    <row r="2868" ht="15.75" customHeight="1">
      <c r="A2868" s="1"/>
      <c r="B2868" s="1"/>
      <c r="C2868" s="1"/>
      <c r="D2868" s="1"/>
      <c r="E2868" s="1"/>
      <c r="F2868" s="1"/>
      <c r="G2868" s="1"/>
      <c r="H2868" s="1"/>
      <c r="I2868" s="1"/>
      <c r="J2868" s="1"/>
    </row>
    <row r="2869" ht="15.75" customHeight="1">
      <c r="A2869" s="1"/>
      <c r="B2869" s="1"/>
      <c r="C2869" s="1"/>
      <c r="D2869" s="1"/>
      <c r="E2869" s="1"/>
      <c r="F2869" s="1"/>
      <c r="G2869" s="1"/>
      <c r="H2869" s="1"/>
      <c r="I2869" s="1"/>
      <c r="J2869" s="1"/>
    </row>
    <row r="2870" ht="15.75" customHeight="1">
      <c r="A2870" s="1"/>
      <c r="B2870" s="1"/>
      <c r="C2870" s="1"/>
      <c r="D2870" s="1"/>
      <c r="E2870" s="1"/>
      <c r="F2870" s="1"/>
      <c r="G2870" s="1"/>
      <c r="H2870" s="1"/>
      <c r="I2870" s="1"/>
      <c r="J2870" s="1"/>
    </row>
    <row r="2871" ht="15.75" customHeight="1">
      <c r="A2871" s="1"/>
      <c r="B2871" s="1"/>
      <c r="C2871" s="1"/>
      <c r="D2871" s="1"/>
      <c r="E2871" s="1"/>
      <c r="F2871" s="1"/>
      <c r="G2871" s="1"/>
      <c r="H2871" s="1"/>
      <c r="I2871" s="1"/>
      <c r="J2871" s="1"/>
    </row>
    <row r="2872" ht="15.75" customHeight="1">
      <c r="A2872" s="1"/>
      <c r="B2872" s="1"/>
      <c r="C2872" s="1"/>
      <c r="D2872" s="1"/>
      <c r="E2872" s="1"/>
      <c r="F2872" s="1"/>
      <c r="G2872" s="1"/>
      <c r="H2872" s="1"/>
      <c r="I2872" s="1"/>
      <c r="J2872" s="1"/>
    </row>
    <row r="2873" ht="15.75" customHeight="1">
      <c r="A2873" s="1"/>
      <c r="B2873" s="1"/>
      <c r="C2873" s="1"/>
      <c r="D2873" s="1"/>
      <c r="E2873" s="1"/>
      <c r="F2873" s="1"/>
      <c r="G2873" s="1"/>
      <c r="H2873" s="1"/>
      <c r="I2873" s="1"/>
      <c r="J2873" s="1"/>
    </row>
    <row r="2874" ht="15.75" customHeight="1">
      <c r="A2874" s="1"/>
      <c r="B2874" s="1"/>
      <c r="C2874" s="1"/>
      <c r="D2874" s="1"/>
      <c r="E2874" s="1"/>
      <c r="F2874" s="1"/>
      <c r="G2874" s="1"/>
      <c r="H2874" s="1"/>
      <c r="I2874" s="1"/>
      <c r="J2874" s="1"/>
    </row>
    <row r="2875" ht="15.75" customHeight="1">
      <c r="A2875" s="1"/>
      <c r="B2875" s="1"/>
      <c r="C2875" s="1"/>
      <c r="D2875" s="1"/>
      <c r="E2875" s="1"/>
      <c r="F2875" s="1"/>
      <c r="G2875" s="1"/>
      <c r="H2875" s="1"/>
      <c r="I2875" s="1"/>
      <c r="J2875" s="1"/>
    </row>
    <row r="2876" ht="15.75" customHeight="1">
      <c r="A2876" s="1"/>
      <c r="B2876" s="1"/>
      <c r="C2876" s="1"/>
      <c r="D2876" s="1"/>
      <c r="E2876" s="1"/>
      <c r="F2876" s="1"/>
      <c r="G2876" s="1"/>
      <c r="H2876" s="1"/>
      <c r="I2876" s="1"/>
      <c r="J2876" s="1"/>
    </row>
    <row r="2877" ht="15.75" customHeight="1">
      <c r="A2877" s="1"/>
      <c r="B2877" s="1"/>
      <c r="C2877" s="1"/>
      <c r="D2877" s="1"/>
      <c r="E2877" s="1"/>
      <c r="F2877" s="1"/>
      <c r="G2877" s="1"/>
      <c r="H2877" s="1"/>
      <c r="I2877" s="1"/>
      <c r="J2877" s="1"/>
    </row>
    <row r="2878" ht="15.75" customHeight="1">
      <c r="A2878" s="1"/>
      <c r="B2878" s="1"/>
      <c r="C2878" s="1"/>
      <c r="D2878" s="1"/>
      <c r="E2878" s="1"/>
      <c r="F2878" s="1"/>
      <c r="G2878" s="1"/>
      <c r="H2878" s="1"/>
      <c r="I2878" s="1"/>
      <c r="J2878" s="1"/>
    </row>
    <row r="2879" ht="15.75" customHeight="1">
      <c r="A2879" s="1"/>
      <c r="B2879" s="1"/>
      <c r="C2879" s="1"/>
      <c r="D2879" s="1"/>
      <c r="E2879" s="1"/>
      <c r="F2879" s="1"/>
      <c r="G2879" s="1"/>
      <c r="H2879" s="1"/>
      <c r="I2879" s="1"/>
      <c r="J2879" s="1"/>
    </row>
    <row r="2880" ht="15.75" customHeight="1">
      <c r="A2880" s="1"/>
      <c r="B2880" s="1"/>
      <c r="C2880" s="1"/>
      <c r="D2880" s="1"/>
      <c r="E2880" s="1"/>
      <c r="F2880" s="1"/>
      <c r="G2880" s="1"/>
      <c r="H2880" s="1"/>
      <c r="I2880" s="1"/>
      <c r="J2880" s="1"/>
    </row>
    <row r="2881" ht="15.75" customHeight="1">
      <c r="A2881" s="1"/>
      <c r="B2881" s="1"/>
      <c r="C2881" s="1"/>
      <c r="D2881" s="1"/>
      <c r="E2881" s="1"/>
      <c r="F2881" s="1"/>
      <c r="G2881" s="1"/>
      <c r="H2881" s="1"/>
      <c r="I2881" s="1"/>
      <c r="J2881" s="1"/>
    </row>
    <row r="2882" ht="15.75" customHeight="1">
      <c r="A2882" s="1"/>
      <c r="B2882" s="1"/>
      <c r="C2882" s="1"/>
      <c r="D2882" s="1"/>
      <c r="E2882" s="1"/>
      <c r="F2882" s="1"/>
      <c r="G2882" s="1"/>
      <c r="H2882" s="1"/>
      <c r="I2882" s="1"/>
      <c r="J2882" s="1"/>
    </row>
    <row r="2883" ht="15.75" customHeight="1">
      <c r="A2883" s="1"/>
      <c r="B2883" s="1"/>
      <c r="C2883" s="1"/>
      <c r="D2883" s="1"/>
      <c r="E2883" s="1"/>
      <c r="F2883" s="1"/>
      <c r="G2883" s="1"/>
      <c r="H2883" s="1"/>
      <c r="I2883" s="1"/>
      <c r="J2883" s="1"/>
    </row>
    <row r="2884" ht="15.75" customHeight="1">
      <c r="A2884" s="1"/>
      <c r="B2884" s="1"/>
      <c r="C2884" s="1"/>
      <c r="D2884" s="1"/>
      <c r="E2884" s="1"/>
      <c r="F2884" s="1"/>
      <c r="G2884" s="1"/>
      <c r="H2884" s="1"/>
      <c r="I2884" s="1"/>
      <c r="J2884" s="1"/>
    </row>
    <row r="2885" ht="15.75" customHeight="1">
      <c r="A2885" s="1"/>
      <c r="B2885" s="1"/>
      <c r="C2885" s="1"/>
      <c r="D2885" s="1"/>
      <c r="E2885" s="1"/>
      <c r="F2885" s="1"/>
      <c r="G2885" s="1"/>
      <c r="H2885" s="1"/>
      <c r="I2885" s="1"/>
      <c r="J2885" s="1"/>
    </row>
    <row r="2886" ht="15.75" customHeight="1">
      <c r="A2886" s="1"/>
      <c r="B2886" s="1"/>
      <c r="C2886" s="1"/>
      <c r="D2886" s="1"/>
      <c r="E2886" s="1"/>
      <c r="F2886" s="1"/>
      <c r="G2886" s="1"/>
      <c r="H2886" s="1"/>
      <c r="I2886" s="1"/>
      <c r="J2886" s="1"/>
    </row>
    <row r="2887" ht="15.75" customHeight="1">
      <c r="A2887" s="1"/>
      <c r="B2887" s="1"/>
      <c r="C2887" s="1"/>
      <c r="D2887" s="1"/>
      <c r="E2887" s="1"/>
      <c r="F2887" s="1"/>
      <c r="G2887" s="1"/>
      <c r="H2887" s="1"/>
      <c r="I2887" s="1"/>
      <c r="J2887" s="1"/>
    </row>
    <row r="2888" ht="15.75" customHeight="1">
      <c r="A2888" s="1"/>
      <c r="B2888" s="1"/>
      <c r="C2888" s="1"/>
      <c r="D2888" s="1"/>
      <c r="E2888" s="1"/>
      <c r="F2888" s="1"/>
      <c r="G2888" s="1"/>
      <c r="H2888" s="1"/>
      <c r="I2888" s="1"/>
      <c r="J2888" s="1"/>
    </row>
    <row r="2889" ht="15.75" customHeight="1">
      <c r="A2889" s="1"/>
      <c r="B2889" s="1"/>
      <c r="C2889" s="1"/>
      <c r="D2889" s="1"/>
      <c r="E2889" s="1"/>
      <c r="F2889" s="1"/>
      <c r="G2889" s="1"/>
      <c r="H2889" s="1"/>
      <c r="I2889" s="1"/>
      <c r="J2889" s="1"/>
    </row>
    <row r="2890" ht="15.75" customHeight="1">
      <c r="A2890" s="1"/>
      <c r="B2890" s="1"/>
      <c r="C2890" s="1"/>
      <c r="D2890" s="1"/>
      <c r="E2890" s="1"/>
      <c r="F2890" s="1"/>
      <c r="G2890" s="1"/>
      <c r="H2890" s="1"/>
      <c r="I2890" s="1"/>
      <c r="J2890" s="1"/>
    </row>
    <row r="2891" ht="15.75" customHeight="1">
      <c r="A2891" s="1"/>
      <c r="B2891" s="1"/>
      <c r="C2891" s="1"/>
      <c r="D2891" s="1"/>
      <c r="E2891" s="1"/>
      <c r="F2891" s="1"/>
      <c r="G2891" s="1"/>
      <c r="H2891" s="1"/>
      <c r="I2891" s="1"/>
      <c r="J2891" s="1"/>
    </row>
    <row r="2892" ht="15.75" customHeight="1">
      <c r="A2892" s="1"/>
      <c r="B2892" s="1"/>
      <c r="C2892" s="1"/>
      <c r="D2892" s="1"/>
      <c r="E2892" s="1"/>
      <c r="F2892" s="1"/>
      <c r="G2892" s="1"/>
      <c r="H2892" s="1"/>
      <c r="I2892" s="1"/>
      <c r="J2892" s="1"/>
    </row>
    <row r="2893" ht="15.75" customHeight="1">
      <c r="A2893" s="1"/>
      <c r="B2893" s="1"/>
      <c r="C2893" s="1"/>
      <c r="D2893" s="1"/>
      <c r="E2893" s="1"/>
      <c r="F2893" s="1"/>
      <c r="G2893" s="1"/>
      <c r="H2893" s="1"/>
      <c r="I2893" s="1"/>
      <c r="J2893" s="1"/>
    </row>
    <row r="2894" ht="15.75" customHeight="1">
      <c r="A2894" s="1"/>
      <c r="B2894" s="1"/>
      <c r="C2894" s="1"/>
      <c r="D2894" s="1"/>
      <c r="E2894" s="1"/>
      <c r="F2894" s="1"/>
      <c r="G2894" s="1"/>
      <c r="H2894" s="1"/>
      <c r="I2894" s="1"/>
      <c r="J2894" s="1"/>
    </row>
    <row r="2895" ht="15.75" customHeight="1">
      <c r="A2895" s="1"/>
      <c r="B2895" s="1"/>
      <c r="C2895" s="1"/>
      <c r="D2895" s="1"/>
      <c r="E2895" s="1"/>
      <c r="F2895" s="1"/>
      <c r="G2895" s="1"/>
      <c r="H2895" s="1"/>
      <c r="I2895" s="1"/>
      <c r="J2895" s="1"/>
    </row>
    <row r="2896" ht="15.75" customHeight="1">
      <c r="A2896" s="1"/>
      <c r="B2896" s="1"/>
      <c r="C2896" s="1"/>
      <c r="D2896" s="1"/>
      <c r="E2896" s="1"/>
      <c r="F2896" s="1"/>
      <c r="G2896" s="1"/>
      <c r="H2896" s="1"/>
      <c r="I2896" s="1"/>
      <c r="J2896" s="1"/>
    </row>
    <row r="2897" ht="15.75" customHeight="1">
      <c r="A2897" s="1"/>
      <c r="B2897" s="1"/>
      <c r="C2897" s="1"/>
      <c r="D2897" s="1"/>
      <c r="E2897" s="1"/>
      <c r="F2897" s="1"/>
      <c r="G2897" s="1"/>
      <c r="H2897" s="1"/>
      <c r="I2897" s="1"/>
      <c r="J2897" s="1"/>
    </row>
    <row r="2898" ht="15.75" customHeight="1">
      <c r="A2898" s="1"/>
      <c r="B2898" s="1"/>
      <c r="C2898" s="1"/>
      <c r="D2898" s="1"/>
      <c r="E2898" s="1"/>
      <c r="F2898" s="1"/>
      <c r="G2898" s="1"/>
      <c r="H2898" s="1"/>
      <c r="I2898" s="1"/>
      <c r="J2898" s="1"/>
    </row>
    <row r="2899" ht="15.75" customHeight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</row>
    <row r="2900" ht="15.75" customHeight="1">
      <c r="A2900" s="1"/>
      <c r="B2900" s="1"/>
      <c r="C2900" s="1"/>
      <c r="D2900" s="1"/>
      <c r="E2900" s="1"/>
      <c r="F2900" s="1"/>
      <c r="G2900" s="1"/>
      <c r="H2900" s="1"/>
      <c r="I2900" s="1"/>
      <c r="J2900" s="1"/>
    </row>
    <row r="2901" ht="15.75" customHeight="1">
      <c r="A2901" s="1"/>
      <c r="B2901" s="1"/>
      <c r="C2901" s="1"/>
      <c r="D2901" s="1"/>
      <c r="E2901" s="1"/>
      <c r="F2901" s="1"/>
      <c r="G2901" s="1"/>
      <c r="H2901" s="1"/>
      <c r="I2901" s="1"/>
      <c r="J2901" s="1"/>
    </row>
    <row r="2902" ht="15.75" customHeight="1">
      <c r="A2902" s="1"/>
      <c r="B2902" s="1"/>
      <c r="C2902" s="1"/>
      <c r="D2902" s="1"/>
      <c r="E2902" s="1"/>
      <c r="F2902" s="1"/>
      <c r="G2902" s="1"/>
      <c r="H2902" s="1"/>
      <c r="I2902" s="1"/>
      <c r="J2902" s="1"/>
    </row>
    <row r="2903" ht="15.75" customHeight="1">
      <c r="A2903" s="1"/>
      <c r="B2903" s="1"/>
      <c r="C2903" s="1"/>
      <c r="D2903" s="1"/>
      <c r="E2903" s="1"/>
      <c r="F2903" s="1"/>
      <c r="G2903" s="1"/>
      <c r="H2903" s="1"/>
      <c r="I2903" s="1"/>
      <c r="J2903" s="1"/>
    </row>
    <row r="2904" ht="15.75" customHeight="1">
      <c r="A2904" s="1"/>
      <c r="B2904" s="1"/>
      <c r="C2904" s="1"/>
      <c r="D2904" s="1"/>
      <c r="E2904" s="1"/>
      <c r="F2904" s="1"/>
      <c r="G2904" s="1"/>
      <c r="H2904" s="1"/>
      <c r="I2904" s="1"/>
      <c r="J2904" s="1"/>
    </row>
    <row r="2905" ht="15.75" customHeight="1">
      <c r="A2905" s="1"/>
      <c r="B2905" s="1"/>
      <c r="C2905" s="1"/>
      <c r="D2905" s="1"/>
      <c r="E2905" s="1"/>
      <c r="F2905" s="1"/>
      <c r="G2905" s="1"/>
      <c r="H2905" s="1"/>
      <c r="I2905" s="1"/>
      <c r="J2905" s="1"/>
    </row>
    <row r="2906" ht="15.75" customHeight="1">
      <c r="A2906" s="1"/>
      <c r="B2906" s="1"/>
      <c r="C2906" s="1"/>
      <c r="D2906" s="1"/>
      <c r="E2906" s="1"/>
      <c r="F2906" s="1"/>
      <c r="G2906" s="1"/>
      <c r="H2906" s="1"/>
      <c r="I2906" s="1"/>
      <c r="J2906" s="1"/>
    </row>
    <row r="2907" ht="15.75" customHeight="1">
      <c r="A2907" s="1"/>
      <c r="B2907" s="1"/>
      <c r="C2907" s="1"/>
      <c r="D2907" s="1"/>
      <c r="E2907" s="1"/>
      <c r="F2907" s="1"/>
      <c r="G2907" s="1"/>
      <c r="H2907" s="1"/>
      <c r="I2907" s="1"/>
      <c r="J2907" s="1"/>
    </row>
    <row r="2908" ht="15.75" customHeight="1">
      <c r="A2908" s="1"/>
      <c r="B2908" s="1"/>
      <c r="C2908" s="1"/>
      <c r="D2908" s="1"/>
      <c r="E2908" s="1"/>
      <c r="F2908" s="1"/>
      <c r="G2908" s="1"/>
      <c r="H2908" s="1"/>
      <c r="I2908" s="1"/>
      <c r="J2908" s="1"/>
    </row>
    <row r="2909" ht="15.75" customHeight="1">
      <c r="A2909" s="1"/>
      <c r="B2909" s="1"/>
      <c r="C2909" s="1"/>
      <c r="D2909" s="1"/>
      <c r="E2909" s="1"/>
      <c r="F2909" s="1"/>
      <c r="G2909" s="1"/>
      <c r="H2909" s="1"/>
      <c r="I2909" s="1"/>
      <c r="J2909" s="1"/>
    </row>
    <row r="2910" ht="15.75" customHeight="1">
      <c r="A2910" s="1"/>
      <c r="B2910" s="1"/>
      <c r="C2910" s="1"/>
      <c r="D2910" s="1"/>
      <c r="E2910" s="1"/>
      <c r="F2910" s="1"/>
      <c r="G2910" s="1"/>
      <c r="H2910" s="1"/>
      <c r="I2910" s="1"/>
      <c r="J2910" s="1"/>
    </row>
    <row r="2911" ht="15.75" customHeight="1">
      <c r="A2911" s="1"/>
      <c r="B2911" s="1"/>
      <c r="C2911" s="1"/>
      <c r="D2911" s="1"/>
      <c r="E2911" s="1"/>
      <c r="F2911" s="1"/>
      <c r="G2911" s="1"/>
      <c r="H2911" s="1"/>
      <c r="I2911" s="1"/>
      <c r="J2911" s="1"/>
    </row>
    <row r="2912" ht="15.75" customHeight="1">
      <c r="A2912" s="1"/>
      <c r="B2912" s="1"/>
      <c r="C2912" s="1"/>
      <c r="D2912" s="1"/>
      <c r="E2912" s="1"/>
      <c r="F2912" s="1"/>
      <c r="G2912" s="1"/>
      <c r="H2912" s="1"/>
      <c r="I2912" s="1"/>
      <c r="J2912" s="1"/>
    </row>
    <row r="2913" ht="15.75" customHeight="1">
      <c r="A2913" s="1"/>
      <c r="B2913" s="1"/>
      <c r="C2913" s="1"/>
      <c r="D2913" s="1"/>
      <c r="E2913" s="1"/>
      <c r="F2913" s="1"/>
      <c r="G2913" s="1"/>
      <c r="H2913" s="1"/>
      <c r="I2913" s="1"/>
      <c r="J2913" s="1"/>
    </row>
    <row r="2914" ht="15.75" customHeight="1">
      <c r="A2914" s="1"/>
      <c r="B2914" s="1"/>
      <c r="C2914" s="1"/>
      <c r="D2914" s="1"/>
      <c r="E2914" s="1"/>
      <c r="F2914" s="1"/>
      <c r="G2914" s="1"/>
      <c r="H2914" s="1"/>
      <c r="I2914" s="1"/>
      <c r="J2914" s="1"/>
    </row>
    <row r="2915" ht="15.75" customHeight="1">
      <c r="A2915" s="1"/>
      <c r="B2915" s="1"/>
      <c r="C2915" s="1"/>
      <c r="D2915" s="1"/>
      <c r="E2915" s="1"/>
      <c r="F2915" s="1"/>
      <c r="G2915" s="1"/>
      <c r="H2915" s="1"/>
      <c r="I2915" s="1"/>
      <c r="J2915" s="1"/>
    </row>
    <row r="2916" ht="15.75" customHeight="1">
      <c r="A2916" s="1"/>
      <c r="B2916" s="1"/>
      <c r="C2916" s="1"/>
      <c r="D2916" s="1"/>
      <c r="E2916" s="1"/>
      <c r="F2916" s="1"/>
      <c r="G2916" s="1"/>
      <c r="H2916" s="1"/>
      <c r="I2916" s="1"/>
      <c r="J2916" s="1"/>
    </row>
    <row r="2917" ht="15.75" customHeight="1">
      <c r="A2917" s="1"/>
      <c r="B2917" s="1"/>
      <c r="C2917" s="1"/>
      <c r="D2917" s="1"/>
      <c r="E2917" s="1"/>
      <c r="F2917" s="1"/>
      <c r="G2917" s="1"/>
      <c r="H2917" s="1"/>
      <c r="I2917" s="1"/>
      <c r="J2917" s="1"/>
    </row>
    <row r="2918" ht="15.75" customHeight="1">
      <c r="A2918" s="1"/>
      <c r="B2918" s="1"/>
      <c r="C2918" s="1"/>
      <c r="D2918" s="1"/>
      <c r="E2918" s="1"/>
      <c r="F2918" s="1"/>
      <c r="G2918" s="1"/>
      <c r="H2918" s="1"/>
      <c r="I2918" s="1"/>
      <c r="J2918" s="1"/>
    </row>
    <row r="2919" ht="15.75" customHeight="1">
      <c r="A2919" s="1"/>
      <c r="B2919" s="1"/>
      <c r="C2919" s="1"/>
      <c r="D2919" s="1"/>
      <c r="E2919" s="1"/>
      <c r="F2919" s="1"/>
      <c r="G2919" s="1"/>
      <c r="H2919" s="1"/>
      <c r="I2919" s="1"/>
      <c r="J2919" s="1"/>
    </row>
    <row r="2920" ht="15.75" customHeight="1">
      <c r="A2920" s="1"/>
      <c r="B2920" s="1"/>
      <c r="C2920" s="1"/>
      <c r="D2920" s="1"/>
      <c r="E2920" s="1"/>
      <c r="F2920" s="1"/>
      <c r="G2920" s="1"/>
      <c r="H2920" s="1"/>
      <c r="I2920" s="1"/>
      <c r="J2920" s="1"/>
    </row>
    <row r="2921" ht="15.75" customHeight="1">
      <c r="A2921" s="1"/>
      <c r="B2921" s="1"/>
      <c r="C2921" s="1"/>
      <c r="D2921" s="1"/>
      <c r="E2921" s="1"/>
      <c r="F2921" s="1"/>
      <c r="G2921" s="1"/>
      <c r="H2921" s="1"/>
      <c r="I2921" s="1"/>
      <c r="J2921" s="1"/>
    </row>
    <row r="2922" ht="15.75" customHeight="1">
      <c r="A2922" s="1"/>
      <c r="B2922" s="1"/>
      <c r="C2922" s="1"/>
      <c r="D2922" s="1"/>
      <c r="E2922" s="1"/>
      <c r="F2922" s="1"/>
      <c r="G2922" s="1"/>
      <c r="H2922" s="1"/>
      <c r="I2922" s="1"/>
      <c r="J2922" s="1"/>
    </row>
    <row r="2923" ht="15.75" customHeight="1">
      <c r="A2923" s="1"/>
      <c r="B2923" s="1"/>
      <c r="C2923" s="1"/>
      <c r="D2923" s="1"/>
      <c r="E2923" s="1"/>
      <c r="F2923" s="1"/>
      <c r="G2923" s="1"/>
      <c r="H2923" s="1"/>
      <c r="I2923" s="1"/>
      <c r="J2923" s="1"/>
    </row>
    <row r="2924" ht="15.75" customHeight="1">
      <c r="A2924" s="1"/>
      <c r="B2924" s="1"/>
      <c r="C2924" s="1"/>
      <c r="D2924" s="1"/>
      <c r="E2924" s="1"/>
      <c r="F2924" s="1"/>
      <c r="G2924" s="1"/>
      <c r="H2924" s="1"/>
      <c r="I2924" s="1"/>
      <c r="J2924" s="1"/>
    </row>
    <row r="2925" ht="15.75" customHeight="1">
      <c r="A2925" s="1"/>
      <c r="B2925" s="1"/>
      <c r="C2925" s="1"/>
      <c r="D2925" s="1"/>
      <c r="E2925" s="1"/>
      <c r="F2925" s="1"/>
      <c r="G2925" s="1"/>
      <c r="H2925" s="1"/>
      <c r="I2925" s="1"/>
      <c r="J2925" s="1"/>
    </row>
    <row r="2926" ht="15.75" customHeight="1">
      <c r="A2926" s="1"/>
      <c r="B2926" s="1"/>
      <c r="C2926" s="1"/>
      <c r="D2926" s="1"/>
      <c r="E2926" s="1"/>
      <c r="F2926" s="1"/>
      <c r="G2926" s="1"/>
      <c r="H2926" s="1"/>
      <c r="I2926" s="1"/>
      <c r="J2926" s="1"/>
    </row>
    <row r="2927" ht="15.75" customHeight="1">
      <c r="A2927" s="1"/>
      <c r="B2927" s="1"/>
      <c r="C2927" s="1"/>
      <c r="D2927" s="1"/>
      <c r="E2927" s="1"/>
      <c r="F2927" s="1"/>
      <c r="G2927" s="1"/>
      <c r="H2927" s="1"/>
      <c r="I2927" s="1"/>
      <c r="J2927" s="1"/>
    </row>
    <row r="2928" ht="15.75" customHeight="1">
      <c r="A2928" s="1"/>
      <c r="B2928" s="1"/>
      <c r="C2928" s="1"/>
      <c r="D2928" s="1"/>
      <c r="E2928" s="1"/>
      <c r="F2928" s="1"/>
      <c r="G2928" s="1"/>
      <c r="H2928" s="1"/>
      <c r="I2928" s="1"/>
      <c r="J2928" s="1"/>
    </row>
    <row r="2929" ht="15.75" customHeight="1">
      <c r="A2929" s="1"/>
      <c r="B2929" s="1"/>
      <c r="C2929" s="1"/>
      <c r="D2929" s="1"/>
      <c r="E2929" s="1"/>
      <c r="F2929" s="1"/>
      <c r="G2929" s="1"/>
      <c r="H2929" s="1"/>
      <c r="I2929" s="1"/>
      <c r="J2929" s="1"/>
    </row>
    <row r="2930" ht="15.75" customHeight="1">
      <c r="A2930" s="1"/>
      <c r="B2930" s="1"/>
      <c r="C2930" s="1"/>
      <c r="D2930" s="1"/>
      <c r="E2930" s="1"/>
      <c r="F2930" s="1"/>
      <c r="G2930" s="1"/>
      <c r="H2930" s="1"/>
      <c r="I2930" s="1"/>
      <c r="J2930" s="1"/>
    </row>
    <row r="2931" ht="15.75" customHeight="1">
      <c r="A2931" s="1"/>
      <c r="B2931" s="1"/>
      <c r="C2931" s="1"/>
      <c r="D2931" s="1"/>
      <c r="E2931" s="1"/>
      <c r="F2931" s="1"/>
      <c r="G2931" s="1"/>
      <c r="H2931" s="1"/>
      <c r="I2931" s="1"/>
      <c r="J2931" s="1"/>
    </row>
    <row r="2932" ht="15.75" customHeight="1">
      <c r="A2932" s="1"/>
      <c r="B2932" s="1"/>
      <c r="C2932" s="1"/>
      <c r="D2932" s="1"/>
      <c r="E2932" s="1"/>
      <c r="F2932" s="1"/>
      <c r="G2932" s="1"/>
      <c r="H2932" s="1"/>
      <c r="I2932" s="1"/>
      <c r="J2932" s="1"/>
    </row>
    <row r="2933" ht="15.75" customHeight="1">
      <c r="A2933" s="1"/>
      <c r="B2933" s="1"/>
      <c r="C2933" s="1"/>
      <c r="D2933" s="1"/>
      <c r="E2933" s="1"/>
      <c r="F2933" s="1"/>
      <c r="G2933" s="1"/>
      <c r="H2933" s="1"/>
      <c r="I2933" s="1"/>
      <c r="J2933" s="1"/>
    </row>
    <row r="2934" ht="15.75" customHeight="1">
      <c r="A2934" s="1"/>
      <c r="B2934" s="1"/>
      <c r="C2934" s="1"/>
      <c r="D2934" s="1"/>
      <c r="E2934" s="1"/>
      <c r="F2934" s="1"/>
      <c r="G2934" s="1"/>
      <c r="H2934" s="1"/>
      <c r="I2934" s="1"/>
      <c r="J2934" s="1"/>
    </row>
    <row r="2935" ht="15.75" customHeight="1">
      <c r="A2935" s="1"/>
      <c r="B2935" s="1"/>
      <c r="C2935" s="1"/>
      <c r="D2935" s="1"/>
      <c r="E2935" s="1"/>
      <c r="F2935" s="1"/>
      <c r="G2935" s="1"/>
      <c r="H2935" s="1"/>
      <c r="I2935" s="1"/>
      <c r="J2935" s="1"/>
    </row>
    <row r="2936" ht="15.75" customHeight="1">
      <c r="A2936" s="1"/>
      <c r="B2936" s="1"/>
      <c r="C2936" s="1"/>
      <c r="D2936" s="1"/>
      <c r="E2936" s="1"/>
      <c r="F2936" s="1"/>
      <c r="G2936" s="1"/>
      <c r="H2936" s="1"/>
      <c r="I2936" s="1"/>
      <c r="J2936" s="1"/>
    </row>
    <row r="2937" ht="15.75" customHeight="1">
      <c r="A2937" s="1"/>
      <c r="B2937" s="1"/>
      <c r="C2937" s="1"/>
      <c r="D2937" s="1"/>
      <c r="E2937" s="1"/>
      <c r="F2937" s="1"/>
      <c r="G2937" s="1"/>
      <c r="H2937" s="1"/>
      <c r="I2937" s="1"/>
      <c r="J2937" s="1"/>
    </row>
    <row r="2938" ht="15.75" customHeight="1">
      <c r="A2938" s="1"/>
      <c r="B2938" s="1"/>
      <c r="C2938" s="1"/>
      <c r="D2938" s="1"/>
      <c r="E2938" s="1"/>
      <c r="F2938" s="1"/>
      <c r="G2938" s="1"/>
      <c r="H2938" s="1"/>
      <c r="I2938" s="1"/>
      <c r="J2938" s="1"/>
    </row>
    <row r="2939" ht="15.75" customHeight="1">
      <c r="A2939" s="1"/>
      <c r="B2939" s="1"/>
      <c r="C2939" s="1"/>
      <c r="D2939" s="1"/>
      <c r="E2939" s="1"/>
      <c r="F2939" s="1"/>
      <c r="G2939" s="1"/>
      <c r="H2939" s="1"/>
      <c r="I2939" s="1"/>
      <c r="J2939" s="1"/>
    </row>
    <row r="2940" ht="15.75" customHeight="1">
      <c r="A2940" s="1"/>
      <c r="B2940" s="1"/>
      <c r="C2940" s="1"/>
      <c r="D2940" s="1"/>
      <c r="E2940" s="1"/>
      <c r="F2940" s="1"/>
      <c r="G2940" s="1"/>
      <c r="H2940" s="1"/>
      <c r="I2940" s="1"/>
      <c r="J2940" s="1"/>
    </row>
    <row r="2941" ht="15.75" customHeight="1">
      <c r="A2941" s="1"/>
      <c r="B2941" s="1"/>
      <c r="C2941" s="1"/>
      <c r="D2941" s="1"/>
      <c r="E2941" s="1"/>
      <c r="F2941" s="1"/>
      <c r="G2941" s="1"/>
      <c r="H2941" s="1"/>
      <c r="I2941" s="1"/>
      <c r="J2941" s="1"/>
    </row>
    <row r="2942" ht="15.75" customHeight="1">
      <c r="A2942" s="1"/>
      <c r="B2942" s="1"/>
      <c r="C2942" s="1"/>
      <c r="D2942" s="1"/>
      <c r="E2942" s="1"/>
      <c r="F2942" s="1"/>
      <c r="G2942" s="1"/>
      <c r="H2942" s="1"/>
      <c r="I2942" s="1"/>
      <c r="J2942" s="1"/>
    </row>
    <row r="2943" ht="15.75" customHeight="1">
      <c r="A2943" s="1"/>
      <c r="B2943" s="1"/>
      <c r="C2943" s="1"/>
      <c r="D2943" s="1"/>
      <c r="E2943" s="1"/>
      <c r="F2943" s="1"/>
      <c r="G2943" s="1"/>
      <c r="H2943" s="1"/>
      <c r="I2943" s="1"/>
      <c r="J2943" s="1"/>
    </row>
    <row r="2944" ht="15.75" customHeight="1">
      <c r="A2944" s="1"/>
      <c r="B2944" s="1"/>
      <c r="C2944" s="1"/>
      <c r="D2944" s="1"/>
      <c r="E2944" s="1"/>
      <c r="F2944" s="1"/>
      <c r="G2944" s="1"/>
      <c r="H2944" s="1"/>
      <c r="I2944" s="1"/>
      <c r="J2944" s="1"/>
    </row>
    <row r="2945" ht="15.75" customHeight="1">
      <c r="A2945" s="1"/>
      <c r="B2945" s="1"/>
      <c r="C2945" s="1"/>
      <c r="D2945" s="1"/>
      <c r="E2945" s="1"/>
      <c r="F2945" s="1"/>
      <c r="G2945" s="1"/>
      <c r="H2945" s="1"/>
      <c r="I2945" s="1"/>
      <c r="J2945" s="1"/>
    </row>
    <row r="2946" ht="15.75" customHeight="1">
      <c r="A2946" s="1"/>
      <c r="B2946" s="1"/>
      <c r="C2946" s="1"/>
      <c r="D2946" s="1"/>
      <c r="E2946" s="1"/>
      <c r="F2946" s="1"/>
      <c r="G2946" s="1"/>
      <c r="H2946" s="1"/>
      <c r="I2946" s="1"/>
      <c r="J2946" s="1"/>
    </row>
    <row r="2947" ht="15.75" customHeight="1">
      <c r="A2947" s="1"/>
      <c r="B2947" s="1"/>
      <c r="C2947" s="1"/>
      <c r="D2947" s="1"/>
      <c r="E2947" s="1"/>
      <c r="F2947" s="1"/>
      <c r="G2947" s="1"/>
      <c r="H2947" s="1"/>
      <c r="I2947" s="1"/>
      <c r="J2947" s="1"/>
    </row>
    <row r="2948" ht="15.75" customHeight="1">
      <c r="A2948" s="1"/>
      <c r="B2948" s="1"/>
      <c r="C2948" s="1"/>
      <c r="D2948" s="1"/>
      <c r="E2948" s="1"/>
      <c r="F2948" s="1"/>
      <c r="G2948" s="1"/>
      <c r="H2948" s="1"/>
      <c r="I2948" s="1"/>
      <c r="J2948" s="1"/>
    </row>
    <row r="2949" ht="15.75" customHeight="1">
      <c r="A2949" s="1"/>
      <c r="B2949" s="1"/>
      <c r="C2949" s="1"/>
      <c r="D2949" s="1"/>
      <c r="E2949" s="1"/>
      <c r="F2949" s="1"/>
      <c r="G2949" s="1"/>
      <c r="H2949" s="1"/>
      <c r="I2949" s="1"/>
      <c r="J2949" s="1"/>
    </row>
    <row r="2950" ht="15.75" customHeight="1">
      <c r="A2950" s="1"/>
      <c r="B2950" s="1"/>
      <c r="C2950" s="1"/>
      <c r="D2950" s="1"/>
      <c r="E2950" s="1"/>
      <c r="F2950" s="1"/>
      <c r="G2950" s="1"/>
      <c r="H2950" s="1"/>
      <c r="I2950" s="1"/>
      <c r="J2950" s="1"/>
    </row>
    <row r="2951" ht="15.75" customHeight="1">
      <c r="A2951" s="1"/>
      <c r="B2951" s="1"/>
      <c r="C2951" s="1"/>
      <c r="D2951" s="1"/>
      <c r="E2951" s="1"/>
      <c r="F2951" s="1"/>
      <c r="G2951" s="1"/>
      <c r="H2951" s="1"/>
      <c r="I2951" s="1"/>
      <c r="J2951" s="1"/>
    </row>
    <row r="2952" ht="15.75" customHeight="1">
      <c r="A2952" s="1"/>
      <c r="B2952" s="1"/>
      <c r="C2952" s="1"/>
      <c r="D2952" s="1"/>
      <c r="E2952" s="1"/>
      <c r="F2952" s="1"/>
      <c r="G2952" s="1"/>
      <c r="H2952" s="1"/>
      <c r="I2952" s="1"/>
      <c r="J2952" s="1"/>
    </row>
    <row r="2953" ht="15.75" customHeight="1">
      <c r="A2953" s="1"/>
      <c r="B2953" s="1"/>
      <c r="C2953" s="1"/>
      <c r="D2953" s="1"/>
      <c r="E2953" s="1"/>
      <c r="F2953" s="1"/>
      <c r="G2953" s="1"/>
      <c r="H2953" s="1"/>
      <c r="I2953" s="1"/>
      <c r="J2953" s="1"/>
    </row>
    <row r="2954" ht="15.75" customHeight="1">
      <c r="A2954" s="1"/>
      <c r="B2954" s="1"/>
      <c r="C2954" s="1"/>
      <c r="D2954" s="1"/>
      <c r="E2954" s="1"/>
      <c r="F2954" s="1"/>
      <c r="G2954" s="1"/>
      <c r="H2954" s="1"/>
      <c r="I2954" s="1"/>
      <c r="J2954" s="1"/>
    </row>
    <row r="2955" ht="15.75" customHeight="1">
      <c r="A2955" s="1"/>
      <c r="B2955" s="1"/>
      <c r="C2955" s="1"/>
      <c r="D2955" s="1"/>
      <c r="E2955" s="1"/>
      <c r="F2955" s="1"/>
      <c r="G2955" s="1"/>
      <c r="H2955" s="1"/>
      <c r="I2955" s="1"/>
      <c r="J2955" s="1"/>
    </row>
    <row r="2956" ht="15.75" customHeight="1">
      <c r="A2956" s="1"/>
      <c r="B2956" s="1"/>
      <c r="C2956" s="1"/>
      <c r="D2956" s="1"/>
      <c r="E2956" s="1"/>
      <c r="F2956" s="1"/>
      <c r="G2956" s="1"/>
      <c r="H2956" s="1"/>
      <c r="I2956" s="1"/>
      <c r="J2956" s="1"/>
    </row>
    <row r="2957" ht="15.75" customHeight="1">
      <c r="A2957" s="1"/>
      <c r="B2957" s="1"/>
      <c r="C2957" s="1"/>
      <c r="D2957" s="1"/>
      <c r="E2957" s="1"/>
      <c r="F2957" s="1"/>
      <c r="G2957" s="1"/>
      <c r="H2957" s="1"/>
      <c r="I2957" s="1"/>
      <c r="J2957" s="1"/>
    </row>
    <row r="2958" ht="15.75" customHeight="1">
      <c r="A2958" s="1"/>
      <c r="B2958" s="1"/>
      <c r="C2958" s="1"/>
      <c r="D2958" s="1"/>
      <c r="E2958" s="1"/>
      <c r="F2958" s="1"/>
      <c r="G2958" s="1"/>
      <c r="H2958" s="1"/>
      <c r="I2958" s="1"/>
      <c r="J2958" s="1"/>
    </row>
    <row r="2959" ht="15.75" customHeight="1">
      <c r="A2959" s="1"/>
      <c r="B2959" s="1"/>
      <c r="C2959" s="1"/>
      <c r="D2959" s="1"/>
      <c r="E2959" s="1"/>
      <c r="F2959" s="1"/>
      <c r="G2959" s="1"/>
      <c r="H2959" s="1"/>
      <c r="I2959" s="1"/>
      <c r="J2959" s="1"/>
    </row>
    <row r="2960" ht="15.75" customHeight="1">
      <c r="A2960" s="1"/>
      <c r="B2960" s="1"/>
      <c r="C2960" s="1"/>
      <c r="D2960" s="1"/>
      <c r="E2960" s="1"/>
      <c r="F2960" s="1"/>
      <c r="G2960" s="1"/>
      <c r="H2960" s="1"/>
      <c r="I2960" s="1"/>
      <c r="J2960" s="1"/>
    </row>
    <row r="2961" ht="15.75" customHeight="1">
      <c r="A2961" s="1"/>
      <c r="B2961" s="1"/>
      <c r="C2961" s="1"/>
      <c r="D2961" s="1"/>
      <c r="E2961" s="1"/>
      <c r="F2961" s="1"/>
      <c r="G2961" s="1"/>
      <c r="H2961" s="1"/>
      <c r="I2961" s="1"/>
      <c r="J2961" s="1"/>
    </row>
    <row r="2962" ht="15.75" customHeight="1">
      <c r="A2962" s="1"/>
      <c r="B2962" s="1"/>
      <c r="C2962" s="1"/>
      <c r="D2962" s="1"/>
      <c r="E2962" s="1"/>
      <c r="F2962" s="1"/>
      <c r="G2962" s="1"/>
      <c r="H2962" s="1"/>
      <c r="I2962" s="1"/>
      <c r="J2962" s="1"/>
    </row>
    <row r="2963" ht="15.75" customHeight="1">
      <c r="A2963" s="1"/>
      <c r="B2963" s="1"/>
      <c r="C2963" s="1"/>
      <c r="D2963" s="1"/>
      <c r="E2963" s="1"/>
      <c r="F2963" s="1"/>
      <c r="G2963" s="1"/>
      <c r="H2963" s="1"/>
      <c r="I2963" s="1"/>
      <c r="J2963" s="1"/>
    </row>
    <row r="2964" ht="15.75" customHeight="1">
      <c r="A2964" s="1"/>
      <c r="B2964" s="1"/>
      <c r="C2964" s="1"/>
      <c r="D2964" s="1"/>
      <c r="E2964" s="1"/>
      <c r="F2964" s="1"/>
      <c r="G2964" s="1"/>
      <c r="H2964" s="1"/>
      <c r="I2964" s="1"/>
      <c r="J2964" s="1"/>
    </row>
    <row r="2965" ht="15.75" customHeight="1">
      <c r="A2965" s="1"/>
      <c r="B2965" s="1"/>
      <c r="C2965" s="1"/>
      <c r="D2965" s="1"/>
      <c r="E2965" s="1"/>
      <c r="F2965" s="1"/>
      <c r="G2965" s="1"/>
      <c r="H2965" s="1"/>
      <c r="I2965" s="1"/>
      <c r="J2965" s="1"/>
    </row>
    <row r="2966" ht="15.75" customHeight="1">
      <c r="A2966" s="1"/>
      <c r="B2966" s="1"/>
      <c r="C2966" s="1"/>
      <c r="D2966" s="1"/>
      <c r="E2966" s="1"/>
      <c r="F2966" s="1"/>
      <c r="G2966" s="1"/>
      <c r="H2966" s="1"/>
      <c r="I2966" s="1"/>
      <c r="J2966" s="1"/>
    </row>
    <row r="2967" ht="15.75" customHeight="1">
      <c r="A2967" s="1"/>
      <c r="B2967" s="1"/>
      <c r="C2967" s="1"/>
      <c r="D2967" s="1"/>
      <c r="E2967" s="1"/>
      <c r="F2967" s="1"/>
      <c r="G2967" s="1"/>
      <c r="H2967" s="1"/>
      <c r="I2967" s="1"/>
      <c r="J2967" s="1"/>
    </row>
    <row r="2968" ht="15.75" customHeight="1">
      <c r="A2968" s="1"/>
      <c r="B2968" s="1"/>
      <c r="C2968" s="1"/>
      <c r="D2968" s="1"/>
      <c r="E2968" s="1"/>
      <c r="F2968" s="1"/>
      <c r="G2968" s="1"/>
      <c r="H2968" s="1"/>
      <c r="I2968" s="1"/>
      <c r="J2968" s="1"/>
    </row>
    <row r="2969" ht="15.75" customHeight="1">
      <c r="A2969" s="1"/>
      <c r="B2969" s="1"/>
      <c r="C2969" s="1"/>
      <c r="D2969" s="1"/>
      <c r="E2969" s="1"/>
      <c r="F2969" s="1"/>
      <c r="G2969" s="1"/>
      <c r="H2969" s="1"/>
      <c r="I2969" s="1"/>
      <c r="J2969" s="1"/>
    </row>
    <row r="2970" ht="15.75" customHeight="1">
      <c r="A2970" s="1"/>
      <c r="B2970" s="1"/>
      <c r="C2970" s="1"/>
      <c r="D2970" s="1"/>
      <c r="E2970" s="1"/>
      <c r="F2970" s="1"/>
      <c r="G2970" s="1"/>
      <c r="H2970" s="1"/>
      <c r="I2970" s="1"/>
      <c r="J2970" s="1"/>
    </row>
    <row r="2971" ht="15.75" customHeight="1">
      <c r="A2971" s="1"/>
      <c r="B2971" s="1"/>
      <c r="C2971" s="1"/>
      <c r="D2971" s="1"/>
      <c r="E2971" s="1"/>
      <c r="F2971" s="1"/>
      <c r="G2971" s="1"/>
      <c r="H2971" s="1"/>
      <c r="I2971" s="1"/>
      <c r="J2971" s="1"/>
    </row>
    <row r="2972" ht="15.75" customHeight="1">
      <c r="A2972" s="1"/>
      <c r="B2972" s="1"/>
      <c r="C2972" s="1"/>
      <c r="D2972" s="1"/>
      <c r="E2972" s="1"/>
      <c r="F2972" s="1"/>
      <c r="G2972" s="1"/>
      <c r="H2972" s="1"/>
      <c r="I2972" s="1"/>
      <c r="J2972" s="1"/>
    </row>
    <row r="2973" ht="15.75" customHeight="1">
      <c r="A2973" s="1"/>
      <c r="B2973" s="1"/>
      <c r="C2973" s="1"/>
      <c r="D2973" s="1"/>
      <c r="E2973" s="1"/>
      <c r="F2973" s="1"/>
      <c r="G2973" s="1"/>
      <c r="H2973" s="1"/>
      <c r="I2973" s="1"/>
      <c r="J2973" s="1"/>
    </row>
    <row r="2974" ht="15.75" customHeight="1">
      <c r="A2974" s="1"/>
      <c r="B2974" s="1"/>
      <c r="C2974" s="1"/>
      <c r="D2974" s="1"/>
      <c r="E2974" s="1"/>
      <c r="F2974" s="1"/>
      <c r="G2974" s="1"/>
      <c r="H2974" s="1"/>
      <c r="I2974" s="1"/>
      <c r="J2974" s="1"/>
    </row>
    <row r="2975" ht="15.75" customHeight="1">
      <c r="A2975" s="1"/>
      <c r="B2975" s="1"/>
      <c r="C2975" s="1"/>
      <c r="D2975" s="1"/>
      <c r="E2975" s="1"/>
      <c r="F2975" s="1"/>
      <c r="G2975" s="1"/>
      <c r="H2975" s="1"/>
      <c r="I2975" s="1"/>
      <c r="J2975" s="1"/>
    </row>
    <row r="2976" ht="15.75" customHeight="1">
      <c r="A2976" s="1"/>
      <c r="B2976" s="1"/>
      <c r="C2976" s="1"/>
      <c r="D2976" s="1"/>
      <c r="E2976" s="1"/>
      <c r="F2976" s="1"/>
      <c r="G2976" s="1"/>
      <c r="H2976" s="1"/>
      <c r="I2976" s="1"/>
      <c r="J2976" s="1"/>
    </row>
    <row r="2977" ht="15.75" customHeight="1">
      <c r="A2977" s="1"/>
      <c r="B2977" s="1"/>
      <c r="C2977" s="1"/>
      <c r="D2977" s="1"/>
      <c r="E2977" s="1"/>
      <c r="F2977" s="1"/>
      <c r="G2977" s="1"/>
      <c r="H2977" s="1"/>
      <c r="I2977" s="1"/>
      <c r="J2977" s="1"/>
    </row>
    <row r="2978" ht="15.75" customHeight="1">
      <c r="A2978" s="1"/>
      <c r="B2978" s="1"/>
      <c r="C2978" s="1"/>
      <c r="D2978" s="1"/>
      <c r="E2978" s="1"/>
      <c r="F2978" s="1"/>
      <c r="G2978" s="1"/>
      <c r="H2978" s="1"/>
      <c r="I2978" s="1"/>
      <c r="J2978" s="1"/>
    </row>
    <row r="2979" ht="15.75" customHeight="1">
      <c r="A2979" s="1"/>
      <c r="B2979" s="1"/>
      <c r="C2979" s="1"/>
      <c r="D2979" s="1"/>
      <c r="E2979" s="1"/>
      <c r="F2979" s="1"/>
      <c r="G2979" s="1"/>
      <c r="H2979" s="1"/>
      <c r="I2979" s="1"/>
      <c r="J2979" s="1"/>
    </row>
    <row r="2980" ht="15.75" customHeight="1">
      <c r="A2980" s="1"/>
      <c r="B2980" s="1"/>
      <c r="C2980" s="1"/>
      <c r="D2980" s="1"/>
      <c r="E2980" s="1"/>
      <c r="F2980" s="1"/>
      <c r="G2980" s="1"/>
      <c r="H2980" s="1"/>
      <c r="I2980" s="1"/>
      <c r="J2980" s="1"/>
    </row>
    <row r="2981" ht="15.75" customHeight="1">
      <c r="A2981" s="1"/>
      <c r="B2981" s="1"/>
      <c r="C2981" s="1"/>
      <c r="D2981" s="1"/>
      <c r="E2981" s="1"/>
      <c r="F2981" s="1"/>
      <c r="G2981" s="1"/>
      <c r="H2981" s="1"/>
      <c r="I2981" s="1"/>
      <c r="J2981" s="1"/>
    </row>
    <row r="2982" ht="15.75" customHeight="1">
      <c r="A2982" s="1"/>
      <c r="B2982" s="1"/>
      <c r="C2982" s="1"/>
      <c r="D2982" s="1"/>
      <c r="E2982" s="1"/>
      <c r="F2982" s="1"/>
      <c r="G2982" s="1"/>
      <c r="H2982" s="1"/>
      <c r="I2982" s="1"/>
      <c r="J2982" s="1"/>
    </row>
    <row r="2983" ht="15.75" customHeight="1">
      <c r="A2983" s="1"/>
      <c r="B2983" s="1"/>
      <c r="C2983" s="1"/>
      <c r="D2983" s="1"/>
      <c r="E2983" s="1"/>
      <c r="F2983" s="1"/>
      <c r="G2983" s="1"/>
      <c r="H2983" s="1"/>
      <c r="I2983" s="1"/>
      <c r="J2983" s="1"/>
    </row>
    <row r="2984" ht="15.75" customHeight="1">
      <c r="A2984" s="1"/>
      <c r="B2984" s="1"/>
      <c r="C2984" s="1"/>
      <c r="D2984" s="1"/>
      <c r="E2984" s="1"/>
      <c r="F2984" s="1"/>
      <c r="G2984" s="1"/>
      <c r="H2984" s="1"/>
      <c r="I2984" s="1"/>
      <c r="J2984" s="1"/>
    </row>
    <row r="2985" ht="15.75" customHeight="1">
      <c r="A2985" s="1"/>
      <c r="B2985" s="1"/>
      <c r="C2985" s="1"/>
      <c r="D2985" s="1"/>
      <c r="E2985" s="1"/>
      <c r="F2985" s="1"/>
      <c r="G2985" s="1"/>
      <c r="H2985" s="1"/>
      <c r="I2985" s="1"/>
      <c r="J2985" s="1"/>
    </row>
    <row r="2986" ht="15.75" customHeight="1">
      <c r="A2986" s="1"/>
      <c r="B2986" s="1"/>
      <c r="C2986" s="1"/>
      <c r="D2986" s="1"/>
      <c r="E2986" s="1"/>
      <c r="F2986" s="1"/>
      <c r="G2986" s="1"/>
      <c r="H2986" s="1"/>
      <c r="I2986" s="1"/>
      <c r="J2986" s="1"/>
    </row>
    <row r="2987" ht="15.75" customHeight="1">
      <c r="A2987" s="1"/>
      <c r="B2987" s="1"/>
      <c r="C2987" s="1"/>
      <c r="D2987" s="1"/>
      <c r="E2987" s="1"/>
      <c r="F2987" s="1"/>
      <c r="G2987" s="1"/>
      <c r="H2987" s="1"/>
      <c r="I2987" s="1"/>
      <c r="J2987" s="1"/>
    </row>
    <row r="2988" ht="15.75" customHeight="1">
      <c r="A2988" s="1"/>
      <c r="B2988" s="1"/>
      <c r="C2988" s="1"/>
      <c r="D2988" s="1"/>
      <c r="E2988" s="1"/>
      <c r="F2988" s="1"/>
      <c r="G2988" s="1"/>
      <c r="H2988" s="1"/>
      <c r="I2988" s="1"/>
      <c r="J2988" s="1"/>
    </row>
    <row r="2989" ht="15.75" customHeight="1">
      <c r="A2989" s="1"/>
      <c r="B2989" s="1"/>
      <c r="C2989" s="1"/>
      <c r="D2989" s="1"/>
      <c r="E2989" s="1"/>
      <c r="F2989" s="1"/>
      <c r="G2989" s="1"/>
      <c r="H2989" s="1"/>
      <c r="I2989" s="1"/>
      <c r="J2989" s="1"/>
    </row>
    <row r="2990" ht="15.75" customHeight="1">
      <c r="A2990" s="1"/>
      <c r="B2990" s="1"/>
      <c r="C2990" s="1"/>
      <c r="D2990" s="1"/>
      <c r="E2990" s="1"/>
      <c r="F2990" s="1"/>
      <c r="G2990" s="1"/>
      <c r="H2990" s="1"/>
      <c r="I2990" s="1"/>
      <c r="J2990" s="1"/>
    </row>
    <row r="2991" ht="15.75" customHeight="1">
      <c r="A2991" s="1"/>
      <c r="B2991" s="1"/>
      <c r="C2991" s="1"/>
      <c r="D2991" s="1"/>
      <c r="E2991" s="1"/>
      <c r="F2991" s="1"/>
      <c r="G2991" s="1"/>
      <c r="H2991" s="1"/>
      <c r="I2991" s="1"/>
      <c r="J2991" s="1"/>
    </row>
    <row r="2992" ht="15.75" customHeight="1">
      <c r="A2992" s="1"/>
      <c r="B2992" s="1"/>
      <c r="C2992" s="1"/>
      <c r="D2992" s="1"/>
      <c r="E2992" s="1"/>
      <c r="F2992" s="1"/>
      <c r="G2992" s="1"/>
      <c r="H2992" s="1"/>
      <c r="I2992" s="1"/>
      <c r="J2992" s="1"/>
    </row>
    <row r="2993" ht="15.75" customHeight="1">
      <c r="A2993" s="1"/>
      <c r="B2993" s="1"/>
      <c r="C2993" s="1"/>
      <c r="D2993" s="1"/>
      <c r="E2993" s="1"/>
      <c r="F2993" s="1"/>
      <c r="G2993" s="1"/>
      <c r="H2993" s="1"/>
      <c r="I2993" s="1"/>
      <c r="J2993" s="1"/>
    </row>
    <row r="2994" ht="15.75" customHeight="1">
      <c r="A2994" s="1"/>
      <c r="B2994" s="1"/>
      <c r="C2994" s="1"/>
      <c r="D2994" s="1"/>
      <c r="E2994" s="1"/>
      <c r="F2994" s="1"/>
      <c r="G2994" s="1"/>
      <c r="H2994" s="1"/>
      <c r="I2994" s="1"/>
      <c r="J2994" s="1"/>
    </row>
    <row r="2995" ht="15.75" customHeight="1">
      <c r="A2995" s="1"/>
      <c r="B2995" s="1"/>
      <c r="C2995" s="1"/>
      <c r="D2995" s="1"/>
      <c r="E2995" s="1"/>
      <c r="F2995" s="1"/>
      <c r="G2995" s="1"/>
      <c r="H2995" s="1"/>
      <c r="I2995" s="1"/>
      <c r="J2995" s="1"/>
    </row>
    <row r="2996" ht="15.75" customHeight="1">
      <c r="A2996" s="1"/>
      <c r="B2996" s="1"/>
      <c r="C2996" s="1"/>
      <c r="D2996" s="1"/>
      <c r="E2996" s="1"/>
      <c r="F2996" s="1"/>
      <c r="G2996" s="1"/>
      <c r="H2996" s="1"/>
      <c r="I2996" s="1"/>
      <c r="J2996" s="1"/>
    </row>
    <row r="2997" ht="15.75" customHeight="1">
      <c r="A2997" s="1"/>
      <c r="B2997" s="1"/>
      <c r="C2997" s="1"/>
      <c r="D2997" s="1"/>
      <c r="E2997" s="1"/>
      <c r="F2997" s="1"/>
      <c r="G2997" s="1"/>
      <c r="H2997" s="1"/>
      <c r="I2997" s="1"/>
      <c r="J2997" s="1"/>
    </row>
    <row r="2998" ht="15.75" customHeight="1">
      <c r="A2998" s="1"/>
      <c r="B2998" s="1"/>
      <c r="C2998" s="1"/>
      <c r="D2998" s="1"/>
      <c r="E2998" s="1"/>
      <c r="F2998" s="1"/>
      <c r="G2998" s="1"/>
      <c r="H2998" s="1"/>
      <c r="I2998" s="1"/>
      <c r="J2998" s="1"/>
    </row>
    <row r="2999" ht="15.75" customHeight="1">
      <c r="A2999" s="1"/>
      <c r="B2999" s="1"/>
      <c r="C2999" s="1"/>
      <c r="D2999" s="1"/>
      <c r="E2999" s="1"/>
      <c r="F2999" s="1"/>
      <c r="G2999" s="1"/>
      <c r="H2999" s="1"/>
      <c r="I2999" s="1"/>
      <c r="J2999" s="1"/>
    </row>
    <row r="3000" ht="15.75" customHeight="1">
      <c r="A3000" s="1"/>
      <c r="B3000" s="1"/>
      <c r="C3000" s="1"/>
      <c r="D3000" s="1"/>
      <c r="E3000" s="1"/>
      <c r="F3000" s="1"/>
      <c r="G3000" s="1"/>
      <c r="H3000" s="1"/>
      <c r="I3000" s="1"/>
      <c r="J3000" s="1"/>
    </row>
    <row r="3001" ht="15.75" customHeight="1">
      <c r="A3001" s="1"/>
      <c r="B3001" s="1"/>
      <c r="C3001" s="1"/>
      <c r="D3001" s="1"/>
      <c r="E3001" s="1"/>
      <c r="F3001" s="1"/>
      <c r="G3001" s="1"/>
      <c r="H3001" s="1"/>
      <c r="I3001" s="1"/>
      <c r="J3001" s="1"/>
    </row>
    <row r="3002" ht="15.75" customHeight="1">
      <c r="A3002" s="1"/>
      <c r="B3002" s="1"/>
      <c r="C3002" s="1"/>
      <c r="D3002" s="1"/>
      <c r="E3002" s="1"/>
      <c r="F3002" s="1"/>
      <c r="G3002" s="1"/>
      <c r="H3002" s="1"/>
      <c r="I3002" s="1"/>
      <c r="J3002" s="1"/>
    </row>
    <row r="3003" ht="15.75" customHeight="1">
      <c r="A3003" s="1"/>
      <c r="B3003" s="1"/>
      <c r="C3003" s="1"/>
      <c r="D3003" s="1"/>
      <c r="E3003" s="1"/>
      <c r="F3003" s="1"/>
      <c r="G3003" s="1"/>
      <c r="H3003" s="1"/>
      <c r="I3003" s="1"/>
      <c r="J3003" s="1"/>
    </row>
    <row r="3004" ht="15.75" customHeight="1">
      <c r="A3004" s="1"/>
      <c r="B3004" s="1"/>
      <c r="C3004" s="1"/>
      <c r="D3004" s="1"/>
      <c r="E3004" s="1"/>
      <c r="F3004" s="1"/>
      <c r="G3004" s="1"/>
      <c r="H3004" s="1"/>
      <c r="I3004" s="1"/>
      <c r="J3004" s="1"/>
    </row>
    <row r="3005" ht="15.75" customHeight="1">
      <c r="A3005" s="1"/>
      <c r="B3005" s="1"/>
      <c r="C3005" s="1"/>
      <c r="D3005" s="1"/>
      <c r="E3005" s="1"/>
      <c r="F3005" s="1"/>
      <c r="G3005" s="1"/>
      <c r="H3005" s="1"/>
      <c r="I3005" s="1"/>
      <c r="J3005" s="1"/>
    </row>
    <row r="3006" ht="15.75" customHeight="1">
      <c r="A3006" s="1"/>
      <c r="B3006" s="1"/>
      <c r="C3006" s="1"/>
      <c r="D3006" s="1"/>
      <c r="E3006" s="1"/>
      <c r="F3006" s="1"/>
      <c r="G3006" s="1"/>
      <c r="H3006" s="1"/>
      <c r="I3006" s="1"/>
      <c r="J3006" s="1"/>
    </row>
    <row r="3007" ht="15.75" customHeight="1">
      <c r="A3007" s="1"/>
      <c r="B3007" s="1"/>
      <c r="C3007" s="1"/>
      <c r="D3007" s="1"/>
      <c r="E3007" s="1"/>
      <c r="F3007" s="1"/>
      <c r="G3007" s="1"/>
      <c r="H3007" s="1"/>
      <c r="I3007" s="1"/>
      <c r="J3007" s="1"/>
    </row>
    <row r="3008" ht="15.75" customHeight="1">
      <c r="A3008" s="1"/>
      <c r="B3008" s="1"/>
      <c r="C3008" s="1"/>
      <c r="D3008" s="1"/>
      <c r="E3008" s="1"/>
      <c r="F3008" s="1"/>
      <c r="G3008" s="1"/>
      <c r="H3008" s="1"/>
      <c r="I3008" s="1"/>
      <c r="J3008" s="1"/>
    </row>
    <row r="3009" ht="15.75" customHeight="1">
      <c r="A3009" s="1"/>
      <c r="B3009" s="1"/>
      <c r="C3009" s="1"/>
      <c r="D3009" s="1"/>
      <c r="E3009" s="1"/>
      <c r="F3009" s="1"/>
      <c r="G3009" s="1"/>
      <c r="H3009" s="1"/>
      <c r="I3009" s="1"/>
      <c r="J3009" s="1"/>
    </row>
    <row r="3010" ht="15.75" customHeight="1">
      <c r="A3010" s="1"/>
      <c r="B3010" s="1"/>
      <c r="C3010" s="1"/>
      <c r="D3010" s="1"/>
      <c r="E3010" s="1"/>
      <c r="F3010" s="1"/>
      <c r="G3010" s="1"/>
      <c r="H3010" s="1"/>
      <c r="I3010" s="1"/>
      <c r="J3010" s="1"/>
    </row>
    <row r="3011" ht="15.75" customHeight="1">
      <c r="A3011" s="1"/>
      <c r="B3011" s="1"/>
      <c r="C3011" s="1"/>
      <c r="D3011" s="1"/>
      <c r="E3011" s="1"/>
      <c r="F3011" s="1"/>
      <c r="G3011" s="1"/>
      <c r="H3011" s="1"/>
      <c r="I3011" s="1"/>
      <c r="J3011" s="1"/>
    </row>
    <row r="3012" ht="15.75" customHeight="1">
      <c r="A3012" s="1"/>
      <c r="B3012" s="1"/>
      <c r="C3012" s="1"/>
      <c r="D3012" s="1"/>
      <c r="E3012" s="1"/>
      <c r="F3012" s="1"/>
      <c r="G3012" s="1"/>
      <c r="H3012" s="1"/>
      <c r="I3012" s="1"/>
      <c r="J3012" s="1"/>
    </row>
    <row r="3013" ht="15.75" customHeight="1">
      <c r="A3013" s="1"/>
      <c r="B3013" s="1"/>
      <c r="C3013" s="1"/>
      <c r="D3013" s="1"/>
      <c r="E3013" s="1"/>
      <c r="F3013" s="1"/>
      <c r="G3013" s="1"/>
      <c r="H3013" s="1"/>
      <c r="I3013" s="1"/>
      <c r="J3013" s="1"/>
    </row>
    <row r="3014" ht="15.75" customHeight="1">
      <c r="A3014" s="1"/>
      <c r="B3014" s="1"/>
      <c r="C3014" s="1"/>
      <c r="D3014" s="1"/>
      <c r="E3014" s="1"/>
      <c r="F3014" s="1"/>
      <c r="G3014" s="1"/>
      <c r="H3014" s="1"/>
      <c r="I3014" s="1"/>
      <c r="J3014" s="1"/>
    </row>
    <row r="3015" ht="15.75" customHeight="1">
      <c r="A3015" s="1"/>
      <c r="B3015" s="1"/>
      <c r="C3015" s="1"/>
      <c r="D3015" s="1"/>
      <c r="E3015" s="1"/>
      <c r="F3015" s="1"/>
      <c r="G3015" s="1"/>
      <c r="H3015" s="1"/>
      <c r="I3015" s="1"/>
      <c r="J3015" s="1"/>
    </row>
    <row r="3016" ht="15.75" customHeight="1">
      <c r="A3016" s="1"/>
      <c r="B3016" s="1"/>
      <c r="C3016" s="1"/>
      <c r="D3016" s="1"/>
      <c r="E3016" s="1"/>
      <c r="F3016" s="1"/>
      <c r="G3016" s="1"/>
      <c r="H3016" s="1"/>
      <c r="I3016" s="1"/>
      <c r="J3016" s="1"/>
    </row>
    <row r="3017" ht="15.75" customHeight="1">
      <c r="A3017" s="1"/>
      <c r="B3017" s="1"/>
      <c r="C3017" s="1"/>
      <c r="D3017" s="1"/>
      <c r="E3017" s="1"/>
      <c r="F3017" s="1"/>
      <c r="G3017" s="1"/>
      <c r="H3017" s="1"/>
      <c r="I3017" s="1"/>
      <c r="J3017" s="1"/>
    </row>
    <row r="3018" ht="15.75" customHeight="1">
      <c r="A3018" s="1"/>
      <c r="B3018" s="1"/>
      <c r="C3018" s="1"/>
      <c r="D3018" s="1"/>
      <c r="E3018" s="1"/>
      <c r="F3018" s="1"/>
      <c r="G3018" s="1"/>
      <c r="H3018" s="1"/>
      <c r="I3018" s="1"/>
      <c r="J3018" s="1"/>
    </row>
    <row r="3019" ht="15.75" customHeight="1">
      <c r="A3019" s="1"/>
      <c r="B3019" s="1"/>
      <c r="C3019" s="1"/>
      <c r="D3019" s="1"/>
      <c r="E3019" s="1"/>
      <c r="F3019" s="1"/>
      <c r="G3019" s="1"/>
      <c r="H3019" s="1"/>
      <c r="I3019" s="1"/>
      <c r="J3019" s="1"/>
    </row>
    <row r="3020" ht="15.75" customHeight="1">
      <c r="A3020" s="1"/>
      <c r="B3020" s="1"/>
      <c r="C3020" s="1"/>
      <c r="D3020" s="1"/>
      <c r="E3020" s="1"/>
      <c r="F3020" s="1"/>
      <c r="G3020" s="1"/>
      <c r="H3020" s="1"/>
      <c r="I3020" s="1"/>
      <c r="J3020" s="1"/>
    </row>
    <row r="3021" ht="15.75" customHeight="1">
      <c r="A3021" s="1"/>
      <c r="B3021" s="1"/>
      <c r="C3021" s="1"/>
      <c r="D3021" s="1"/>
      <c r="E3021" s="1"/>
      <c r="F3021" s="1"/>
      <c r="G3021" s="1"/>
      <c r="H3021" s="1"/>
      <c r="I3021" s="1"/>
      <c r="J3021" s="1"/>
    </row>
    <row r="3022" ht="15.75" customHeight="1">
      <c r="A3022" s="1"/>
      <c r="B3022" s="1"/>
      <c r="C3022" s="1"/>
      <c r="D3022" s="1"/>
      <c r="E3022" s="1"/>
      <c r="F3022" s="1"/>
      <c r="G3022" s="1"/>
      <c r="H3022" s="1"/>
      <c r="I3022" s="1"/>
      <c r="J3022" s="1"/>
    </row>
    <row r="3023" ht="15.75" customHeight="1">
      <c r="A3023" s="1"/>
      <c r="B3023" s="1"/>
      <c r="C3023" s="1"/>
      <c r="D3023" s="1"/>
      <c r="E3023" s="1"/>
      <c r="F3023" s="1"/>
      <c r="G3023" s="1"/>
      <c r="H3023" s="1"/>
      <c r="I3023" s="1"/>
      <c r="J3023" s="1"/>
    </row>
    <row r="3024" ht="15.75" customHeight="1">
      <c r="A3024" s="1"/>
      <c r="B3024" s="1"/>
      <c r="C3024" s="1"/>
      <c r="D3024" s="1"/>
      <c r="E3024" s="1"/>
      <c r="F3024" s="1"/>
      <c r="G3024" s="1"/>
      <c r="H3024" s="1"/>
      <c r="I3024" s="1"/>
      <c r="J3024" s="1"/>
    </row>
    <row r="3025" ht="15.75" customHeight="1">
      <c r="A3025" s="1"/>
      <c r="B3025" s="1"/>
      <c r="C3025" s="1"/>
      <c r="D3025" s="1"/>
      <c r="E3025" s="1"/>
      <c r="F3025" s="1"/>
      <c r="G3025" s="1"/>
      <c r="H3025" s="1"/>
      <c r="I3025" s="1"/>
      <c r="J3025" s="1"/>
    </row>
    <row r="3026" ht="15.75" customHeight="1">
      <c r="A3026" s="1"/>
      <c r="B3026" s="1"/>
      <c r="C3026" s="1"/>
      <c r="D3026" s="1"/>
      <c r="E3026" s="1"/>
      <c r="F3026" s="1"/>
      <c r="G3026" s="1"/>
      <c r="H3026" s="1"/>
      <c r="I3026" s="1"/>
      <c r="J3026" s="1"/>
    </row>
    <row r="3027" ht="15.75" customHeight="1">
      <c r="A3027" s="1"/>
      <c r="B3027" s="1"/>
      <c r="C3027" s="1"/>
      <c r="D3027" s="1"/>
      <c r="E3027" s="1"/>
      <c r="F3027" s="1"/>
      <c r="G3027" s="1"/>
      <c r="H3027" s="1"/>
      <c r="I3027" s="1"/>
      <c r="J3027" s="1"/>
    </row>
    <row r="3028" ht="15.75" customHeight="1">
      <c r="A3028" s="1"/>
      <c r="B3028" s="1"/>
      <c r="C3028" s="1"/>
      <c r="D3028" s="1"/>
      <c r="E3028" s="1"/>
      <c r="F3028" s="1"/>
      <c r="G3028" s="1"/>
      <c r="H3028" s="1"/>
      <c r="I3028" s="1"/>
      <c r="J3028" s="1"/>
    </row>
    <row r="3029" ht="15.75" customHeight="1">
      <c r="A3029" s="1"/>
      <c r="B3029" s="1"/>
      <c r="C3029" s="1"/>
      <c r="D3029" s="1"/>
      <c r="E3029" s="1"/>
      <c r="F3029" s="1"/>
      <c r="G3029" s="1"/>
      <c r="H3029" s="1"/>
      <c r="I3029" s="1"/>
      <c r="J3029" s="1"/>
    </row>
    <row r="3030" ht="15.75" customHeight="1">
      <c r="A3030" s="1"/>
      <c r="B3030" s="1"/>
      <c r="C3030" s="1"/>
      <c r="D3030" s="1"/>
      <c r="E3030" s="1"/>
      <c r="F3030" s="1"/>
      <c r="G3030" s="1"/>
      <c r="H3030" s="1"/>
      <c r="I3030" s="1"/>
      <c r="J3030" s="1"/>
    </row>
    <row r="3031" ht="15.75" customHeight="1">
      <c r="A3031" s="1"/>
      <c r="B3031" s="1"/>
      <c r="C3031" s="1"/>
      <c r="D3031" s="1"/>
      <c r="E3031" s="1"/>
      <c r="F3031" s="1"/>
      <c r="G3031" s="1"/>
      <c r="H3031" s="1"/>
      <c r="I3031" s="1"/>
      <c r="J3031" s="1"/>
    </row>
    <row r="3032" ht="15.75" customHeight="1">
      <c r="A3032" s="1"/>
      <c r="B3032" s="1"/>
      <c r="C3032" s="1"/>
      <c r="D3032" s="1"/>
      <c r="E3032" s="1"/>
      <c r="F3032" s="1"/>
      <c r="G3032" s="1"/>
      <c r="H3032" s="1"/>
      <c r="I3032" s="1"/>
      <c r="J3032" s="1"/>
    </row>
    <row r="3033" ht="15.75" customHeight="1">
      <c r="A3033" s="1"/>
      <c r="B3033" s="1"/>
      <c r="C3033" s="1"/>
      <c r="D3033" s="1"/>
      <c r="E3033" s="1"/>
      <c r="F3033" s="1"/>
      <c r="G3033" s="1"/>
      <c r="H3033" s="1"/>
      <c r="I3033" s="1"/>
      <c r="J3033" s="1"/>
    </row>
    <row r="3034" ht="15.75" customHeight="1">
      <c r="A3034" s="1"/>
      <c r="B3034" s="1"/>
      <c r="C3034" s="1"/>
      <c r="D3034" s="1"/>
      <c r="E3034" s="1"/>
      <c r="F3034" s="1"/>
      <c r="G3034" s="1"/>
      <c r="H3034" s="1"/>
      <c r="I3034" s="1"/>
      <c r="J3034" s="1"/>
    </row>
    <row r="3035" ht="15.75" customHeight="1">
      <c r="A3035" s="1"/>
      <c r="B3035" s="1"/>
      <c r="C3035" s="1"/>
      <c r="D3035" s="1"/>
      <c r="E3035" s="1"/>
      <c r="F3035" s="1"/>
      <c r="G3035" s="1"/>
      <c r="H3035" s="1"/>
      <c r="I3035" s="1"/>
      <c r="J3035" s="1"/>
    </row>
    <row r="3036" ht="15.75" customHeight="1">
      <c r="A3036" s="1"/>
      <c r="B3036" s="1"/>
      <c r="C3036" s="1"/>
      <c r="D3036" s="1"/>
      <c r="E3036" s="1"/>
      <c r="F3036" s="1"/>
      <c r="G3036" s="1"/>
      <c r="H3036" s="1"/>
      <c r="I3036" s="1"/>
      <c r="J3036" s="1"/>
    </row>
    <row r="3037" ht="15.75" customHeight="1">
      <c r="A3037" s="1"/>
      <c r="B3037" s="1"/>
      <c r="C3037" s="1"/>
      <c r="D3037" s="1"/>
      <c r="E3037" s="1"/>
      <c r="F3037" s="1"/>
      <c r="G3037" s="1"/>
      <c r="H3037" s="1"/>
      <c r="I3037" s="1"/>
      <c r="J3037" s="1"/>
    </row>
    <row r="3038" ht="15.75" customHeight="1">
      <c r="A3038" s="1"/>
      <c r="B3038" s="1"/>
      <c r="C3038" s="1"/>
      <c r="D3038" s="1"/>
      <c r="E3038" s="1"/>
      <c r="F3038" s="1"/>
      <c r="G3038" s="1"/>
      <c r="H3038" s="1"/>
      <c r="I3038" s="1"/>
      <c r="J3038" s="1"/>
    </row>
    <row r="3039" ht="15.75" customHeight="1">
      <c r="A3039" s="1"/>
      <c r="B3039" s="1"/>
      <c r="C3039" s="1"/>
      <c r="D3039" s="1"/>
      <c r="E3039" s="1"/>
      <c r="F3039" s="1"/>
      <c r="G3039" s="1"/>
      <c r="H3039" s="1"/>
      <c r="I3039" s="1"/>
      <c r="J3039" s="1"/>
    </row>
    <row r="3040" ht="15.75" customHeight="1">
      <c r="A3040" s="1"/>
      <c r="B3040" s="1"/>
      <c r="C3040" s="1"/>
      <c r="D3040" s="1"/>
      <c r="E3040" s="1"/>
      <c r="F3040" s="1"/>
      <c r="G3040" s="1"/>
      <c r="H3040" s="1"/>
      <c r="I3040" s="1"/>
      <c r="J3040" s="1"/>
    </row>
    <row r="3041" ht="15.75" customHeight="1">
      <c r="A3041" s="1"/>
      <c r="B3041" s="1"/>
      <c r="C3041" s="1"/>
      <c r="D3041" s="1"/>
      <c r="E3041" s="1"/>
      <c r="F3041" s="1"/>
      <c r="G3041" s="1"/>
      <c r="H3041" s="1"/>
      <c r="I3041" s="1"/>
      <c r="J3041" s="1"/>
    </row>
    <row r="3042" ht="15.75" customHeight="1">
      <c r="A3042" s="1"/>
      <c r="B3042" s="1"/>
      <c r="C3042" s="1"/>
      <c r="D3042" s="1"/>
      <c r="E3042" s="1"/>
      <c r="F3042" s="1"/>
      <c r="G3042" s="1"/>
      <c r="H3042" s="1"/>
      <c r="I3042" s="1"/>
      <c r="J3042" s="1"/>
    </row>
    <row r="3043" ht="15.75" customHeight="1">
      <c r="A3043" s="1"/>
      <c r="B3043" s="1"/>
      <c r="C3043" s="1"/>
      <c r="D3043" s="1"/>
      <c r="E3043" s="1"/>
      <c r="F3043" s="1"/>
      <c r="G3043" s="1"/>
      <c r="H3043" s="1"/>
      <c r="I3043" s="1"/>
      <c r="J3043" s="1"/>
    </row>
    <row r="3044" ht="15.75" customHeight="1">
      <c r="A3044" s="1"/>
      <c r="B3044" s="1"/>
      <c r="C3044" s="1"/>
      <c r="D3044" s="1"/>
      <c r="E3044" s="1"/>
      <c r="F3044" s="1"/>
      <c r="G3044" s="1"/>
      <c r="H3044" s="1"/>
      <c r="I3044" s="1"/>
      <c r="J3044" s="1"/>
    </row>
    <row r="3045" ht="15.75" customHeight="1">
      <c r="A3045" s="1"/>
      <c r="B3045" s="1"/>
      <c r="C3045" s="1"/>
      <c r="D3045" s="1"/>
      <c r="E3045" s="1"/>
      <c r="F3045" s="1"/>
      <c r="G3045" s="1"/>
      <c r="H3045" s="1"/>
      <c r="I3045" s="1"/>
      <c r="J3045" s="1"/>
    </row>
    <row r="3046" ht="15.75" customHeight="1">
      <c r="A3046" s="1"/>
      <c r="B3046" s="1"/>
      <c r="C3046" s="1"/>
      <c r="D3046" s="1"/>
      <c r="E3046" s="1"/>
      <c r="F3046" s="1"/>
      <c r="G3046" s="1"/>
      <c r="H3046" s="1"/>
      <c r="I3046" s="1"/>
      <c r="J3046" s="1"/>
    </row>
    <row r="3047" ht="15.75" customHeight="1">
      <c r="A3047" s="1"/>
      <c r="B3047" s="1"/>
      <c r="C3047" s="1"/>
      <c r="D3047" s="1"/>
      <c r="E3047" s="1"/>
      <c r="F3047" s="1"/>
      <c r="G3047" s="1"/>
      <c r="H3047" s="1"/>
      <c r="I3047" s="1"/>
      <c r="J3047" s="1"/>
    </row>
    <row r="3048" ht="15.75" customHeight="1">
      <c r="A3048" s="1"/>
      <c r="B3048" s="1"/>
      <c r="C3048" s="1"/>
      <c r="D3048" s="1"/>
      <c r="E3048" s="1"/>
      <c r="F3048" s="1"/>
      <c r="G3048" s="1"/>
      <c r="H3048" s="1"/>
      <c r="I3048" s="1"/>
      <c r="J3048" s="1"/>
    </row>
    <row r="3049" ht="15.75" customHeight="1">
      <c r="A3049" s="1"/>
      <c r="B3049" s="1"/>
      <c r="C3049" s="1"/>
      <c r="D3049" s="1"/>
      <c r="E3049" s="1"/>
      <c r="F3049" s="1"/>
      <c r="G3049" s="1"/>
      <c r="H3049" s="1"/>
      <c r="I3049" s="1"/>
      <c r="J3049" s="1"/>
    </row>
    <row r="3050" ht="15.75" customHeight="1">
      <c r="A3050" s="1"/>
      <c r="B3050" s="1"/>
      <c r="C3050" s="1"/>
      <c r="D3050" s="1"/>
      <c r="E3050" s="1"/>
      <c r="F3050" s="1"/>
      <c r="G3050" s="1"/>
      <c r="H3050" s="1"/>
      <c r="I3050" s="1"/>
      <c r="J3050" s="1"/>
    </row>
    <row r="3051" ht="15.75" customHeight="1">
      <c r="A3051" s="1"/>
      <c r="B3051" s="1"/>
      <c r="C3051" s="1"/>
      <c r="D3051" s="1"/>
      <c r="E3051" s="1"/>
      <c r="F3051" s="1"/>
      <c r="G3051" s="1"/>
      <c r="H3051" s="1"/>
      <c r="I3051" s="1"/>
      <c r="J3051" s="1"/>
    </row>
    <row r="3052" ht="15.75" customHeight="1">
      <c r="A3052" s="1"/>
      <c r="B3052" s="1"/>
      <c r="C3052" s="1"/>
      <c r="D3052" s="1"/>
      <c r="E3052" s="1"/>
      <c r="F3052" s="1"/>
      <c r="G3052" s="1"/>
      <c r="H3052" s="1"/>
      <c r="I3052" s="1"/>
      <c r="J3052" s="1"/>
    </row>
    <row r="3053" ht="15.75" customHeight="1">
      <c r="A3053" s="1"/>
      <c r="B3053" s="1"/>
      <c r="C3053" s="1"/>
      <c r="D3053" s="1"/>
      <c r="E3053" s="1"/>
      <c r="F3053" s="1"/>
      <c r="G3053" s="1"/>
      <c r="H3053" s="1"/>
      <c r="I3053" s="1"/>
      <c r="J3053" s="1"/>
    </row>
    <row r="3054" ht="15.75" customHeight="1">
      <c r="A3054" s="1"/>
      <c r="B3054" s="1"/>
      <c r="C3054" s="1"/>
      <c r="D3054" s="1"/>
      <c r="E3054" s="1"/>
      <c r="F3054" s="1"/>
      <c r="G3054" s="1"/>
      <c r="H3054" s="1"/>
      <c r="I3054" s="1"/>
      <c r="J3054" s="1"/>
    </row>
    <row r="3055" ht="15.75" customHeight="1">
      <c r="A3055" s="1"/>
      <c r="B3055" s="1"/>
      <c r="C3055" s="1"/>
      <c r="D3055" s="1"/>
      <c r="E3055" s="1"/>
      <c r="F3055" s="1"/>
      <c r="G3055" s="1"/>
      <c r="H3055" s="1"/>
      <c r="I3055" s="1"/>
      <c r="J3055" s="1"/>
    </row>
    <row r="3056" ht="15.75" customHeight="1">
      <c r="A3056" s="1"/>
      <c r="B3056" s="1"/>
      <c r="C3056" s="1"/>
      <c r="D3056" s="1"/>
      <c r="E3056" s="1"/>
      <c r="F3056" s="1"/>
      <c r="G3056" s="1"/>
      <c r="H3056" s="1"/>
      <c r="I3056" s="1"/>
      <c r="J3056" s="1"/>
    </row>
    <row r="3057" ht="15.75" customHeight="1">
      <c r="A3057" s="1"/>
      <c r="B3057" s="1"/>
      <c r="C3057" s="1"/>
      <c r="D3057" s="1"/>
      <c r="E3057" s="1"/>
      <c r="F3057" s="1"/>
      <c r="G3057" s="1"/>
      <c r="H3057" s="1"/>
      <c r="I3057" s="1"/>
      <c r="J3057" s="1"/>
    </row>
    <row r="3058" ht="15.75" customHeight="1">
      <c r="A3058" s="1"/>
      <c r="B3058" s="1"/>
      <c r="C3058" s="1"/>
      <c r="D3058" s="1"/>
      <c r="E3058" s="1"/>
      <c r="F3058" s="1"/>
      <c r="G3058" s="1"/>
      <c r="H3058" s="1"/>
      <c r="I3058" s="1"/>
      <c r="J3058" s="1"/>
    </row>
    <row r="3059" ht="15.75" customHeight="1">
      <c r="A3059" s="1"/>
      <c r="B3059" s="1"/>
      <c r="C3059" s="1"/>
      <c r="D3059" s="1"/>
      <c r="E3059" s="1"/>
      <c r="F3059" s="1"/>
      <c r="G3059" s="1"/>
      <c r="H3059" s="1"/>
      <c r="I3059" s="1"/>
      <c r="J3059" s="1"/>
    </row>
    <row r="3060" ht="15.75" customHeight="1">
      <c r="A3060" s="1"/>
      <c r="B3060" s="1"/>
      <c r="C3060" s="1"/>
      <c r="D3060" s="1"/>
      <c r="E3060" s="1"/>
      <c r="F3060" s="1"/>
      <c r="G3060" s="1"/>
      <c r="H3060" s="1"/>
      <c r="I3060" s="1"/>
      <c r="J3060" s="1"/>
    </row>
    <row r="3061" ht="15.75" customHeight="1">
      <c r="A3061" s="1"/>
      <c r="B3061" s="1"/>
      <c r="C3061" s="1"/>
      <c r="D3061" s="1"/>
      <c r="E3061" s="1"/>
      <c r="F3061" s="1"/>
      <c r="G3061" s="1"/>
      <c r="H3061" s="1"/>
      <c r="I3061" s="1"/>
      <c r="J3061" s="1"/>
    </row>
    <row r="3062" ht="15.75" customHeight="1">
      <c r="A3062" s="1"/>
      <c r="B3062" s="1"/>
      <c r="C3062" s="1"/>
      <c r="D3062" s="1"/>
      <c r="E3062" s="1"/>
      <c r="F3062" s="1"/>
      <c r="G3062" s="1"/>
      <c r="H3062" s="1"/>
      <c r="I3062" s="1"/>
      <c r="J3062" s="1"/>
    </row>
    <row r="3063" ht="15.75" customHeight="1">
      <c r="A3063" s="1"/>
      <c r="B3063" s="1"/>
      <c r="C3063" s="1"/>
      <c r="D3063" s="1"/>
      <c r="E3063" s="1"/>
      <c r="F3063" s="1"/>
      <c r="G3063" s="1"/>
      <c r="H3063" s="1"/>
      <c r="I3063" s="1"/>
      <c r="J3063" s="1"/>
    </row>
    <row r="3064" ht="15.75" customHeight="1">
      <c r="A3064" s="1"/>
      <c r="B3064" s="1"/>
      <c r="C3064" s="1"/>
      <c r="D3064" s="1"/>
      <c r="E3064" s="1"/>
      <c r="F3064" s="1"/>
      <c r="G3064" s="1"/>
      <c r="H3064" s="1"/>
      <c r="I3064" s="1"/>
      <c r="J3064" s="1"/>
    </row>
    <row r="3065" ht="15.75" customHeight="1">
      <c r="A3065" s="1"/>
      <c r="B3065" s="1"/>
      <c r="C3065" s="1"/>
      <c r="D3065" s="1"/>
      <c r="E3065" s="1"/>
      <c r="F3065" s="1"/>
      <c r="G3065" s="1"/>
      <c r="H3065" s="1"/>
      <c r="I3065" s="1"/>
      <c r="J3065" s="1"/>
    </row>
    <row r="3066" ht="15.75" customHeight="1">
      <c r="A3066" s="1"/>
      <c r="B3066" s="1"/>
      <c r="C3066" s="1"/>
      <c r="D3066" s="1"/>
      <c r="E3066" s="1"/>
      <c r="F3066" s="1"/>
      <c r="G3066" s="1"/>
      <c r="H3066" s="1"/>
      <c r="I3066" s="1"/>
      <c r="J3066" s="1"/>
    </row>
    <row r="3067" ht="15.75" customHeight="1">
      <c r="A3067" s="1"/>
      <c r="B3067" s="1"/>
      <c r="C3067" s="1"/>
      <c r="D3067" s="1"/>
      <c r="E3067" s="1"/>
      <c r="F3067" s="1"/>
      <c r="G3067" s="1"/>
      <c r="H3067" s="1"/>
      <c r="I3067" s="1"/>
      <c r="J3067" s="1"/>
    </row>
    <row r="3068" ht="15.75" customHeight="1">
      <c r="A3068" s="1"/>
      <c r="B3068" s="1"/>
      <c r="C3068" s="1"/>
      <c r="D3068" s="1"/>
      <c r="E3068" s="1"/>
      <c r="F3068" s="1"/>
      <c r="G3068" s="1"/>
      <c r="H3068" s="1"/>
      <c r="I3068" s="1"/>
      <c r="J3068" s="1"/>
    </row>
    <row r="3069" ht="15.75" customHeight="1">
      <c r="A3069" s="1"/>
      <c r="B3069" s="1"/>
      <c r="C3069" s="1"/>
      <c r="D3069" s="1"/>
      <c r="E3069" s="1"/>
      <c r="F3069" s="1"/>
      <c r="G3069" s="1"/>
      <c r="H3069" s="1"/>
      <c r="I3069" s="1"/>
      <c r="J3069" s="1"/>
    </row>
    <row r="3070" ht="15.75" customHeight="1">
      <c r="A3070" s="1"/>
      <c r="B3070" s="1"/>
      <c r="C3070" s="1"/>
      <c r="D3070" s="1"/>
      <c r="E3070" s="1"/>
      <c r="F3070" s="1"/>
      <c r="G3070" s="1"/>
      <c r="H3070" s="1"/>
      <c r="I3070" s="1"/>
      <c r="J3070" s="1"/>
    </row>
    <row r="3071" ht="15.75" customHeight="1">
      <c r="A3071" s="1"/>
      <c r="B3071" s="1"/>
      <c r="C3071" s="1"/>
      <c r="D3071" s="1"/>
      <c r="E3071" s="1"/>
      <c r="F3071" s="1"/>
      <c r="G3071" s="1"/>
      <c r="H3071" s="1"/>
      <c r="I3071" s="1"/>
      <c r="J3071" s="1"/>
    </row>
    <row r="3072" ht="15.75" customHeight="1">
      <c r="A3072" s="1"/>
      <c r="B3072" s="1"/>
      <c r="C3072" s="1"/>
      <c r="D3072" s="1"/>
      <c r="E3072" s="1"/>
      <c r="F3072" s="1"/>
      <c r="G3072" s="1"/>
      <c r="H3072" s="1"/>
      <c r="I3072" s="1"/>
      <c r="J3072" s="1"/>
    </row>
    <row r="3073" ht="15.75" customHeight="1">
      <c r="A3073" s="1"/>
      <c r="B3073" s="1"/>
      <c r="C3073" s="1"/>
      <c r="D3073" s="1"/>
      <c r="E3073" s="1"/>
      <c r="F3073" s="1"/>
      <c r="G3073" s="1"/>
      <c r="H3073" s="1"/>
      <c r="I3073" s="1"/>
      <c r="J3073" s="1"/>
    </row>
    <row r="3074" ht="15.75" customHeight="1">
      <c r="A3074" s="1"/>
      <c r="B3074" s="1"/>
      <c r="C3074" s="1"/>
      <c r="D3074" s="1"/>
      <c r="E3074" s="1"/>
      <c r="F3074" s="1"/>
      <c r="G3074" s="1"/>
      <c r="H3074" s="1"/>
      <c r="I3074" s="1"/>
      <c r="J3074" s="1"/>
    </row>
    <row r="3075" ht="15.75" customHeight="1">
      <c r="A3075" s="1"/>
      <c r="B3075" s="1"/>
      <c r="C3075" s="1"/>
      <c r="D3075" s="1"/>
      <c r="E3075" s="1"/>
      <c r="F3075" s="1"/>
      <c r="G3075" s="1"/>
      <c r="H3075" s="1"/>
      <c r="I3075" s="1"/>
      <c r="J3075" s="1"/>
    </row>
    <row r="3076" ht="15.75" customHeight="1">
      <c r="A3076" s="1"/>
      <c r="B3076" s="1"/>
      <c r="C3076" s="1"/>
      <c r="D3076" s="1"/>
      <c r="E3076" s="1"/>
      <c r="F3076" s="1"/>
      <c r="G3076" s="1"/>
      <c r="H3076" s="1"/>
      <c r="I3076" s="1"/>
      <c r="J3076" s="1"/>
    </row>
    <row r="3077" ht="15.75" customHeight="1">
      <c r="A3077" s="1"/>
      <c r="B3077" s="1"/>
      <c r="C3077" s="1"/>
      <c r="D3077" s="1"/>
      <c r="E3077" s="1"/>
      <c r="F3077" s="1"/>
      <c r="G3077" s="1"/>
      <c r="H3077" s="1"/>
      <c r="I3077" s="1"/>
      <c r="J3077" s="1"/>
    </row>
    <row r="3078" ht="15.75" customHeight="1">
      <c r="A3078" s="1"/>
      <c r="B3078" s="1"/>
      <c r="C3078" s="1"/>
      <c r="D3078" s="1"/>
      <c r="E3078" s="1"/>
      <c r="F3078" s="1"/>
      <c r="G3078" s="1"/>
      <c r="H3078" s="1"/>
      <c r="I3078" s="1"/>
      <c r="J3078" s="1"/>
    </row>
    <row r="3079" ht="15.75" customHeight="1">
      <c r="A3079" s="1"/>
      <c r="B3079" s="1"/>
      <c r="C3079" s="1"/>
      <c r="D3079" s="1"/>
      <c r="E3079" s="1"/>
      <c r="F3079" s="1"/>
      <c r="G3079" s="1"/>
      <c r="H3079" s="1"/>
      <c r="I3079" s="1"/>
      <c r="J3079" s="1"/>
    </row>
    <row r="3080" ht="15.75" customHeight="1">
      <c r="A3080" s="1"/>
      <c r="B3080" s="1"/>
      <c r="C3080" s="1"/>
      <c r="D3080" s="1"/>
      <c r="E3080" s="1"/>
      <c r="F3080" s="1"/>
      <c r="G3080" s="1"/>
      <c r="H3080" s="1"/>
      <c r="I3080" s="1"/>
      <c r="J3080" s="1"/>
    </row>
    <row r="3081" ht="15.75" customHeight="1">
      <c r="A3081" s="1"/>
      <c r="B3081" s="1"/>
      <c r="C3081" s="1"/>
      <c r="D3081" s="1"/>
      <c r="E3081" s="1"/>
      <c r="F3081" s="1"/>
      <c r="G3081" s="1"/>
      <c r="H3081" s="1"/>
      <c r="I3081" s="1"/>
      <c r="J3081" s="1"/>
    </row>
    <row r="3082" ht="15.75" customHeight="1">
      <c r="A3082" s="1"/>
      <c r="B3082" s="1"/>
      <c r="C3082" s="1"/>
      <c r="D3082" s="1"/>
      <c r="E3082" s="1"/>
      <c r="F3082" s="1"/>
      <c r="G3082" s="1"/>
      <c r="H3082" s="1"/>
      <c r="I3082" s="1"/>
      <c r="J3082" s="1"/>
    </row>
    <row r="3083" ht="15.75" customHeight="1">
      <c r="A3083" s="1"/>
      <c r="B3083" s="1"/>
      <c r="C3083" s="1"/>
      <c r="D3083" s="1"/>
      <c r="E3083" s="1"/>
      <c r="F3083" s="1"/>
      <c r="G3083" s="1"/>
      <c r="H3083" s="1"/>
      <c r="I3083" s="1"/>
      <c r="J3083" s="1"/>
    </row>
    <row r="3084" ht="15.75" customHeight="1">
      <c r="A3084" s="1"/>
      <c r="B3084" s="1"/>
      <c r="C3084" s="1"/>
      <c r="D3084" s="1"/>
      <c r="E3084" s="1"/>
      <c r="F3084" s="1"/>
      <c r="G3084" s="1"/>
      <c r="H3084" s="1"/>
      <c r="I3084" s="1"/>
      <c r="J3084" s="1"/>
    </row>
    <row r="3085" ht="15.75" customHeight="1">
      <c r="A3085" s="1"/>
      <c r="B3085" s="1"/>
      <c r="C3085" s="1"/>
      <c r="D3085" s="1"/>
      <c r="E3085" s="1"/>
      <c r="F3085" s="1"/>
      <c r="G3085" s="1"/>
      <c r="H3085" s="1"/>
      <c r="I3085" s="1"/>
      <c r="J3085" s="1"/>
    </row>
    <row r="3086" ht="15.75" customHeight="1">
      <c r="A3086" s="1"/>
      <c r="B3086" s="1"/>
      <c r="C3086" s="1"/>
      <c r="D3086" s="1"/>
      <c r="E3086" s="1"/>
      <c r="F3086" s="1"/>
      <c r="G3086" s="1"/>
      <c r="H3086" s="1"/>
      <c r="I3086" s="1"/>
      <c r="J3086" s="1"/>
    </row>
    <row r="3087" ht="15.75" customHeight="1">
      <c r="A3087" s="1"/>
      <c r="B3087" s="1"/>
      <c r="C3087" s="1"/>
      <c r="D3087" s="1"/>
      <c r="E3087" s="1"/>
      <c r="F3087" s="1"/>
      <c r="G3087" s="1"/>
      <c r="H3087" s="1"/>
      <c r="I3087" s="1"/>
      <c r="J3087" s="1"/>
    </row>
    <row r="3088" ht="15.75" customHeight="1">
      <c r="A3088" s="1"/>
      <c r="B3088" s="1"/>
      <c r="C3088" s="1"/>
      <c r="D3088" s="1"/>
      <c r="E3088" s="1"/>
      <c r="F3088" s="1"/>
      <c r="G3088" s="1"/>
      <c r="H3088" s="1"/>
      <c r="I3088" s="1"/>
      <c r="J3088" s="1"/>
    </row>
    <row r="3089" ht="15.75" customHeight="1">
      <c r="A3089" s="1"/>
      <c r="B3089" s="1"/>
      <c r="C3089" s="1"/>
      <c r="D3089" s="1"/>
      <c r="E3089" s="1"/>
      <c r="F3089" s="1"/>
      <c r="G3089" s="1"/>
      <c r="H3089" s="1"/>
      <c r="I3089" s="1"/>
      <c r="J3089" s="1"/>
    </row>
    <row r="3090" ht="15.75" customHeight="1">
      <c r="A3090" s="1"/>
      <c r="B3090" s="1"/>
      <c r="C3090" s="1"/>
      <c r="D3090" s="1"/>
      <c r="E3090" s="1"/>
      <c r="F3090" s="1"/>
      <c r="G3090" s="1"/>
      <c r="H3090" s="1"/>
      <c r="I3090" s="1"/>
      <c r="J3090" s="1"/>
    </row>
    <row r="3091" ht="15.75" customHeight="1">
      <c r="A3091" s="1"/>
      <c r="B3091" s="1"/>
      <c r="C3091" s="1"/>
      <c r="D3091" s="1"/>
      <c r="E3091" s="1"/>
      <c r="F3091" s="1"/>
      <c r="G3091" s="1"/>
      <c r="H3091" s="1"/>
      <c r="I3091" s="1"/>
      <c r="J3091" s="1"/>
    </row>
    <row r="3092" ht="15.75" customHeight="1">
      <c r="A3092" s="1"/>
      <c r="B3092" s="1"/>
      <c r="C3092" s="1"/>
      <c r="D3092" s="1"/>
      <c r="E3092" s="1"/>
      <c r="F3092" s="1"/>
      <c r="G3092" s="1"/>
      <c r="H3092" s="1"/>
      <c r="I3092" s="1"/>
      <c r="J3092" s="1"/>
    </row>
    <row r="3093" ht="15.75" customHeight="1">
      <c r="A3093" s="1"/>
      <c r="B3093" s="1"/>
      <c r="C3093" s="1"/>
      <c r="D3093" s="1"/>
      <c r="E3093" s="1"/>
      <c r="F3093" s="1"/>
      <c r="G3093" s="1"/>
      <c r="H3093" s="1"/>
      <c r="I3093" s="1"/>
      <c r="J3093" s="1"/>
    </row>
    <row r="3094" ht="15.75" customHeight="1">
      <c r="A3094" s="1"/>
      <c r="B3094" s="1"/>
      <c r="C3094" s="1"/>
      <c r="D3094" s="1"/>
      <c r="E3094" s="1"/>
      <c r="F3094" s="1"/>
      <c r="G3094" s="1"/>
      <c r="H3094" s="1"/>
      <c r="I3094" s="1"/>
      <c r="J3094" s="1"/>
    </row>
    <row r="3095" ht="15.75" customHeight="1">
      <c r="A3095" s="1"/>
      <c r="B3095" s="1"/>
      <c r="C3095" s="1"/>
      <c r="D3095" s="1"/>
      <c r="E3095" s="1"/>
      <c r="F3095" s="1"/>
      <c r="G3095" s="1"/>
      <c r="H3095" s="1"/>
      <c r="I3095" s="1"/>
      <c r="J3095" s="1"/>
    </row>
    <row r="3096" ht="15.75" customHeight="1">
      <c r="A3096" s="1"/>
      <c r="B3096" s="1"/>
      <c r="C3096" s="1"/>
      <c r="D3096" s="1"/>
      <c r="E3096" s="1"/>
      <c r="F3096" s="1"/>
      <c r="G3096" s="1"/>
      <c r="H3096" s="1"/>
      <c r="I3096" s="1"/>
      <c r="J3096" s="1"/>
    </row>
    <row r="3097" ht="15.75" customHeight="1">
      <c r="A3097" s="1"/>
      <c r="B3097" s="1"/>
      <c r="C3097" s="1"/>
      <c r="D3097" s="1"/>
      <c r="E3097" s="1"/>
      <c r="F3097" s="1"/>
      <c r="G3097" s="1"/>
      <c r="H3097" s="1"/>
      <c r="I3097" s="1"/>
      <c r="J3097" s="1"/>
    </row>
    <row r="3098" ht="15.75" customHeight="1">
      <c r="A3098" s="1"/>
      <c r="B3098" s="1"/>
      <c r="C3098" s="1"/>
      <c r="D3098" s="1"/>
      <c r="E3098" s="1"/>
      <c r="F3098" s="1"/>
      <c r="G3098" s="1"/>
      <c r="H3098" s="1"/>
      <c r="I3098" s="1"/>
      <c r="J3098" s="1"/>
    </row>
    <row r="3099" ht="15.75" customHeight="1">
      <c r="A3099" s="1"/>
      <c r="B3099" s="1"/>
      <c r="C3099" s="1"/>
      <c r="D3099" s="1"/>
      <c r="E3099" s="1"/>
      <c r="F3099" s="1"/>
      <c r="G3099" s="1"/>
      <c r="H3099" s="1"/>
      <c r="I3099" s="1"/>
      <c r="J3099" s="1"/>
    </row>
    <row r="3100" ht="15.75" customHeight="1">
      <c r="A3100" s="1"/>
      <c r="B3100" s="1"/>
      <c r="C3100" s="1"/>
      <c r="D3100" s="1"/>
      <c r="E3100" s="1"/>
      <c r="F3100" s="1"/>
      <c r="G3100" s="1"/>
      <c r="H3100" s="1"/>
      <c r="I3100" s="1"/>
      <c r="J3100" s="1"/>
    </row>
    <row r="3101" ht="15.75" customHeight="1">
      <c r="A3101" s="1"/>
      <c r="B3101" s="1"/>
      <c r="C3101" s="1"/>
      <c r="D3101" s="1"/>
      <c r="E3101" s="1"/>
      <c r="F3101" s="1"/>
      <c r="G3101" s="1"/>
      <c r="H3101" s="1"/>
      <c r="I3101" s="1"/>
      <c r="J3101" s="1"/>
    </row>
    <row r="3102" ht="15.75" customHeight="1">
      <c r="A3102" s="1"/>
      <c r="B3102" s="1"/>
      <c r="C3102" s="1"/>
      <c r="D3102" s="1"/>
      <c r="E3102" s="1"/>
      <c r="F3102" s="1"/>
      <c r="G3102" s="1"/>
      <c r="H3102" s="1"/>
      <c r="I3102" s="1"/>
      <c r="J3102" s="1"/>
    </row>
    <row r="3103" ht="15.75" customHeight="1">
      <c r="A3103" s="1"/>
      <c r="B3103" s="1"/>
      <c r="C3103" s="1"/>
      <c r="D3103" s="1"/>
      <c r="E3103" s="1"/>
      <c r="F3103" s="1"/>
      <c r="G3103" s="1"/>
      <c r="H3103" s="1"/>
      <c r="I3103" s="1"/>
      <c r="J3103" s="1"/>
    </row>
    <row r="3104" ht="15.75" customHeight="1">
      <c r="A3104" s="1"/>
      <c r="B3104" s="1"/>
      <c r="C3104" s="1"/>
      <c r="D3104" s="1"/>
      <c r="E3104" s="1"/>
      <c r="F3104" s="1"/>
      <c r="G3104" s="1"/>
      <c r="H3104" s="1"/>
      <c r="I3104" s="1"/>
      <c r="J3104" s="1"/>
    </row>
    <row r="3105" ht="15.75" customHeight="1">
      <c r="A3105" s="1"/>
      <c r="B3105" s="1"/>
      <c r="C3105" s="1"/>
      <c r="D3105" s="1"/>
      <c r="E3105" s="1"/>
      <c r="F3105" s="1"/>
      <c r="G3105" s="1"/>
      <c r="H3105" s="1"/>
      <c r="I3105" s="1"/>
      <c r="J3105" s="1"/>
    </row>
    <row r="3106" ht="15.75" customHeight="1">
      <c r="A3106" s="1"/>
      <c r="B3106" s="1"/>
      <c r="C3106" s="1"/>
      <c r="D3106" s="1"/>
      <c r="E3106" s="1"/>
      <c r="F3106" s="1"/>
      <c r="G3106" s="1"/>
      <c r="H3106" s="1"/>
      <c r="I3106" s="1"/>
      <c r="J3106" s="1"/>
    </row>
    <row r="3107" ht="15.75" customHeight="1">
      <c r="A3107" s="1"/>
      <c r="B3107" s="1"/>
      <c r="C3107" s="1"/>
      <c r="D3107" s="1"/>
      <c r="E3107" s="1"/>
      <c r="F3107" s="1"/>
      <c r="G3107" s="1"/>
      <c r="H3107" s="1"/>
      <c r="I3107" s="1"/>
      <c r="J3107" s="1"/>
    </row>
    <row r="3108" ht="15.75" customHeight="1">
      <c r="A3108" s="1"/>
      <c r="B3108" s="1"/>
      <c r="C3108" s="1"/>
      <c r="D3108" s="1"/>
      <c r="E3108" s="1"/>
      <c r="F3108" s="1"/>
      <c r="G3108" s="1"/>
      <c r="H3108" s="1"/>
      <c r="I3108" s="1"/>
      <c r="J3108" s="1"/>
    </row>
    <row r="3109" ht="15.75" customHeight="1">
      <c r="A3109" s="1"/>
      <c r="B3109" s="1"/>
      <c r="C3109" s="1"/>
      <c r="D3109" s="1"/>
      <c r="E3109" s="1"/>
      <c r="F3109" s="1"/>
      <c r="G3109" s="1"/>
      <c r="H3109" s="1"/>
      <c r="I3109" s="1"/>
      <c r="J3109" s="1"/>
    </row>
    <row r="3110" ht="15.75" customHeight="1">
      <c r="A3110" s="1"/>
      <c r="B3110" s="1"/>
      <c r="C3110" s="1"/>
      <c r="D3110" s="1"/>
      <c r="E3110" s="1"/>
      <c r="F3110" s="1"/>
      <c r="G3110" s="1"/>
      <c r="H3110" s="1"/>
      <c r="I3110" s="1"/>
      <c r="J3110" s="1"/>
    </row>
    <row r="3111" ht="15.75" customHeight="1">
      <c r="A3111" s="1"/>
      <c r="B3111" s="1"/>
      <c r="C3111" s="1"/>
      <c r="D3111" s="1"/>
      <c r="E3111" s="1"/>
      <c r="F3111" s="1"/>
      <c r="G3111" s="1"/>
      <c r="H3111" s="1"/>
      <c r="I3111" s="1"/>
      <c r="J3111" s="1"/>
    </row>
    <row r="3112" ht="15.75" customHeight="1">
      <c r="A3112" s="1"/>
      <c r="B3112" s="1"/>
      <c r="C3112" s="1"/>
      <c r="D3112" s="1"/>
      <c r="E3112" s="1"/>
      <c r="F3112" s="1"/>
      <c r="G3112" s="1"/>
      <c r="H3112" s="1"/>
      <c r="I3112" s="1"/>
      <c r="J3112" s="1"/>
    </row>
    <row r="3113" ht="15.75" customHeight="1">
      <c r="A3113" s="1"/>
      <c r="B3113" s="1"/>
      <c r="C3113" s="1"/>
      <c r="D3113" s="1"/>
      <c r="E3113" s="1"/>
      <c r="F3113" s="1"/>
      <c r="G3113" s="1"/>
      <c r="H3113" s="1"/>
      <c r="I3113" s="1"/>
      <c r="J3113" s="1"/>
    </row>
    <row r="3114" ht="15.75" customHeight="1">
      <c r="A3114" s="1"/>
      <c r="B3114" s="1"/>
      <c r="C3114" s="1"/>
      <c r="D3114" s="1"/>
      <c r="E3114" s="1"/>
      <c r="F3114" s="1"/>
      <c r="G3114" s="1"/>
      <c r="H3114" s="1"/>
      <c r="I3114" s="1"/>
      <c r="J3114" s="1"/>
    </row>
    <row r="3115" ht="15.75" customHeight="1">
      <c r="A3115" s="1"/>
      <c r="B3115" s="1"/>
      <c r="C3115" s="1"/>
      <c r="D3115" s="1"/>
      <c r="E3115" s="1"/>
      <c r="F3115" s="1"/>
      <c r="G3115" s="1"/>
      <c r="H3115" s="1"/>
      <c r="I3115" s="1"/>
      <c r="J3115" s="1"/>
    </row>
    <row r="3116" ht="15.75" customHeight="1">
      <c r="A3116" s="1"/>
      <c r="B3116" s="1"/>
      <c r="C3116" s="1"/>
      <c r="D3116" s="1"/>
      <c r="E3116" s="1"/>
      <c r="F3116" s="1"/>
      <c r="G3116" s="1"/>
      <c r="H3116" s="1"/>
      <c r="I3116" s="1"/>
      <c r="J3116" s="1"/>
    </row>
    <row r="3117" ht="15.75" customHeight="1">
      <c r="A3117" s="1"/>
      <c r="B3117" s="1"/>
      <c r="C3117" s="1"/>
      <c r="D3117" s="1"/>
      <c r="E3117" s="1"/>
      <c r="F3117" s="1"/>
      <c r="G3117" s="1"/>
      <c r="H3117" s="1"/>
      <c r="I3117" s="1"/>
      <c r="J3117" s="1"/>
    </row>
    <row r="3118" ht="15.75" customHeight="1">
      <c r="A3118" s="1"/>
      <c r="B3118" s="1"/>
      <c r="C3118" s="1"/>
      <c r="D3118" s="1"/>
      <c r="E3118" s="1"/>
      <c r="F3118" s="1"/>
      <c r="G3118" s="1"/>
      <c r="H3118" s="1"/>
      <c r="I3118" s="1"/>
      <c r="J3118" s="1"/>
    </row>
    <row r="3119" ht="15.75" customHeight="1">
      <c r="A3119" s="1"/>
      <c r="B3119" s="1"/>
      <c r="C3119" s="1"/>
      <c r="D3119" s="1"/>
      <c r="E3119" s="1"/>
      <c r="F3119" s="1"/>
      <c r="G3119" s="1"/>
      <c r="H3119" s="1"/>
      <c r="I3119" s="1"/>
      <c r="J3119" s="1"/>
    </row>
    <row r="3120" ht="15.75" customHeight="1">
      <c r="A3120" s="1"/>
      <c r="B3120" s="1"/>
      <c r="C3120" s="1"/>
      <c r="D3120" s="1"/>
      <c r="E3120" s="1"/>
      <c r="F3120" s="1"/>
      <c r="G3120" s="1"/>
      <c r="H3120" s="1"/>
      <c r="I3120" s="1"/>
      <c r="J3120" s="1"/>
    </row>
    <row r="3121" ht="15.75" customHeight="1">
      <c r="A3121" s="1"/>
      <c r="B3121" s="1"/>
      <c r="C3121" s="1"/>
      <c r="D3121" s="1"/>
      <c r="E3121" s="1"/>
      <c r="F3121" s="1"/>
      <c r="G3121" s="1"/>
      <c r="H3121" s="1"/>
      <c r="I3121" s="1"/>
      <c r="J3121" s="1"/>
    </row>
    <row r="3122" ht="15.75" customHeight="1">
      <c r="A3122" s="1"/>
      <c r="B3122" s="1"/>
      <c r="C3122" s="1"/>
      <c r="D3122" s="1"/>
      <c r="E3122" s="1"/>
      <c r="F3122" s="1"/>
      <c r="G3122" s="1"/>
      <c r="H3122" s="1"/>
      <c r="I3122" s="1"/>
      <c r="J3122" s="1"/>
    </row>
    <row r="3123" ht="15.75" customHeight="1">
      <c r="A3123" s="1"/>
      <c r="B3123" s="1"/>
      <c r="C3123" s="1"/>
      <c r="D3123" s="1"/>
      <c r="E3123" s="1"/>
      <c r="F3123" s="1"/>
      <c r="G3123" s="1"/>
      <c r="H3123" s="1"/>
      <c r="I3123" s="1"/>
      <c r="J3123" s="1"/>
    </row>
    <row r="3124" ht="15.75" customHeight="1">
      <c r="A3124" s="1"/>
      <c r="B3124" s="1"/>
      <c r="C3124" s="1"/>
      <c r="D3124" s="1"/>
      <c r="E3124" s="1"/>
      <c r="F3124" s="1"/>
      <c r="G3124" s="1"/>
      <c r="H3124" s="1"/>
      <c r="I3124" s="1"/>
      <c r="J3124" s="1"/>
    </row>
    <row r="3125" ht="15.75" customHeight="1">
      <c r="A3125" s="1"/>
      <c r="B3125" s="1"/>
      <c r="C3125" s="1"/>
      <c r="D3125" s="1"/>
      <c r="E3125" s="1"/>
      <c r="F3125" s="1"/>
      <c r="G3125" s="1"/>
      <c r="H3125" s="1"/>
      <c r="I3125" s="1"/>
      <c r="J3125" s="1"/>
    </row>
    <row r="3126" ht="15.75" customHeight="1">
      <c r="A3126" s="1"/>
      <c r="B3126" s="1"/>
      <c r="C3126" s="1"/>
      <c r="D3126" s="1"/>
      <c r="E3126" s="1"/>
      <c r="F3126" s="1"/>
      <c r="G3126" s="1"/>
      <c r="H3126" s="1"/>
      <c r="I3126" s="1"/>
      <c r="J3126" s="1"/>
    </row>
    <row r="3127" ht="15.75" customHeight="1">
      <c r="A3127" s="1"/>
      <c r="B3127" s="1"/>
      <c r="C3127" s="1"/>
      <c r="D3127" s="1"/>
      <c r="E3127" s="1"/>
      <c r="F3127" s="1"/>
      <c r="G3127" s="1"/>
      <c r="H3127" s="1"/>
      <c r="I3127" s="1"/>
      <c r="J3127" s="1"/>
    </row>
    <row r="3128" ht="15.75" customHeight="1">
      <c r="A3128" s="1"/>
      <c r="B3128" s="1"/>
      <c r="C3128" s="1"/>
      <c r="D3128" s="1"/>
      <c r="E3128" s="1"/>
      <c r="F3128" s="1"/>
      <c r="G3128" s="1"/>
      <c r="H3128" s="1"/>
      <c r="I3128" s="1"/>
      <c r="J3128" s="1"/>
    </row>
    <row r="3129" ht="15.75" customHeight="1">
      <c r="A3129" s="1"/>
      <c r="B3129" s="1"/>
      <c r="C3129" s="1"/>
      <c r="D3129" s="1"/>
      <c r="E3129" s="1"/>
      <c r="F3129" s="1"/>
      <c r="G3129" s="1"/>
      <c r="H3129" s="1"/>
      <c r="I3129" s="1"/>
      <c r="J3129" s="1"/>
    </row>
    <row r="3130" ht="15.75" customHeight="1">
      <c r="A3130" s="1"/>
      <c r="B3130" s="1"/>
      <c r="C3130" s="1"/>
      <c r="D3130" s="1"/>
      <c r="E3130" s="1"/>
      <c r="F3130" s="1"/>
      <c r="G3130" s="1"/>
      <c r="H3130" s="1"/>
      <c r="I3130" s="1"/>
      <c r="J3130" s="1"/>
    </row>
    <row r="3131" ht="15.75" customHeight="1">
      <c r="A3131" s="1"/>
      <c r="B3131" s="1"/>
      <c r="C3131" s="1"/>
      <c r="D3131" s="1"/>
      <c r="E3131" s="1"/>
      <c r="F3131" s="1"/>
      <c r="G3131" s="1"/>
      <c r="H3131" s="1"/>
      <c r="I3131" s="1"/>
      <c r="J3131" s="1"/>
    </row>
    <row r="3132" ht="15.75" customHeight="1">
      <c r="A3132" s="1"/>
      <c r="B3132" s="1"/>
      <c r="C3132" s="1"/>
      <c r="D3132" s="1"/>
      <c r="E3132" s="1"/>
      <c r="F3132" s="1"/>
      <c r="G3132" s="1"/>
      <c r="H3132" s="1"/>
      <c r="I3132" s="1"/>
      <c r="J3132" s="1"/>
    </row>
    <row r="3133" ht="15.75" customHeight="1">
      <c r="A3133" s="1"/>
      <c r="B3133" s="1"/>
      <c r="C3133" s="1"/>
      <c r="D3133" s="1"/>
      <c r="E3133" s="1"/>
      <c r="F3133" s="1"/>
      <c r="G3133" s="1"/>
      <c r="H3133" s="1"/>
      <c r="I3133" s="1"/>
      <c r="J3133" s="1"/>
    </row>
    <row r="3134" ht="15.75" customHeight="1">
      <c r="A3134" s="1"/>
      <c r="B3134" s="1"/>
      <c r="C3134" s="1"/>
      <c r="D3134" s="1"/>
      <c r="E3134" s="1"/>
      <c r="F3134" s="1"/>
      <c r="G3134" s="1"/>
      <c r="H3134" s="1"/>
      <c r="I3134" s="1"/>
      <c r="J3134" s="1"/>
    </row>
    <row r="3135" ht="15.75" customHeight="1">
      <c r="A3135" s="1"/>
      <c r="B3135" s="1"/>
      <c r="C3135" s="1"/>
      <c r="D3135" s="1"/>
      <c r="E3135" s="1"/>
      <c r="F3135" s="1"/>
      <c r="G3135" s="1"/>
      <c r="H3135" s="1"/>
      <c r="I3135" s="1"/>
      <c r="J3135" s="1"/>
    </row>
    <row r="3136" ht="15.75" customHeight="1">
      <c r="A3136" s="1"/>
      <c r="B3136" s="1"/>
      <c r="C3136" s="1"/>
      <c r="D3136" s="1"/>
      <c r="E3136" s="1"/>
      <c r="F3136" s="1"/>
      <c r="G3136" s="1"/>
      <c r="H3136" s="1"/>
      <c r="I3136" s="1"/>
      <c r="J3136" s="1"/>
    </row>
    <row r="3137" ht="15.75" customHeight="1">
      <c r="A3137" s="1"/>
      <c r="B3137" s="1"/>
      <c r="C3137" s="1"/>
      <c r="D3137" s="1"/>
      <c r="E3137" s="1"/>
      <c r="F3137" s="1"/>
      <c r="G3137" s="1"/>
      <c r="H3137" s="1"/>
      <c r="I3137" s="1"/>
      <c r="J3137" s="1"/>
    </row>
    <row r="3138" ht="15.75" customHeight="1">
      <c r="A3138" s="1"/>
      <c r="B3138" s="1"/>
      <c r="C3138" s="1"/>
      <c r="D3138" s="1"/>
      <c r="E3138" s="1"/>
      <c r="F3138" s="1"/>
      <c r="G3138" s="1"/>
      <c r="H3138" s="1"/>
      <c r="I3138" s="1"/>
      <c r="J3138" s="1"/>
    </row>
    <row r="3139" ht="15.75" customHeight="1">
      <c r="A3139" s="1"/>
      <c r="B3139" s="1"/>
      <c r="C3139" s="1"/>
      <c r="D3139" s="1"/>
      <c r="E3139" s="1"/>
      <c r="F3139" s="1"/>
      <c r="G3139" s="1"/>
      <c r="H3139" s="1"/>
      <c r="I3139" s="1"/>
      <c r="J3139" s="1"/>
    </row>
    <row r="3140" ht="15.75" customHeight="1">
      <c r="A3140" s="1"/>
      <c r="B3140" s="1"/>
      <c r="C3140" s="1"/>
      <c r="D3140" s="1"/>
      <c r="E3140" s="1"/>
      <c r="F3140" s="1"/>
      <c r="G3140" s="1"/>
      <c r="H3140" s="1"/>
      <c r="I3140" s="1"/>
      <c r="J3140" s="1"/>
    </row>
    <row r="3141" ht="15.75" customHeight="1">
      <c r="A3141" s="1"/>
      <c r="B3141" s="1"/>
      <c r="C3141" s="1"/>
      <c r="D3141" s="1"/>
      <c r="E3141" s="1"/>
      <c r="F3141" s="1"/>
      <c r="G3141" s="1"/>
      <c r="H3141" s="1"/>
      <c r="I3141" s="1"/>
      <c r="J3141" s="1"/>
    </row>
    <row r="3142" ht="15.75" customHeight="1">
      <c r="A3142" s="1"/>
      <c r="B3142" s="1"/>
      <c r="C3142" s="1"/>
      <c r="D3142" s="1"/>
      <c r="E3142" s="1"/>
      <c r="F3142" s="1"/>
      <c r="G3142" s="1"/>
      <c r="H3142" s="1"/>
      <c r="I3142" s="1"/>
      <c r="J3142" s="1"/>
    </row>
    <row r="3143" ht="15.75" customHeight="1">
      <c r="A3143" s="1"/>
      <c r="B3143" s="1"/>
      <c r="C3143" s="1"/>
      <c r="D3143" s="1"/>
      <c r="E3143" s="1"/>
      <c r="F3143" s="1"/>
      <c r="G3143" s="1"/>
      <c r="H3143" s="1"/>
      <c r="I3143" s="1"/>
      <c r="J3143" s="1"/>
    </row>
    <row r="3144" ht="15.75" customHeight="1">
      <c r="A3144" s="1"/>
      <c r="B3144" s="1"/>
      <c r="C3144" s="1"/>
      <c r="D3144" s="1"/>
      <c r="E3144" s="1"/>
      <c r="F3144" s="1"/>
      <c r="G3144" s="1"/>
      <c r="H3144" s="1"/>
      <c r="I3144" s="1"/>
      <c r="J3144" s="1"/>
    </row>
    <row r="3145" ht="15.75" customHeight="1">
      <c r="A3145" s="1"/>
      <c r="B3145" s="1"/>
      <c r="C3145" s="1"/>
      <c r="D3145" s="1"/>
      <c r="E3145" s="1"/>
      <c r="F3145" s="1"/>
      <c r="G3145" s="1"/>
      <c r="H3145" s="1"/>
      <c r="I3145" s="1"/>
      <c r="J3145" s="1"/>
    </row>
    <row r="3146" ht="15.75" customHeight="1">
      <c r="A3146" s="1"/>
      <c r="B3146" s="1"/>
      <c r="C3146" s="1"/>
      <c r="D3146" s="1"/>
      <c r="E3146" s="1"/>
      <c r="F3146" s="1"/>
      <c r="G3146" s="1"/>
      <c r="H3146" s="1"/>
      <c r="I3146" s="1"/>
      <c r="J3146" s="1"/>
    </row>
    <row r="3147" ht="15.75" customHeight="1">
      <c r="A3147" s="1"/>
      <c r="B3147" s="1"/>
      <c r="C3147" s="1"/>
      <c r="D3147" s="1"/>
      <c r="E3147" s="1"/>
      <c r="F3147" s="1"/>
      <c r="G3147" s="1"/>
      <c r="H3147" s="1"/>
      <c r="I3147" s="1"/>
      <c r="J3147" s="1"/>
    </row>
    <row r="3148" ht="15.75" customHeight="1">
      <c r="A3148" s="1"/>
      <c r="B3148" s="1"/>
      <c r="C3148" s="1"/>
      <c r="D3148" s="1"/>
      <c r="E3148" s="1"/>
      <c r="F3148" s="1"/>
      <c r="G3148" s="1"/>
      <c r="H3148" s="1"/>
      <c r="I3148" s="1"/>
      <c r="J3148" s="1"/>
    </row>
    <row r="3149" ht="15.75" customHeight="1">
      <c r="A3149" s="1"/>
      <c r="B3149" s="1"/>
      <c r="C3149" s="1"/>
      <c r="D3149" s="1"/>
      <c r="E3149" s="1"/>
      <c r="F3149" s="1"/>
      <c r="G3149" s="1"/>
      <c r="H3149" s="1"/>
      <c r="I3149" s="1"/>
      <c r="J3149" s="1"/>
    </row>
    <row r="3150" ht="15.75" customHeight="1">
      <c r="A3150" s="1"/>
      <c r="B3150" s="1"/>
      <c r="C3150" s="1"/>
      <c r="D3150" s="1"/>
      <c r="E3150" s="1"/>
      <c r="F3150" s="1"/>
      <c r="G3150" s="1"/>
      <c r="H3150" s="1"/>
      <c r="I3150" s="1"/>
      <c r="J3150" s="1"/>
    </row>
    <row r="3151" ht="15.75" customHeight="1">
      <c r="A3151" s="1"/>
      <c r="B3151" s="1"/>
      <c r="C3151" s="1"/>
      <c r="D3151" s="1"/>
      <c r="E3151" s="1"/>
      <c r="F3151" s="1"/>
      <c r="G3151" s="1"/>
      <c r="H3151" s="1"/>
      <c r="I3151" s="1"/>
      <c r="J3151" s="1"/>
    </row>
    <row r="3152" ht="15.75" customHeight="1">
      <c r="A3152" s="1"/>
      <c r="B3152" s="1"/>
      <c r="C3152" s="1"/>
      <c r="D3152" s="1"/>
      <c r="E3152" s="1"/>
      <c r="F3152" s="1"/>
      <c r="G3152" s="1"/>
      <c r="H3152" s="1"/>
      <c r="I3152" s="1"/>
      <c r="J3152" s="1"/>
    </row>
    <row r="3153" ht="15.75" customHeight="1">
      <c r="A3153" s="1"/>
      <c r="B3153" s="1"/>
      <c r="C3153" s="1"/>
      <c r="D3153" s="1"/>
      <c r="E3153" s="1"/>
      <c r="F3153" s="1"/>
      <c r="G3153" s="1"/>
      <c r="H3153" s="1"/>
      <c r="I3153" s="1"/>
      <c r="J3153" s="1"/>
    </row>
    <row r="3154" ht="15.75" customHeight="1">
      <c r="A3154" s="1"/>
      <c r="B3154" s="1"/>
      <c r="C3154" s="1"/>
      <c r="D3154" s="1"/>
      <c r="E3154" s="1"/>
      <c r="F3154" s="1"/>
      <c r="G3154" s="1"/>
      <c r="H3154" s="1"/>
      <c r="I3154" s="1"/>
      <c r="J3154" s="1"/>
    </row>
    <row r="3155" ht="15.75" customHeight="1">
      <c r="A3155" s="1"/>
      <c r="B3155" s="1"/>
      <c r="C3155" s="1"/>
      <c r="D3155" s="1"/>
      <c r="E3155" s="1"/>
      <c r="F3155" s="1"/>
      <c r="G3155" s="1"/>
      <c r="H3155" s="1"/>
      <c r="I3155" s="1"/>
      <c r="J3155" s="1"/>
    </row>
    <row r="3156" ht="15.75" customHeight="1">
      <c r="A3156" s="1"/>
      <c r="B3156" s="1"/>
      <c r="C3156" s="1"/>
      <c r="D3156" s="1"/>
      <c r="E3156" s="1"/>
      <c r="F3156" s="1"/>
      <c r="G3156" s="1"/>
      <c r="H3156" s="1"/>
      <c r="I3156" s="1"/>
      <c r="J3156" s="1"/>
    </row>
    <row r="3157" ht="15.75" customHeight="1">
      <c r="A3157" s="1"/>
      <c r="B3157" s="1"/>
      <c r="C3157" s="1"/>
      <c r="D3157" s="1"/>
      <c r="E3157" s="1"/>
      <c r="F3157" s="1"/>
      <c r="G3157" s="1"/>
      <c r="H3157" s="1"/>
      <c r="I3157" s="1"/>
      <c r="J3157" s="1"/>
    </row>
    <row r="3158" ht="15.75" customHeight="1">
      <c r="A3158" s="1"/>
      <c r="B3158" s="1"/>
      <c r="C3158" s="1"/>
      <c r="D3158" s="1"/>
      <c r="E3158" s="1"/>
      <c r="F3158" s="1"/>
      <c r="G3158" s="1"/>
      <c r="H3158" s="1"/>
      <c r="I3158" s="1"/>
      <c r="J3158" s="1"/>
    </row>
    <row r="3159" ht="15.75" customHeight="1">
      <c r="A3159" s="1"/>
      <c r="B3159" s="1"/>
      <c r="C3159" s="1"/>
      <c r="D3159" s="1"/>
      <c r="E3159" s="1"/>
      <c r="F3159" s="1"/>
      <c r="G3159" s="1"/>
      <c r="H3159" s="1"/>
      <c r="I3159" s="1"/>
      <c r="J3159" s="1"/>
    </row>
    <row r="3160" ht="15.75" customHeight="1">
      <c r="A3160" s="1"/>
      <c r="B3160" s="1"/>
      <c r="C3160" s="1"/>
      <c r="D3160" s="1"/>
      <c r="E3160" s="1"/>
      <c r="F3160" s="1"/>
      <c r="G3160" s="1"/>
      <c r="H3160" s="1"/>
      <c r="I3160" s="1"/>
      <c r="J3160" s="1"/>
    </row>
    <row r="3161" ht="15.75" customHeight="1">
      <c r="A3161" s="1"/>
      <c r="B3161" s="1"/>
      <c r="C3161" s="1"/>
      <c r="D3161" s="1"/>
      <c r="E3161" s="1"/>
      <c r="F3161" s="1"/>
      <c r="G3161" s="1"/>
      <c r="H3161" s="1"/>
      <c r="I3161" s="1"/>
      <c r="J3161" s="1"/>
    </row>
    <row r="3162" ht="15.75" customHeight="1">
      <c r="A3162" s="1"/>
      <c r="B3162" s="1"/>
      <c r="C3162" s="1"/>
      <c r="D3162" s="1"/>
      <c r="E3162" s="1"/>
      <c r="F3162" s="1"/>
      <c r="G3162" s="1"/>
      <c r="H3162" s="1"/>
      <c r="I3162" s="1"/>
      <c r="J3162" s="1"/>
    </row>
    <row r="3163" ht="15.75" customHeight="1">
      <c r="A3163" s="1"/>
      <c r="B3163" s="1"/>
      <c r="C3163" s="1"/>
      <c r="D3163" s="1"/>
      <c r="E3163" s="1"/>
      <c r="F3163" s="1"/>
      <c r="G3163" s="1"/>
      <c r="H3163" s="1"/>
      <c r="I3163" s="1"/>
      <c r="J3163" s="1"/>
    </row>
    <row r="3164" ht="15.75" customHeight="1">
      <c r="A3164" s="1"/>
      <c r="B3164" s="1"/>
      <c r="C3164" s="1"/>
      <c r="D3164" s="1"/>
      <c r="E3164" s="1"/>
      <c r="F3164" s="1"/>
      <c r="G3164" s="1"/>
      <c r="H3164" s="1"/>
      <c r="I3164" s="1"/>
      <c r="J3164" s="1"/>
    </row>
    <row r="3165" ht="15.75" customHeight="1">
      <c r="A3165" s="1"/>
      <c r="B3165" s="1"/>
      <c r="C3165" s="1"/>
      <c r="D3165" s="1"/>
      <c r="E3165" s="1"/>
      <c r="F3165" s="1"/>
      <c r="G3165" s="1"/>
      <c r="H3165" s="1"/>
      <c r="I3165" s="1"/>
      <c r="J3165" s="1"/>
    </row>
    <row r="3166" ht="15.75" customHeight="1">
      <c r="A3166" s="1"/>
      <c r="B3166" s="1"/>
      <c r="C3166" s="1"/>
      <c r="D3166" s="1"/>
      <c r="E3166" s="1"/>
      <c r="F3166" s="1"/>
      <c r="G3166" s="1"/>
      <c r="H3166" s="1"/>
      <c r="I3166" s="1"/>
      <c r="J3166" s="1"/>
    </row>
    <row r="3167" ht="15.75" customHeight="1">
      <c r="A3167" s="1"/>
      <c r="B3167" s="1"/>
      <c r="C3167" s="1"/>
      <c r="D3167" s="1"/>
      <c r="E3167" s="1"/>
      <c r="F3167" s="1"/>
      <c r="G3167" s="1"/>
      <c r="H3167" s="1"/>
      <c r="I3167" s="1"/>
      <c r="J3167" s="1"/>
    </row>
    <row r="3168" ht="15.75" customHeight="1">
      <c r="A3168" s="1"/>
      <c r="B3168" s="1"/>
      <c r="C3168" s="1"/>
      <c r="D3168" s="1"/>
      <c r="E3168" s="1"/>
      <c r="F3168" s="1"/>
      <c r="G3168" s="1"/>
      <c r="H3168" s="1"/>
      <c r="I3168" s="1"/>
      <c r="J3168" s="1"/>
    </row>
    <row r="3169" ht="15.75" customHeight="1">
      <c r="A3169" s="1"/>
      <c r="B3169" s="1"/>
      <c r="C3169" s="1"/>
      <c r="D3169" s="1"/>
      <c r="E3169" s="1"/>
      <c r="F3169" s="1"/>
      <c r="G3169" s="1"/>
      <c r="H3169" s="1"/>
      <c r="I3169" s="1"/>
      <c r="J3169" s="1"/>
    </row>
    <row r="3170" ht="15.75" customHeight="1">
      <c r="A3170" s="1"/>
      <c r="B3170" s="1"/>
      <c r="C3170" s="1"/>
      <c r="D3170" s="1"/>
      <c r="E3170" s="1"/>
      <c r="F3170" s="1"/>
      <c r="G3170" s="1"/>
      <c r="H3170" s="1"/>
      <c r="I3170" s="1"/>
      <c r="J3170" s="1"/>
    </row>
    <row r="3171" ht="15.75" customHeight="1">
      <c r="A3171" s="1"/>
      <c r="B3171" s="1"/>
      <c r="C3171" s="1"/>
      <c r="D3171" s="1"/>
      <c r="E3171" s="1"/>
      <c r="F3171" s="1"/>
      <c r="G3171" s="1"/>
      <c r="H3171" s="1"/>
      <c r="I3171" s="1"/>
      <c r="J3171" s="1"/>
    </row>
    <row r="3172" ht="15.75" customHeight="1">
      <c r="A3172" s="1"/>
      <c r="B3172" s="1"/>
      <c r="C3172" s="1"/>
      <c r="D3172" s="1"/>
      <c r="E3172" s="1"/>
      <c r="F3172" s="1"/>
      <c r="G3172" s="1"/>
      <c r="H3172" s="1"/>
      <c r="I3172" s="1"/>
      <c r="J3172" s="1"/>
    </row>
    <row r="3173" ht="15.75" customHeight="1">
      <c r="A3173" s="1"/>
      <c r="B3173" s="1"/>
      <c r="C3173" s="1"/>
      <c r="D3173" s="1"/>
      <c r="E3173" s="1"/>
      <c r="F3173" s="1"/>
      <c r="G3173" s="1"/>
      <c r="H3173" s="1"/>
      <c r="I3173" s="1"/>
      <c r="J3173" s="1"/>
    </row>
    <row r="3174" ht="15.75" customHeight="1">
      <c r="A3174" s="1"/>
      <c r="B3174" s="1"/>
      <c r="C3174" s="1"/>
      <c r="D3174" s="1"/>
      <c r="E3174" s="1"/>
      <c r="F3174" s="1"/>
      <c r="G3174" s="1"/>
      <c r="H3174" s="1"/>
      <c r="I3174" s="1"/>
      <c r="J3174" s="1"/>
    </row>
    <row r="3175" ht="15.75" customHeight="1">
      <c r="A3175" s="1"/>
      <c r="B3175" s="1"/>
      <c r="C3175" s="1"/>
      <c r="D3175" s="1"/>
      <c r="E3175" s="1"/>
      <c r="F3175" s="1"/>
      <c r="G3175" s="1"/>
      <c r="H3175" s="1"/>
      <c r="I3175" s="1"/>
      <c r="J3175" s="1"/>
    </row>
    <row r="3176" ht="15.75" customHeight="1">
      <c r="A3176" s="1"/>
      <c r="B3176" s="1"/>
      <c r="C3176" s="1"/>
      <c r="D3176" s="1"/>
      <c r="E3176" s="1"/>
      <c r="F3176" s="1"/>
      <c r="G3176" s="1"/>
      <c r="H3176" s="1"/>
      <c r="I3176" s="1"/>
      <c r="J3176" s="1"/>
    </row>
    <row r="3177" ht="15.75" customHeight="1">
      <c r="A3177" s="1"/>
      <c r="B3177" s="1"/>
      <c r="C3177" s="1"/>
      <c r="D3177" s="1"/>
      <c r="E3177" s="1"/>
      <c r="F3177" s="1"/>
      <c r="G3177" s="1"/>
      <c r="H3177" s="1"/>
      <c r="I3177" s="1"/>
      <c r="J3177" s="1"/>
    </row>
    <row r="3178" ht="15.75" customHeight="1">
      <c r="A3178" s="1"/>
      <c r="B3178" s="1"/>
      <c r="C3178" s="1"/>
      <c r="D3178" s="1"/>
      <c r="E3178" s="1"/>
      <c r="F3178" s="1"/>
      <c r="G3178" s="1"/>
      <c r="H3178" s="1"/>
      <c r="I3178" s="1"/>
      <c r="J3178" s="1"/>
    </row>
    <row r="3179" ht="15.75" customHeight="1">
      <c r="A3179" s="1"/>
      <c r="B3179" s="1"/>
      <c r="C3179" s="1"/>
      <c r="D3179" s="1"/>
      <c r="E3179" s="1"/>
      <c r="F3179" s="1"/>
      <c r="G3179" s="1"/>
      <c r="H3179" s="1"/>
      <c r="I3179" s="1"/>
      <c r="J3179" s="1"/>
    </row>
    <row r="3180" ht="15.75" customHeight="1">
      <c r="A3180" s="1"/>
      <c r="B3180" s="1"/>
      <c r="C3180" s="1"/>
      <c r="D3180" s="1"/>
      <c r="E3180" s="1"/>
      <c r="F3180" s="1"/>
      <c r="G3180" s="1"/>
      <c r="H3180" s="1"/>
      <c r="I3180" s="1"/>
      <c r="J3180" s="1"/>
    </row>
    <row r="3181" ht="15.75" customHeight="1">
      <c r="A3181" s="1"/>
      <c r="B3181" s="1"/>
      <c r="C3181" s="1"/>
      <c r="D3181" s="1"/>
      <c r="E3181" s="1"/>
      <c r="F3181" s="1"/>
      <c r="G3181" s="1"/>
      <c r="H3181" s="1"/>
      <c r="I3181" s="1"/>
      <c r="J3181" s="1"/>
    </row>
    <row r="3182" ht="15.75" customHeight="1">
      <c r="A3182" s="1"/>
      <c r="B3182" s="1"/>
      <c r="C3182" s="1"/>
      <c r="D3182" s="1"/>
      <c r="E3182" s="1"/>
      <c r="F3182" s="1"/>
      <c r="G3182" s="1"/>
      <c r="H3182" s="1"/>
      <c r="I3182" s="1"/>
      <c r="J3182" s="1"/>
    </row>
    <row r="3183" ht="15.75" customHeight="1">
      <c r="A3183" s="1"/>
      <c r="B3183" s="1"/>
      <c r="C3183" s="1"/>
      <c r="D3183" s="1"/>
      <c r="E3183" s="1"/>
      <c r="F3183" s="1"/>
      <c r="G3183" s="1"/>
      <c r="H3183" s="1"/>
      <c r="I3183" s="1"/>
      <c r="J3183" s="1"/>
    </row>
    <row r="3184" ht="15.75" customHeight="1">
      <c r="A3184" s="1"/>
      <c r="B3184" s="1"/>
      <c r="C3184" s="1"/>
      <c r="D3184" s="1"/>
      <c r="E3184" s="1"/>
      <c r="F3184" s="1"/>
      <c r="G3184" s="1"/>
      <c r="H3184" s="1"/>
      <c r="I3184" s="1"/>
      <c r="J3184" s="1"/>
    </row>
    <row r="3185" ht="15.75" customHeight="1">
      <c r="A3185" s="1"/>
      <c r="B3185" s="1"/>
      <c r="C3185" s="1"/>
      <c r="D3185" s="1"/>
      <c r="E3185" s="1"/>
      <c r="F3185" s="1"/>
      <c r="G3185" s="1"/>
      <c r="H3185" s="1"/>
      <c r="I3185" s="1"/>
      <c r="J3185" s="1"/>
    </row>
    <row r="3186" ht="15.75" customHeight="1">
      <c r="A3186" s="1"/>
      <c r="B3186" s="1"/>
      <c r="C3186" s="1"/>
      <c r="D3186" s="1"/>
      <c r="E3186" s="1"/>
      <c r="F3186" s="1"/>
      <c r="G3186" s="1"/>
      <c r="H3186" s="1"/>
      <c r="I3186" s="1"/>
      <c r="J3186" s="1"/>
    </row>
    <row r="3187" ht="15.75" customHeight="1">
      <c r="A3187" s="1"/>
      <c r="B3187" s="1"/>
      <c r="C3187" s="1"/>
      <c r="D3187" s="1"/>
      <c r="E3187" s="1"/>
      <c r="F3187" s="1"/>
      <c r="G3187" s="1"/>
      <c r="H3187" s="1"/>
      <c r="I3187" s="1"/>
      <c r="J3187" s="1"/>
    </row>
    <row r="3188" ht="15.75" customHeight="1">
      <c r="A3188" s="1"/>
      <c r="B3188" s="1"/>
      <c r="C3188" s="1"/>
      <c r="D3188" s="1"/>
      <c r="E3188" s="1"/>
      <c r="F3188" s="1"/>
      <c r="G3188" s="1"/>
      <c r="H3188" s="1"/>
      <c r="I3188" s="1"/>
      <c r="J3188" s="1"/>
    </row>
    <row r="3189" ht="15.75" customHeight="1">
      <c r="A3189" s="1"/>
      <c r="B3189" s="1"/>
      <c r="C3189" s="1"/>
      <c r="D3189" s="1"/>
      <c r="E3189" s="1"/>
      <c r="F3189" s="1"/>
      <c r="G3189" s="1"/>
      <c r="H3189" s="1"/>
      <c r="I3189" s="1"/>
      <c r="J3189" s="1"/>
    </row>
    <row r="3190" ht="15.75" customHeight="1">
      <c r="A3190" s="1"/>
      <c r="B3190" s="1"/>
      <c r="C3190" s="1"/>
      <c r="D3190" s="1"/>
      <c r="E3190" s="1"/>
      <c r="F3190" s="1"/>
      <c r="G3190" s="1"/>
      <c r="H3190" s="1"/>
      <c r="I3190" s="1"/>
      <c r="J3190" s="1"/>
    </row>
    <row r="3191" ht="15.75" customHeight="1">
      <c r="A3191" s="1"/>
      <c r="B3191" s="1"/>
      <c r="C3191" s="1"/>
      <c r="D3191" s="1"/>
      <c r="E3191" s="1"/>
      <c r="F3191" s="1"/>
      <c r="G3191" s="1"/>
      <c r="H3191" s="1"/>
      <c r="I3191" s="1"/>
      <c r="J3191" s="1"/>
    </row>
    <row r="3192" ht="15.75" customHeight="1">
      <c r="A3192" s="1"/>
      <c r="B3192" s="1"/>
      <c r="C3192" s="1"/>
      <c r="D3192" s="1"/>
      <c r="E3192" s="1"/>
      <c r="F3192" s="1"/>
      <c r="G3192" s="1"/>
      <c r="H3192" s="1"/>
      <c r="I3192" s="1"/>
      <c r="J3192" s="1"/>
    </row>
    <row r="3193" ht="15.75" customHeight="1">
      <c r="A3193" s="1"/>
      <c r="B3193" s="1"/>
      <c r="C3193" s="1"/>
      <c r="D3193" s="1"/>
      <c r="E3193" s="1"/>
      <c r="F3193" s="1"/>
      <c r="G3193" s="1"/>
      <c r="H3193" s="1"/>
      <c r="I3193" s="1"/>
      <c r="J3193" s="1"/>
    </row>
    <row r="3194" ht="15.75" customHeight="1">
      <c r="A3194" s="1"/>
      <c r="B3194" s="1"/>
      <c r="C3194" s="1"/>
      <c r="D3194" s="1"/>
      <c r="E3194" s="1"/>
      <c r="F3194" s="1"/>
      <c r="G3194" s="1"/>
      <c r="H3194" s="1"/>
      <c r="I3194" s="1"/>
      <c r="J3194" s="1"/>
    </row>
    <row r="3195" ht="15.75" customHeight="1">
      <c r="A3195" s="1"/>
      <c r="B3195" s="1"/>
      <c r="C3195" s="1"/>
      <c r="D3195" s="1"/>
      <c r="E3195" s="1"/>
      <c r="F3195" s="1"/>
      <c r="G3195" s="1"/>
      <c r="H3195" s="1"/>
      <c r="I3195" s="1"/>
      <c r="J3195" s="1"/>
    </row>
    <row r="3196" ht="15.75" customHeight="1">
      <c r="A3196" s="1"/>
      <c r="B3196" s="1"/>
      <c r="C3196" s="1"/>
      <c r="D3196" s="1"/>
      <c r="E3196" s="1"/>
      <c r="F3196" s="1"/>
      <c r="G3196" s="1"/>
      <c r="H3196" s="1"/>
      <c r="I3196" s="1"/>
      <c r="J3196" s="1"/>
    </row>
    <row r="3197" ht="15.75" customHeight="1">
      <c r="A3197" s="1"/>
      <c r="B3197" s="1"/>
      <c r="C3197" s="1"/>
      <c r="D3197" s="1"/>
      <c r="E3197" s="1"/>
      <c r="F3197" s="1"/>
      <c r="G3197" s="1"/>
      <c r="H3197" s="1"/>
      <c r="I3197" s="1"/>
      <c r="J3197" s="1"/>
    </row>
    <row r="3198" ht="15.75" customHeight="1">
      <c r="A3198" s="1"/>
      <c r="B3198" s="1"/>
      <c r="C3198" s="1"/>
      <c r="D3198" s="1"/>
      <c r="E3198" s="1"/>
      <c r="F3198" s="1"/>
      <c r="G3198" s="1"/>
      <c r="H3198" s="1"/>
      <c r="I3198" s="1"/>
      <c r="J3198" s="1"/>
    </row>
    <row r="3199" ht="15.75" customHeight="1">
      <c r="A3199" s="1"/>
      <c r="B3199" s="1"/>
      <c r="C3199" s="1"/>
      <c r="D3199" s="1"/>
      <c r="E3199" s="1"/>
      <c r="F3199" s="1"/>
      <c r="G3199" s="1"/>
      <c r="H3199" s="1"/>
      <c r="I3199" s="1"/>
      <c r="J3199" s="1"/>
    </row>
    <row r="3200" ht="15.75" customHeight="1">
      <c r="A3200" s="1"/>
      <c r="B3200" s="1"/>
      <c r="C3200" s="1"/>
      <c r="D3200" s="1"/>
      <c r="E3200" s="1"/>
      <c r="F3200" s="1"/>
      <c r="G3200" s="1"/>
      <c r="H3200" s="1"/>
      <c r="I3200" s="1"/>
      <c r="J3200" s="1"/>
    </row>
    <row r="3201" ht="15.75" customHeight="1">
      <c r="A3201" s="1"/>
      <c r="B3201" s="1"/>
      <c r="C3201" s="1"/>
      <c r="D3201" s="1"/>
      <c r="E3201" s="1"/>
      <c r="F3201" s="1"/>
      <c r="G3201" s="1"/>
      <c r="H3201" s="1"/>
      <c r="I3201" s="1"/>
      <c r="J3201" s="1"/>
    </row>
    <row r="3202" ht="15.75" customHeight="1">
      <c r="A3202" s="1"/>
      <c r="B3202" s="1"/>
      <c r="C3202" s="1"/>
      <c r="D3202" s="1"/>
      <c r="E3202" s="1"/>
      <c r="F3202" s="1"/>
      <c r="G3202" s="1"/>
      <c r="H3202" s="1"/>
      <c r="I3202" s="1"/>
      <c r="J3202" s="1"/>
    </row>
    <row r="3203" ht="15.75" customHeight="1">
      <c r="A3203" s="1"/>
      <c r="B3203" s="1"/>
      <c r="C3203" s="1"/>
      <c r="D3203" s="1"/>
      <c r="E3203" s="1"/>
      <c r="F3203" s="1"/>
      <c r="G3203" s="1"/>
      <c r="H3203" s="1"/>
      <c r="I3203" s="1"/>
      <c r="J3203" s="1"/>
    </row>
    <row r="3204" ht="15.75" customHeight="1">
      <c r="A3204" s="1"/>
      <c r="B3204" s="1"/>
      <c r="C3204" s="1"/>
      <c r="D3204" s="1"/>
      <c r="E3204" s="1"/>
      <c r="F3204" s="1"/>
      <c r="G3204" s="1"/>
      <c r="H3204" s="1"/>
      <c r="I3204" s="1"/>
      <c r="J3204" s="1"/>
    </row>
    <row r="3205" ht="15.75" customHeight="1">
      <c r="A3205" s="1"/>
      <c r="B3205" s="1"/>
      <c r="C3205" s="1"/>
      <c r="D3205" s="1"/>
      <c r="E3205" s="1"/>
      <c r="F3205" s="1"/>
      <c r="G3205" s="1"/>
      <c r="H3205" s="1"/>
      <c r="I3205" s="1"/>
      <c r="J3205" s="1"/>
    </row>
    <row r="3206" ht="15.75" customHeight="1">
      <c r="A3206" s="1"/>
      <c r="B3206" s="1"/>
      <c r="C3206" s="1"/>
      <c r="D3206" s="1"/>
      <c r="E3206" s="1"/>
      <c r="F3206" s="1"/>
      <c r="G3206" s="1"/>
      <c r="H3206" s="1"/>
      <c r="I3206" s="1"/>
      <c r="J3206" s="1"/>
    </row>
    <row r="3207" ht="15.75" customHeight="1">
      <c r="A3207" s="1"/>
      <c r="B3207" s="1"/>
      <c r="C3207" s="1"/>
      <c r="D3207" s="1"/>
      <c r="E3207" s="1"/>
      <c r="F3207" s="1"/>
      <c r="G3207" s="1"/>
      <c r="H3207" s="1"/>
      <c r="I3207" s="1"/>
      <c r="J3207" s="1"/>
    </row>
    <row r="3208" ht="15.75" customHeight="1">
      <c r="A3208" s="1"/>
      <c r="B3208" s="1"/>
      <c r="C3208" s="1"/>
      <c r="D3208" s="1"/>
      <c r="E3208" s="1"/>
      <c r="F3208" s="1"/>
      <c r="G3208" s="1"/>
      <c r="H3208" s="1"/>
      <c r="I3208" s="1"/>
      <c r="J3208" s="1"/>
    </row>
    <row r="3209" ht="15.75" customHeight="1">
      <c r="A3209" s="1"/>
      <c r="B3209" s="1"/>
      <c r="C3209" s="1"/>
      <c r="D3209" s="1"/>
      <c r="E3209" s="1"/>
      <c r="F3209" s="1"/>
      <c r="G3209" s="1"/>
      <c r="H3209" s="1"/>
      <c r="I3209" s="1"/>
      <c r="J3209" s="1"/>
    </row>
    <row r="3210" ht="15.75" customHeight="1">
      <c r="A3210" s="1"/>
      <c r="B3210" s="1"/>
      <c r="C3210" s="1"/>
      <c r="D3210" s="1"/>
      <c r="E3210" s="1"/>
      <c r="F3210" s="1"/>
      <c r="G3210" s="1"/>
      <c r="H3210" s="1"/>
      <c r="I3210" s="1"/>
      <c r="J3210" s="1"/>
    </row>
    <row r="3211" ht="15.75" customHeight="1">
      <c r="A3211" s="1"/>
      <c r="B3211" s="1"/>
      <c r="C3211" s="1"/>
      <c r="D3211" s="1"/>
      <c r="E3211" s="1"/>
      <c r="F3211" s="1"/>
      <c r="G3211" s="1"/>
      <c r="H3211" s="1"/>
      <c r="I3211" s="1"/>
      <c r="J3211" s="1"/>
    </row>
    <row r="3212" ht="15.75" customHeight="1">
      <c r="A3212" s="1"/>
      <c r="B3212" s="1"/>
      <c r="C3212" s="1"/>
      <c r="D3212" s="1"/>
      <c r="E3212" s="1"/>
      <c r="F3212" s="1"/>
      <c r="G3212" s="1"/>
      <c r="H3212" s="1"/>
      <c r="I3212" s="1"/>
      <c r="J3212" s="1"/>
    </row>
    <row r="3213" ht="15.75" customHeight="1">
      <c r="A3213" s="1"/>
      <c r="B3213" s="1"/>
      <c r="C3213" s="1"/>
      <c r="D3213" s="1"/>
      <c r="E3213" s="1"/>
      <c r="F3213" s="1"/>
      <c r="G3213" s="1"/>
      <c r="H3213" s="1"/>
      <c r="I3213" s="1"/>
      <c r="J3213" s="1"/>
    </row>
    <row r="3214" ht="15.75" customHeight="1">
      <c r="A3214" s="1"/>
      <c r="B3214" s="1"/>
      <c r="C3214" s="1"/>
      <c r="D3214" s="1"/>
      <c r="E3214" s="1"/>
      <c r="F3214" s="1"/>
      <c r="G3214" s="1"/>
      <c r="H3214" s="1"/>
      <c r="I3214" s="1"/>
      <c r="J3214" s="1"/>
    </row>
    <row r="3215" ht="15.75" customHeight="1">
      <c r="A3215" s="1"/>
      <c r="B3215" s="1"/>
      <c r="C3215" s="1"/>
      <c r="D3215" s="1"/>
      <c r="E3215" s="1"/>
      <c r="F3215" s="1"/>
      <c r="G3215" s="1"/>
      <c r="H3215" s="1"/>
      <c r="I3215" s="1"/>
      <c r="J3215" s="1"/>
    </row>
    <row r="3216" ht="15.75" customHeight="1">
      <c r="A3216" s="1"/>
      <c r="B3216" s="1"/>
      <c r="C3216" s="1"/>
      <c r="D3216" s="1"/>
      <c r="E3216" s="1"/>
      <c r="F3216" s="1"/>
      <c r="G3216" s="1"/>
      <c r="H3216" s="1"/>
      <c r="I3216" s="1"/>
      <c r="J3216" s="1"/>
    </row>
    <row r="3217" ht="15.75" customHeight="1">
      <c r="A3217" s="1"/>
      <c r="B3217" s="1"/>
      <c r="C3217" s="1"/>
      <c r="D3217" s="1"/>
      <c r="E3217" s="1"/>
      <c r="F3217" s="1"/>
      <c r="G3217" s="1"/>
      <c r="H3217" s="1"/>
      <c r="I3217" s="1"/>
      <c r="J3217" s="1"/>
    </row>
    <row r="3218" ht="15.75" customHeight="1">
      <c r="A3218" s="1"/>
      <c r="B3218" s="1"/>
      <c r="C3218" s="1"/>
      <c r="D3218" s="1"/>
      <c r="E3218" s="1"/>
      <c r="F3218" s="1"/>
      <c r="G3218" s="1"/>
      <c r="H3218" s="1"/>
      <c r="I3218" s="1"/>
      <c r="J3218" s="1"/>
    </row>
    <row r="3219" ht="15.75" customHeight="1">
      <c r="A3219" s="1"/>
      <c r="B3219" s="1"/>
      <c r="C3219" s="1"/>
      <c r="D3219" s="1"/>
      <c r="E3219" s="1"/>
      <c r="F3219" s="1"/>
      <c r="G3219" s="1"/>
      <c r="H3219" s="1"/>
      <c r="I3219" s="1"/>
      <c r="J3219" s="1"/>
    </row>
    <row r="3220" ht="15.75" customHeight="1">
      <c r="A3220" s="1"/>
      <c r="B3220" s="1"/>
      <c r="C3220" s="1"/>
      <c r="D3220" s="1"/>
      <c r="E3220" s="1"/>
      <c r="F3220" s="1"/>
      <c r="G3220" s="1"/>
      <c r="H3220" s="1"/>
      <c r="I3220" s="1"/>
      <c r="J3220" s="1"/>
    </row>
    <row r="3221" ht="15.75" customHeight="1">
      <c r="A3221" s="1"/>
      <c r="B3221" s="1"/>
      <c r="C3221" s="1"/>
      <c r="D3221" s="1"/>
      <c r="E3221" s="1"/>
      <c r="F3221" s="1"/>
      <c r="G3221" s="1"/>
      <c r="H3221" s="1"/>
      <c r="I3221" s="1"/>
      <c r="J3221" s="1"/>
    </row>
    <row r="3222" ht="15.75" customHeight="1">
      <c r="A3222" s="1"/>
      <c r="B3222" s="1"/>
      <c r="C3222" s="1"/>
      <c r="D3222" s="1"/>
      <c r="E3222" s="1"/>
      <c r="F3222" s="1"/>
      <c r="G3222" s="1"/>
      <c r="H3222" s="1"/>
      <c r="I3222" s="1"/>
      <c r="J3222" s="1"/>
    </row>
    <row r="3223" ht="15.75" customHeight="1">
      <c r="A3223" s="1"/>
      <c r="B3223" s="1"/>
      <c r="C3223" s="1"/>
      <c r="D3223" s="1"/>
      <c r="E3223" s="1"/>
      <c r="F3223" s="1"/>
      <c r="G3223" s="1"/>
      <c r="H3223" s="1"/>
      <c r="I3223" s="1"/>
      <c r="J3223" s="1"/>
    </row>
    <row r="3224" ht="15.75" customHeight="1">
      <c r="A3224" s="1"/>
      <c r="B3224" s="1"/>
      <c r="C3224" s="1"/>
      <c r="D3224" s="1"/>
      <c r="E3224" s="1"/>
      <c r="F3224" s="1"/>
      <c r="G3224" s="1"/>
      <c r="H3224" s="1"/>
      <c r="I3224" s="1"/>
      <c r="J3224" s="1"/>
    </row>
    <row r="3225" ht="15.75" customHeight="1">
      <c r="A3225" s="1"/>
      <c r="B3225" s="1"/>
      <c r="C3225" s="1"/>
      <c r="D3225" s="1"/>
      <c r="E3225" s="1"/>
      <c r="F3225" s="1"/>
      <c r="G3225" s="1"/>
      <c r="H3225" s="1"/>
      <c r="I3225" s="1"/>
      <c r="J3225" s="1"/>
    </row>
    <row r="3226" ht="15.75" customHeight="1">
      <c r="A3226" s="1"/>
      <c r="B3226" s="1"/>
      <c r="C3226" s="1"/>
      <c r="D3226" s="1"/>
      <c r="E3226" s="1"/>
      <c r="F3226" s="1"/>
      <c r="G3226" s="1"/>
      <c r="H3226" s="1"/>
      <c r="I3226" s="1"/>
      <c r="J3226" s="1"/>
    </row>
    <row r="3227" ht="15.75" customHeight="1">
      <c r="A3227" s="1"/>
      <c r="B3227" s="1"/>
      <c r="C3227" s="1"/>
      <c r="D3227" s="1"/>
      <c r="E3227" s="1"/>
      <c r="F3227" s="1"/>
      <c r="G3227" s="1"/>
      <c r="H3227" s="1"/>
      <c r="I3227" s="1"/>
      <c r="J3227" s="1"/>
    </row>
    <row r="3228" ht="15.75" customHeight="1">
      <c r="A3228" s="1"/>
      <c r="B3228" s="1"/>
      <c r="C3228" s="1"/>
      <c r="D3228" s="1"/>
      <c r="E3228" s="1"/>
      <c r="F3228" s="1"/>
      <c r="G3228" s="1"/>
      <c r="H3228" s="1"/>
      <c r="I3228" s="1"/>
      <c r="J3228" s="1"/>
    </row>
    <row r="3229" ht="15.75" customHeight="1">
      <c r="A3229" s="1"/>
      <c r="B3229" s="1"/>
      <c r="C3229" s="1"/>
      <c r="D3229" s="1"/>
      <c r="E3229" s="1"/>
      <c r="F3229" s="1"/>
      <c r="G3229" s="1"/>
      <c r="H3229" s="1"/>
      <c r="I3229" s="1"/>
      <c r="J3229" s="1"/>
    </row>
    <row r="3230" ht="15.75" customHeight="1">
      <c r="A3230" s="1"/>
      <c r="B3230" s="1"/>
      <c r="C3230" s="1"/>
      <c r="D3230" s="1"/>
      <c r="E3230" s="1"/>
      <c r="F3230" s="1"/>
      <c r="G3230" s="1"/>
      <c r="H3230" s="1"/>
      <c r="I3230" s="1"/>
      <c r="J3230" s="1"/>
    </row>
    <row r="3231" ht="15.75" customHeight="1">
      <c r="A3231" s="1"/>
      <c r="B3231" s="1"/>
      <c r="C3231" s="1"/>
      <c r="D3231" s="1"/>
      <c r="E3231" s="1"/>
      <c r="F3231" s="1"/>
      <c r="G3231" s="1"/>
      <c r="H3231" s="1"/>
      <c r="I3231" s="1"/>
      <c r="J3231" s="1"/>
    </row>
    <row r="3232" ht="15.75" customHeight="1">
      <c r="A3232" s="1"/>
      <c r="B3232" s="1"/>
      <c r="C3232" s="1"/>
      <c r="D3232" s="1"/>
      <c r="E3232" s="1"/>
      <c r="F3232" s="1"/>
      <c r="G3232" s="1"/>
      <c r="H3232" s="1"/>
      <c r="I3232" s="1"/>
      <c r="J3232" s="1"/>
    </row>
    <row r="3233" ht="15.75" customHeight="1">
      <c r="A3233" s="1"/>
      <c r="B3233" s="1"/>
      <c r="C3233" s="1"/>
      <c r="D3233" s="1"/>
      <c r="E3233" s="1"/>
      <c r="F3233" s="1"/>
      <c r="G3233" s="1"/>
      <c r="H3233" s="1"/>
      <c r="I3233" s="1"/>
      <c r="J3233" s="1"/>
    </row>
    <row r="3234" ht="15.75" customHeight="1">
      <c r="A3234" s="1"/>
      <c r="B3234" s="1"/>
      <c r="C3234" s="1"/>
      <c r="D3234" s="1"/>
      <c r="E3234" s="1"/>
      <c r="F3234" s="1"/>
      <c r="G3234" s="1"/>
      <c r="H3234" s="1"/>
      <c r="I3234" s="1"/>
      <c r="J3234" s="1"/>
    </row>
    <row r="3235" ht="15.75" customHeight="1">
      <c r="A3235" s="1"/>
      <c r="B3235" s="1"/>
      <c r="C3235" s="1"/>
      <c r="D3235" s="1"/>
      <c r="E3235" s="1"/>
      <c r="F3235" s="1"/>
      <c r="G3235" s="1"/>
      <c r="H3235" s="1"/>
      <c r="I3235" s="1"/>
      <c r="J3235" s="1"/>
    </row>
    <row r="3236" ht="15.75" customHeight="1">
      <c r="A3236" s="1"/>
      <c r="B3236" s="1"/>
      <c r="C3236" s="1"/>
      <c r="D3236" s="1"/>
      <c r="E3236" s="1"/>
      <c r="F3236" s="1"/>
      <c r="G3236" s="1"/>
      <c r="H3236" s="1"/>
      <c r="I3236" s="1"/>
      <c r="J3236" s="1"/>
    </row>
    <row r="3237" ht="15.75" customHeight="1">
      <c r="A3237" s="1"/>
      <c r="B3237" s="1"/>
      <c r="C3237" s="1"/>
      <c r="D3237" s="1"/>
      <c r="E3237" s="1"/>
      <c r="F3237" s="1"/>
      <c r="G3237" s="1"/>
      <c r="H3237" s="1"/>
      <c r="I3237" s="1"/>
      <c r="J3237" s="1"/>
    </row>
    <row r="3238" ht="15.75" customHeight="1">
      <c r="A3238" s="1"/>
      <c r="B3238" s="1"/>
      <c r="C3238" s="1"/>
      <c r="D3238" s="1"/>
      <c r="E3238" s="1"/>
      <c r="F3238" s="1"/>
      <c r="G3238" s="1"/>
      <c r="H3238" s="1"/>
      <c r="I3238" s="1"/>
      <c r="J3238" s="1"/>
    </row>
    <row r="3239" ht="15.75" customHeight="1">
      <c r="A3239" s="1"/>
      <c r="B3239" s="1"/>
      <c r="C3239" s="1"/>
      <c r="D3239" s="1"/>
      <c r="E3239" s="1"/>
      <c r="F3239" s="1"/>
      <c r="G3239" s="1"/>
      <c r="H3239" s="1"/>
      <c r="I3239" s="1"/>
      <c r="J3239" s="1"/>
    </row>
    <row r="3240" ht="15.75" customHeight="1">
      <c r="A3240" s="1"/>
      <c r="B3240" s="1"/>
      <c r="C3240" s="1"/>
      <c r="D3240" s="1"/>
      <c r="E3240" s="1"/>
      <c r="F3240" s="1"/>
      <c r="G3240" s="1"/>
      <c r="H3240" s="1"/>
      <c r="I3240" s="1"/>
      <c r="J3240" s="1"/>
    </row>
    <row r="3241" ht="15.75" customHeight="1">
      <c r="A3241" s="1"/>
      <c r="B3241" s="1"/>
      <c r="C3241" s="1"/>
      <c r="D3241" s="1"/>
      <c r="E3241" s="1"/>
      <c r="F3241" s="1"/>
      <c r="G3241" s="1"/>
      <c r="H3241" s="1"/>
      <c r="I3241" s="1"/>
      <c r="J3241" s="1"/>
    </row>
    <row r="3242" ht="15.75" customHeight="1">
      <c r="A3242" s="1"/>
      <c r="B3242" s="1"/>
      <c r="C3242" s="1"/>
      <c r="D3242" s="1"/>
      <c r="E3242" s="1"/>
      <c r="F3242" s="1"/>
      <c r="G3242" s="1"/>
      <c r="H3242" s="1"/>
      <c r="I3242" s="1"/>
      <c r="J3242" s="1"/>
    </row>
    <row r="3243" ht="15.75" customHeight="1">
      <c r="A3243" s="1"/>
      <c r="B3243" s="1"/>
      <c r="C3243" s="1"/>
      <c r="D3243" s="1"/>
      <c r="E3243" s="1"/>
      <c r="F3243" s="1"/>
      <c r="G3243" s="1"/>
      <c r="H3243" s="1"/>
      <c r="I3243" s="1"/>
      <c r="J3243" s="1"/>
    </row>
    <row r="3244" ht="15.75" customHeight="1">
      <c r="A3244" s="1"/>
      <c r="B3244" s="1"/>
      <c r="C3244" s="1"/>
      <c r="D3244" s="1"/>
      <c r="E3244" s="1"/>
      <c r="F3244" s="1"/>
      <c r="G3244" s="1"/>
      <c r="H3244" s="1"/>
      <c r="I3244" s="1"/>
      <c r="J3244" s="1"/>
    </row>
    <row r="3245" ht="15.75" customHeight="1">
      <c r="A3245" s="1"/>
      <c r="B3245" s="1"/>
      <c r="C3245" s="1"/>
      <c r="D3245" s="1"/>
      <c r="E3245" s="1"/>
      <c r="F3245" s="1"/>
      <c r="G3245" s="1"/>
      <c r="H3245" s="1"/>
      <c r="I3245" s="1"/>
      <c r="J3245" s="1"/>
    </row>
    <row r="3246" ht="15.75" customHeight="1">
      <c r="A3246" s="1"/>
      <c r="B3246" s="1"/>
      <c r="C3246" s="1"/>
      <c r="D3246" s="1"/>
      <c r="E3246" s="1"/>
      <c r="F3246" s="1"/>
      <c r="G3246" s="1"/>
      <c r="H3246" s="1"/>
      <c r="I3246" s="1"/>
      <c r="J3246" s="1"/>
    </row>
    <row r="3247" ht="15.75" customHeight="1">
      <c r="A3247" s="1"/>
      <c r="B3247" s="1"/>
      <c r="C3247" s="1"/>
      <c r="D3247" s="1"/>
      <c r="E3247" s="1"/>
      <c r="F3247" s="1"/>
      <c r="G3247" s="1"/>
      <c r="H3247" s="1"/>
      <c r="I3247" s="1"/>
      <c r="J3247" s="1"/>
    </row>
    <row r="3248" ht="15.75" customHeight="1">
      <c r="A3248" s="1"/>
      <c r="B3248" s="1"/>
      <c r="C3248" s="1"/>
      <c r="D3248" s="1"/>
      <c r="E3248" s="1"/>
      <c r="F3248" s="1"/>
      <c r="G3248" s="1"/>
      <c r="H3248" s="1"/>
      <c r="I3248" s="1"/>
      <c r="J3248" s="1"/>
    </row>
    <row r="3249" ht="15.75" customHeight="1">
      <c r="A3249" s="1"/>
      <c r="B3249" s="1"/>
      <c r="C3249" s="1"/>
      <c r="D3249" s="1"/>
      <c r="E3249" s="1"/>
      <c r="F3249" s="1"/>
      <c r="G3249" s="1"/>
      <c r="H3249" s="1"/>
      <c r="I3249" s="1"/>
      <c r="J3249" s="1"/>
    </row>
    <row r="3250" ht="15.75" customHeight="1">
      <c r="A3250" s="1"/>
      <c r="B3250" s="1"/>
      <c r="C3250" s="1"/>
      <c r="D3250" s="1"/>
      <c r="E3250" s="1"/>
      <c r="F3250" s="1"/>
      <c r="G3250" s="1"/>
      <c r="H3250" s="1"/>
      <c r="I3250" s="1"/>
      <c r="J3250" s="1"/>
    </row>
    <row r="3251" ht="15.75" customHeight="1">
      <c r="A3251" s="1"/>
      <c r="B3251" s="1"/>
      <c r="C3251" s="1"/>
      <c r="D3251" s="1"/>
      <c r="E3251" s="1"/>
      <c r="F3251" s="1"/>
      <c r="G3251" s="1"/>
      <c r="H3251" s="1"/>
      <c r="I3251" s="1"/>
      <c r="J3251" s="1"/>
    </row>
    <row r="3252" ht="15.75" customHeight="1">
      <c r="A3252" s="1"/>
      <c r="B3252" s="1"/>
      <c r="C3252" s="1"/>
      <c r="D3252" s="1"/>
      <c r="E3252" s="1"/>
      <c r="F3252" s="1"/>
      <c r="G3252" s="1"/>
      <c r="H3252" s="1"/>
      <c r="I3252" s="1"/>
      <c r="J3252" s="1"/>
    </row>
    <row r="3253" ht="15.75" customHeight="1">
      <c r="A3253" s="1"/>
      <c r="B3253" s="1"/>
      <c r="C3253" s="1"/>
      <c r="D3253" s="1"/>
      <c r="E3253" s="1"/>
      <c r="F3253" s="1"/>
      <c r="G3253" s="1"/>
      <c r="H3253" s="1"/>
      <c r="I3253" s="1"/>
      <c r="J3253" s="1"/>
    </row>
    <row r="3254" ht="15.75" customHeight="1">
      <c r="A3254" s="1"/>
      <c r="B3254" s="1"/>
      <c r="C3254" s="1"/>
      <c r="D3254" s="1"/>
      <c r="E3254" s="1"/>
      <c r="F3254" s="1"/>
      <c r="G3254" s="1"/>
      <c r="H3254" s="1"/>
      <c r="I3254" s="1"/>
      <c r="J3254" s="1"/>
    </row>
    <row r="3255" ht="15.75" customHeight="1">
      <c r="A3255" s="1"/>
      <c r="B3255" s="1"/>
      <c r="C3255" s="1"/>
      <c r="D3255" s="1"/>
      <c r="E3255" s="1"/>
      <c r="F3255" s="1"/>
      <c r="G3255" s="1"/>
      <c r="H3255" s="1"/>
      <c r="I3255" s="1"/>
      <c r="J3255" s="1"/>
    </row>
    <row r="3256" ht="15.75" customHeight="1">
      <c r="A3256" s="1"/>
      <c r="B3256" s="1"/>
      <c r="C3256" s="1"/>
      <c r="D3256" s="1"/>
      <c r="E3256" s="1"/>
      <c r="F3256" s="1"/>
      <c r="G3256" s="1"/>
      <c r="H3256" s="1"/>
      <c r="I3256" s="1"/>
      <c r="J3256" s="1"/>
    </row>
    <row r="3257" ht="15.75" customHeight="1">
      <c r="A3257" s="1"/>
      <c r="B3257" s="1"/>
      <c r="C3257" s="1"/>
      <c r="D3257" s="1"/>
      <c r="E3257" s="1"/>
      <c r="F3257" s="1"/>
      <c r="G3257" s="1"/>
      <c r="H3257" s="1"/>
      <c r="I3257" s="1"/>
      <c r="J3257" s="1"/>
    </row>
    <row r="3258" ht="15.75" customHeight="1">
      <c r="A3258" s="1"/>
      <c r="B3258" s="1"/>
      <c r="C3258" s="1"/>
      <c r="D3258" s="1"/>
      <c r="E3258" s="1"/>
      <c r="F3258" s="1"/>
      <c r="G3258" s="1"/>
      <c r="H3258" s="1"/>
      <c r="I3258" s="1"/>
      <c r="J3258" s="1"/>
    </row>
    <row r="3259" ht="15.75" customHeight="1">
      <c r="A3259" s="1"/>
      <c r="B3259" s="1"/>
      <c r="C3259" s="1"/>
      <c r="D3259" s="1"/>
      <c r="E3259" s="1"/>
      <c r="F3259" s="1"/>
      <c r="G3259" s="1"/>
      <c r="H3259" s="1"/>
      <c r="I3259" s="1"/>
      <c r="J3259" s="1"/>
    </row>
    <row r="3260" ht="15.75" customHeight="1">
      <c r="A3260" s="1"/>
      <c r="B3260" s="1"/>
      <c r="C3260" s="1"/>
      <c r="D3260" s="1"/>
      <c r="E3260" s="1"/>
      <c r="F3260" s="1"/>
      <c r="G3260" s="1"/>
      <c r="H3260" s="1"/>
      <c r="I3260" s="1"/>
      <c r="J3260" s="1"/>
    </row>
    <row r="3261" ht="15.75" customHeight="1">
      <c r="A3261" s="1"/>
      <c r="B3261" s="1"/>
      <c r="C3261" s="1"/>
      <c r="D3261" s="1"/>
      <c r="E3261" s="1"/>
      <c r="F3261" s="1"/>
      <c r="G3261" s="1"/>
      <c r="H3261" s="1"/>
      <c r="I3261" s="1"/>
      <c r="J3261" s="1"/>
    </row>
    <row r="3262" ht="15.75" customHeight="1">
      <c r="A3262" s="1"/>
      <c r="B3262" s="1"/>
      <c r="C3262" s="1"/>
      <c r="D3262" s="1"/>
      <c r="E3262" s="1"/>
      <c r="F3262" s="1"/>
      <c r="G3262" s="1"/>
      <c r="H3262" s="1"/>
      <c r="I3262" s="1"/>
      <c r="J3262" s="1"/>
    </row>
    <row r="3263" ht="15.75" customHeight="1">
      <c r="A3263" s="1"/>
      <c r="B3263" s="1"/>
      <c r="C3263" s="1"/>
      <c r="D3263" s="1"/>
      <c r="E3263" s="1"/>
      <c r="F3263" s="1"/>
      <c r="G3263" s="1"/>
      <c r="H3263" s="1"/>
      <c r="I3263" s="1"/>
      <c r="J3263" s="1"/>
    </row>
    <row r="3264" ht="15.75" customHeight="1">
      <c r="A3264" s="1"/>
      <c r="B3264" s="1"/>
      <c r="C3264" s="1"/>
      <c r="D3264" s="1"/>
      <c r="E3264" s="1"/>
      <c r="F3264" s="1"/>
      <c r="G3264" s="1"/>
      <c r="H3264" s="1"/>
      <c r="I3264" s="1"/>
      <c r="J3264" s="1"/>
    </row>
    <row r="3265" ht="15.75" customHeight="1">
      <c r="A3265" s="1"/>
      <c r="B3265" s="1"/>
      <c r="C3265" s="1"/>
      <c r="D3265" s="1"/>
      <c r="E3265" s="1"/>
      <c r="F3265" s="1"/>
      <c r="G3265" s="1"/>
      <c r="H3265" s="1"/>
      <c r="I3265" s="1"/>
      <c r="J3265" s="1"/>
    </row>
    <row r="3266" ht="15.75" customHeight="1">
      <c r="A3266" s="1"/>
      <c r="B3266" s="1"/>
      <c r="C3266" s="1"/>
      <c r="D3266" s="1"/>
      <c r="E3266" s="1"/>
      <c r="F3266" s="1"/>
      <c r="G3266" s="1"/>
      <c r="H3266" s="1"/>
      <c r="I3266" s="1"/>
      <c r="J3266" s="1"/>
    </row>
    <row r="3267" ht="15.75" customHeight="1">
      <c r="A3267" s="1"/>
      <c r="B3267" s="1"/>
      <c r="C3267" s="1"/>
      <c r="D3267" s="1"/>
      <c r="E3267" s="1"/>
      <c r="F3267" s="1"/>
      <c r="G3267" s="1"/>
      <c r="H3267" s="1"/>
      <c r="I3267" s="1"/>
      <c r="J3267" s="1"/>
    </row>
    <row r="3268" ht="15.75" customHeight="1">
      <c r="A3268" s="1"/>
      <c r="B3268" s="1"/>
      <c r="C3268" s="1"/>
      <c r="D3268" s="1"/>
      <c r="E3268" s="1"/>
      <c r="F3268" s="1"/>
      <c r="G3268" s="1"/>
      <c r="H3268" s="1"/>
      <c r="I3268" s="1"/>
      <c r="J3268" s="1"/>
    </row>
    <row r="3269" ht="15.75" customHeight="1">
      <c r="A3269" s="1"/>
      <c r="B3269" s="1"/>
      <c r="C3269" s="1"/>
      <c r="D3269" s="1"/>
      <c r="E3269" s="1"/>
      <c r="F3269" s="1"/>
      <c r="G3269" s="1"/>
      <c r="H3269" s="1"/>
      <c r="I3269" s="1"/>
      <c r="J3269" s="1"/>
    </row>
    <row r="3270" ht="15.75" customHeight="1">
      <c r="A3270" s="1"/>
      <c r="B3270" s="1"/>
      <c r="C3270" s="1"/>
      <c r="D3270" s="1"/>
      <c r="E3270" s="1"/>
      <c r="F3270" s="1"/>
      <c r="G3270" s="1"/>
      <c r="H3270" s="1"/>
      <c r="I3270" s="1"/>
      <c r="J3270" s="1"/>
    </row>
    <row r="3271" ht="15.75" customHeight="1">
      <c r="A3271" s="1"/>
      <c r="B3271" s="1"/>
      <c r="C3271" s="1"/>
      <c r="D3271" s="1"/>
      <c r="E3271" s="1"/>
      <c r="F3271" s="1"/>
      <c r="G3271" s="1"/>
      <c r="H3271" s="1"/>
      <c r="I3271" s="1"/>
      <c r="J3271" s="1"/>
    </row>
    <row r="3272" ht="15.75" customHeight="1">
      <c r="A3272" s="1"/>
      <c r="B3272" s="1"/>
      <c r="C3272" s="1"/>
      <c r="D3272" s="1"/>
      <c r="E3272" s="1"/>
      <c r="F3272" s="1"/>
      <c r="G3272" s="1"/>
      <c r="H3272" s="1"/>
      <c r="I3272" s="1"/>
      <c r="J3272" s="1"/>
    </row>
    <row r="3273" ht="15.75" customHeight="1">
      <c r="A3273" s="1"/>
      <c r="B3273" s="1"/>
      <c r="C3273" s="1"/>
      <c r="D3273" s="1"/>
      <c r="E3273" s="1"/>
      <c r="F3273" s="1"/>
      <c r="G3273" s="1"/>
      <c r="H3273" s="1"/>
      <c r="I3273" s="1"/>
      <c r="J3273" s="1"/>
    </row>
    <row r="3274" ht="15.75" customHeight="1">
      <c r="A3274" s="1"/>
      <c r="B3274" s="1"/>
      <c r="C3274" s="1"/>
      <c r="D3274" s="1"/>
      <c r="E3274" s="1"/>
      <c r="F3274" s="1"/>
      <c r="G3274" s="1"/>
      <c r="H3274" s="1"/>
      <c r="I3274" s="1"/>
      <c r="J3274" s="1"/>
    </row>
    <row r="3275" ht="15.75" customHeight="1">
      <c r="A3275" s="1"/>
      <c r="B3275" s="1"/>
      <c r="C3275" s="1"/>
      <c r="D3275" s="1"/>
      <c r="E3275" s="1"/>
      <c r="F3275" s="1"/>
      <c r="G3275" s="1"/>
      <c r="H3275" s="1"/>
      <c r="I3275" s="1"/>
      <c r="J3275" s="1"/>
    </row>
    <row r="3276" ht="15.75" customHeight="1">
      <c r="A3276" s="1"/>
      <c r="B3276" s="1"/>
      <c r="C3276" s="1"/>
      <c r="D3276" s="1"/>
      <c r="E3276" s="1"/>
      <c r="F3276" s="1"/>
      <c r="G3276" s="1"/>
      <c r="H3276" s="1"/>
      <c r="I3276" s="1"/>
      <c r="J3276" s="1"/>
    </row>
    <row r="3277" ht="15.75" customHeight="1">
      <c r="A3277" s="1"/>
      <c r="B3277" s="1"/>
      <c r="C3277" s="1"/>
      <c r="D3277" s="1"/>
      <c r="E3277" s="1"/>
      <c r="F3277" s="1"/>
      <c r="G3277" s="1"/>
      <c r="H3277" s="1"/>
      <c r="I3277" s="1"/>
      <c r="J3277" s="1"/>
    </row>
    <row r="3278" ht="15.75" customHeight="1">
      <c r="A3278" s="1"/>
      <c r="B3278" s="1"/>
      <c r="C3278" s="1"/>
      <c r="D3278" s="1"/>
      <c r="E3278" s="1"/>
      <c r="F3278" s="1"/>
      <c r="G3278" s="1"/>
      <c r="H3278" s="1"/>
      <c r="I3278" s="1"/>
      <c r="J3278" s="1"/>
    </row>
    <row r="3279" ht="15.75" customHeight="1">
      <c r="A3279" s="1"/>
      <c r="B3279" s="1"/>
      <c r="C3279" s="1"/>
      <c r="D3279" s="1"/>
      <c r="E3279" s="1"/>
      <c r="F3279" s="1"/>
      <c r="G3279" s="1"/>
      <c r="H3279" s="1"/>
      <c r="I3279" s="1"/>
      <c r="J3279" s="1"/>
    </row>
    <row r="3280" ht="15.75" customHeight="1">
      <c r="A3280" s="1"/>
      <c r="B3280" s="1"/>
      <c r="C3280" s="1"/>
      <c r="D3280" s="1"/>
      <c r="E3280" s="1"/>
      <c r="F3280" s="1"/>
      <c r="G3280" s="1"/>
      <c r="H3280" s="1"/>
      <c r="I3280" s="1"/>
      <c r="J3280" s="1"/>
    </row>
    <row r="3281" ht="15.75" customHeight="1">
      <c r="A3281" s="1"/>
      <c r="B3281" s="1"/>
      <c r="C3281" s="1"/>
      <c r="D3281" s="1"/>
      <c r="E3281" s="1"/>
      <c r="F3281" s="1"/>
      <c r="G3281" s="1"/>
      <c r="H3281" s="1"/>
      <c r="I3281" s="1"/>
      <c r="J3281" s="1"/>
    </row>
    <row r="3282" ht="15.75" customHeight="1">
      <c r="A3282" s="1"/>
      <c r="B3282" s="1"/>
      <c r="C3282" s="1"/>
      <c r="D3282" s="1"/>
      <c r="E3282" s="1"/>
      <c r="F3282" s="1"/>
      <c r="G3282" s="1"/>
      <c r="H3282" s="1"/>
      <c r="I3282" s="1"/>
      <c r="J3282" s="1"/>
    </row>
    <row r="3283" ht="15.75" customHeight="1">
      <c r="A3283" s="1"/>
      <c r="B3283" s="1"/>
      <c r="C3283" s="1"/>
      <c r="D3283" s="1"/>
      <c r="E3283" s="1"/>
      <c r="F3283" s="1"/>
      <c r="G3283" s="1"/>
      <c r="H3283" s="1"/>
      <c r="I3283" s="1"/>
      <c r="J3283" s="1"/>
    </row>
    <row r="3284" ht="15.75" customHeight="1">
      <c r="A3284" s="1"/>
      <c r="B3284" s="1"/>
      <c r="C3284" s="1"/>
      <c r="D3284" s="1"/>
      <c r="E3284" s="1"/>
      <c r="F3284" s="1"/>
      <c r="G3284" s="1"/>
      <c r="H3284" s="1"/>
      <c r="I3284" s="1"/>
      <c r="J3284" s="1"/>
    </row>
    <row r="3285" ht="15.75" customHeight="1">
      <c r="A3285" s="1"/>
      <c r="B3285" s="1"/>
      <c r="C3285" s="1"/>
      <c r="D3285" s="1"/>
      <c r="E3285" s="1"/>
      <c r="F3285" s="1"/>
      <c r="G3285" s="1"/>
      <c r="H3285" s="1"/>
      <c r="I3285" s="1"/>
      <c r="J3285" s="1"/>
    </row>
    <row r="3286" ht="15.75" customHeight="1">
      <c r="A3286" s="1"/>
      <c r="B3286" s="1"/>
      <c r="C3286" s="1"/>
      <c r="D3286" s="1"/>
      <c r="E3286" s="1"/>
      <c r="F3286" s="1"/>
      <c r="G3286" s="1"/>
      <c r="H3286" s="1"/>
      <c r="I3286" s="1"/>
      <c r="J3286" s="1"/>
    </row>
    <row r="3287" ht="15.75" customHeight="1">
      <c r="A3287" s="1"/>
      <c r="B3287" s="1"/>
      <c r="C3287" s="1"/>
      <c r="D3287" s="1"/>
      <c r="E3287" s="1"/>
      <c r="F3287" s="1"/>
      <c r="G3287" s="1"/>
      <c r="H3287" s="1"/>
      <c r="I3287" s="1"/>
      <c r="J3287" s="1"/>
    </row>
    <row r="3288" ht="15.75" customHeight="1">
      <c r="A3288" s="1"/>
      <c r="B3288" s="1"/>
      <c r="C3288" s="1"/>
      <c r="D3288" s="1"/>
      <c r="E3288" s="1"/>
      <c r="F3288" s="1"/>
      <c r="G3288" s="1"/>
      <c r="H3288" s="1"/>
      <c r="I3288" s="1"/>
      <c r="J3288" s="1"/>
    </row>
    <row r="3289" ht="15.75" customHeight="1">
      <c r="A3289" s="1"/>
      <c r="B3289" s="1"/>
      <c r="C3289" s="1"/>
      <c r="D3289" s="1"/>
      <c r="E3289" s="1"/>
      <c r="F3289" s="1"/>
      <c r="G3289" s="1"/>
      <c r="H3289" s="1"/>
      <c r="I3289" s="1"/>
      <c r="J3289" s="1"/>
    </row>
    <row r="3290" ht="15.75" customHeight="1">
      <c r="A3290" s="1"/>
      <c r="B3290" s="1"/>
      <c r="C3290" s="1"/>
      <c r="D3290" s="1"/>
      <c r="E3290" s="1"/>
      <c r="F3290" s="1"/>
      <c r="G3290" s="1"/>
      <c r="H3290" s="1"/>
      <c r="I3290" s="1"/>
      <c r="J3290" s="1"/>
    </row>
    <row r="3291" ht="15.75" customHeight="1">
      <c r="A3291" s="1"/>
      <c r="B3291" s="1"/>
      <c r="C3291" s="1"/>
      <c r="D3291" s="1"/>
      <c r="E3291" s="1"/>
      <c r="F3291" s="1"/>
      <c r="G3291" s="1"/>
      <c r="H3291" s="1"/>
      <c r="I3291" s="1"/>
      <c r="J3291" s="1"/>
    </row>
    <row r="3292" ht="15.75" customHeight="1">
      <c r="A3292" s="1"/>
      <c r="B3292" s="1"/>
      <c r="C3292" s="1"/>
      <c r="D3292" s="1"/>
      <c r="E3292" s="1"/>
      <c r="F3292" s="1"/>
      <c r="G3292" s="1"/>
      <c r="H3292" s="1"/>
      <c r="I3292" s="1"/>
      <c r="J3292" s="1"/>
    </row>
    <row r="3293" ht="15.75" customHeight="1">
      <c r="A3293" s="1"/>
      <c r="B3293" s="1"/>
      <c r="C3293" s="1"/>
      <c r="D3293" s="1"/>
      <c r="E3293" s="1"/>
      <c r="F3293" s="1"/>
      <c r="G3293" s="1"/>
      <c r="H3293" s="1"/>
      <c r="I3293" s="1"/>
      <c r="J3293" s="1"/>
    </row>
    <row r="3294" ht="15.75" customHeight="1">
      <c r="A3294" s="1"/>
      <c r="B3294" s="1"/>
      <c r="C3294" s="1"/>
      <c r="D3294" s="1"/>
      <c r="E3294" s="1"/>
      <c r="F3294" s="1"/>
      <c r="G3294" s="1"/>
      <c r="H3294" s="1"/>
      <c r="I3294" s="1"/>
      <c r="J3294" s="1"/>
    </row>
    <row r="3295" ht="15.75" customHeight="1">
      <c r="A3295" s="1"/>
      <c r="B3295" s="1"/>
      <c r="C3295" s="1"/>
      <c r="D3295" s="1"/>
      <c r="E3295" s="1"/>
      <c r="F3295" s="1"/>
      <c r="G3295" s="1"/>
      <c r="H3295" s="1"/>
      <c r="I3295" s="1"/>
      <c r="J3295" s="1"/>
    </row>
    <row r="3296" ht="15.75" customHeight="1">
      <c r="A3296" s="1"/>
      <c r="B3296" s="1"/>
      <c r="C3296" s="1"/>
      <c r="D3296" s="1"/>
      <c r="E3296" s="1"/>
      <c r="F3296" s="1"/>
      <c r="G3296" s="1"/>
      <c r="H3296" s="1"/>
      <c r="I3296" s="1"/>
      <c r="J3296" s="1"/>
    </row>
    <row r="3297" ht="15.75" customHeight="1">
      <c r="A3297" s="1"/>
      <c r="B3297" s="1"/>
      <c r="C3297" s="1"/>
      <c r="D3297" s="1"/>
      <c r="E3297" s="1"/>
      <c r="F3297" s="1"/>
      <c r="G3297" s="1"/>
      <c r="H3297" s="1"/>
      <c r="I3297" s="1"/>
      <c r="J3297" s="1"/>
    </row>
    <row r="3298" ht="15.75" customHeight="1">
      <c r="A3298" s="1"/>
      <c r="B3298" s="1"/>
      <c r="C3298" s="1"/>
      <c r="D3298" s="1"/>
      <c r="E3298" s="1"/>
      <c r="F3298" s="1"/>
      <c r="G3298" s="1"/>
      <c r="H3298" s="1"/>
      <c r="I3298" s="1"/>
      <c r="J3298" s="1"/>
    </row>
    <row r="3299" ht="15.75" customHeight="1">
      <c r="A3299" s="1"/>
      <c r="B3299" s="1"/>
      <c r="C3299" s="1"/>
      <c r="D3299" s="1"/>
      <c r="E3299" s="1"/>
      <c r="F3299" s="1"/>
      <c r="G3299" s="1"/>
      <c r="H3299" s="1"/>
      <c r="I3299" s="1"/>
      <c r="J3299" s="1"/>
    </row>
    <row r="3300" ht="15.75" customHeight="1">
      <c r="A3300" s="1"/>
      <c r="B3300" s="1"/>
      <c r="C3300" s="1"/>
      <c r="D3300" s="1"/>
      <c r="E3300" s="1"/>
      <c r="F3300" s="1"/>
      <c r="G3300" s="1"/>
      <c r="H3300" s="1"/>
      <c r="I3300" s="1"/>
      <c r="J3300" s="1"/>
    </row>
    <row r="3301" ht="15.75" customHeight="1">
      <c r="A3301" s="1"/>
      <c r="B3301" s="1"/>
      <c r="C3301" s="1"/>
      <c r="D3301" s="1"/>
      <c r="E3301" s="1"/>
      <c r="F3301" s="1"/>
      <c r="G3301" s="1"/>
      <c r="H3301" s="1"/>
      <c r="I3301" s="1"/>
      <c r="J3301" s="1"/>
    </row>
    <row r="3302" ht="15.75" customHeight="1">
      <c r="A3302" s="1"/>
      <c r="B3302" s="1"/>
      <c r="C3302" s="1"/>
      <c r="D3302" s="1"/>
      <c r="E3302" s="1"/>
      <c r="F3302" s="1"/>
      <c r="G3302" s="1"/>
      <c r="H3302" s="1"/>
      <c r="I3302" s="1"/>
      <c r="J3302" s="1"/>
    </row>
    <row r="3303" ht="15.75" customHeight="1">
      <c r="A3303" s="1"/>
      <c r="B3303" s="1"/>
      <c r="C3303" s="1"/>
      <c r="D3303" s="1"/>
      <c r="E3303" s="1"/>
      <c r="F3303" s="1"/>
      <c r="G3303" s="1"/>
      <c r="H3303" s="1"/>
      <c r="I3303" s="1"/>
      <c r="J3303" s="1"/>
    </row>
    <row r="3304" ht="15.75" customHeight="1">
      <c r="A3304" s="1"/>
      <c r="B3304" s="1"/>
      <c r="C3304" s="1"/>
      <c r="D3304" s="1"/>
      <c r="E3304" s="1"/>
      <c r="F3304" s="1"/>
      <c r="G3304" s="1"/>
      <c r="H3304" s="1"/>
      <c r="I3304" s="1"/>
      <c r="J3304" s="1"/>
    </row>
    <row r="3305" ht="15.75" customHeight="1">
      <c r="A3305" s="1"/>
      <c r="B3305" s="1"/>
      <c r="C3305" s="1"/>
      <c r="D3305" s="1"/>
      <c r="E3305" s="1"/>
      <c r="F3305" s="1"/>
      <c r="G3305" s="1"/>
      <c r="H3305" s="1"/>
      <c r="I3305" s="1"/>
      <c r="J3305" s="1"/>
    </row>
    <row r="3306" ht="15.75" customHeight="1">
      <c r="A3306" s="1"/>
      <c r="B3306" s="1"/>
      <c r="C3306" s="1"/>
      <c r="D3306" s="1"/>
      <c r="E3306" s="1"/>
      <c r="F3306" s="1"/>
      <c r="G3306" s="1"/>
      <c r="H3306" s="1"/>
      <c r="I3306" s="1"/>
      <c r="J3306" s="1"/>
    </row>
    <row r="3307" ht="15.75" customHeight="1">
      <c r="A3307" s="1"/>
      <c r="B3307" s="1"/>
      <c r="C3307" s="1"/>
      <c r="D3307" s="1"/>
      <c r="E3307" s="1"/>
      <c r="F3307" s="1"/>
      <c r="G3307" s="1"/>
      <c r="H3307" s="1"/>
      <c r="I3307" s="1"/>
      <c r="J3307" s="1"/>
    </row>
    <row r="3308" ht="15.75" customHeight="1">
      <c r="A3308" s="1"/>
      <c r="B3308" s="1"/>
      <c r="C3308" s="1"/>
      <c r="D3308" s="1"/>
      <c r="E3308" s="1"/>
      <c r="F3308" s="1"/>
      <c r="G3308" s="1"/>
      <c r="H3308" s="1"/>
      <c r="I3308" s="1"/>
      <c r="J3308" s="1"/>
    </row>
    <row r="3309" ht="15.75" customHeight="1">
      <c r="A3309" s="1"/>
      <c r="B3309" s="1"/>
      <c r="C3309" s="1"/>
      <c r="D3309" s="1"/>
      <c r="E3309" s="1"/>
      <c r="F3309" s="1"/>
      <c r="G3309" s="1"/>
      <c r="H3309" s="1"/>
      <c r="I3309" s="1"/>
      <c r="J3309" s="1"/>
    </row>
    <row r="3310" ht="15.75" customHeight="1">
      <c r="A3310" s="1"/>
      <c r="B3310" s="1"/>
      <c r="C3310" s="1"/>
      <c r="D3310" s="1"/>
      <c r="E3310" s="1"/>
      <c r="F3310" s="1"/>
      <c r="G3310" s="1"/>
      <c r="H3310" s="1"/>
      <c r="I3310" s="1"/>
      <c r="J3310" s="1"/>
    </row>
    <row r="3311" ht="15.75" customHeight="1">
      <c r="A3311" s="1"/>
      <c r="B3311" s="1"/>
      <c r="C3311" s="1"/>
      <c r="D3311" s="1"/>
      <c r="E3311" s="1"/>
      <c r="F3311" s="1"/>
      <c r="G3311" s="1"/>
      <c r="H3311" s="1"/>
      <c r="I3311" s="1"/>
      <c r="J3311" s="1"/>
    </row>
    <row r="3312" ht="15.75" customHeight="1">
      <c r="A3312" s="1"/>
      <c r="B3312" s="1"/>
      <c r="C3312" s="1"/>
      <c r="D3312" s="1"/>
      <c r="E3312" s="1"/>
      <c r="F3312" s="1"/>
      <c r="G3312" s="1"/>
      <c r="H3312" s="1"/>
      <c r="I3312" s="1"/>
      <c r="J3312" s="1"/>
    </row>
    <row r="3313" ht="15.75" customHeight="1">
      <c r="A3313" s="1"/>
      <c r="B3313" s="1"/>
      <c r="C3313" s="1"/>
      <c r="D3313" s="1"/>
      <c r="E3313" s="1"/>
      <c r="F3313" s="1"/>
      <c r="G3313" s="1"/>
      <c r="H3313" s="1"/>
      <c r="I3313" s="1"/>
      <c r="J3313" s="1"/>
    </row>
    <row r="3314" ht="15.75" customHeight="1">
      <c r="A3314" s="1"/>
      <c r="B3314" s="1"/>
      <c r="C3314" s="1"/>
      <c r="D3314" s="1"/>
      <c r="E3314" s="1"/>
      <c r="F3314" s="1"/>
      <c r="G3314" s="1"/>
      <c r="H3314" s="1"/>
      <c r="I3314" s="1"/>
      <c r="J3314" s="1"/>
    </row>
    <row r="3315" ht="15.75" customHeight="1">
      <c r="A3315" s="1"/>
      <c r="B3315" s="1"/>
      <c r="C3315" s="1"/>
      <c r="D3315" s="1"/>
      <c r="E3315" s="1"/>
      <c r="F3315" s="1"/>
      <c r="G3315" s="1"/>
      <c r="H3315" s="1"/>
      <c r="I3315" s="1"/>
      <c r="J3315" s="1"/>
    </row>
    <row r="3316" ht="15.75" customHeight="1">
      <c r="A3316" s="1"/>
      <c r="B3316" s="1"/>
      <c r="C3316" s="1"/>
      <c r="D3316" s="1"/>
      <c r="E3316" s="1"/>
      <c r="F3316" s="1"/>
      <c r="G3316" s="1"/>
      <c r="H3316" s="1"/>
      <c r="I3316" s="1"/>
      <c r="J3316" s="1"/>
    </row>
    <row r="3317" ht="15.75" customHeight="1">
      <c r="A3317" s="1"/>
      <c r="B3317" s="1"/>
      <c r="C3317" s="1"/>
      <c r="D3317" s="1"/>
      <c r="E3317" s="1"/>
      <c r="F3317" s="1"/>
      <c r="G3317" s="1"/>
      <c r="H3317" s="1"/>
      <c r="I3317" s="1"/>
      <c r="J3317" s="1"/>
    </row>
    <row r="3318" ht="15.75" customHeight="1">
      <c r="A3318" s="1"/>
      <c r="B3318" s="1"/>
      <c r="C3318" s="1"/>
      <c r="D3318" s="1"/>
      <c r="E3318" s="1"/>
      <c r="F3318" s="1"/>
      <c r="G3318" s="1"/>
      <c r="H3318" s="1"/>
      <c r="I3318" s="1"/>
      <c r="J3318" s="1"/>
    </row>
    <row r="3319" ht="15.75" customHeight="1">
      <c r="A3319" s="1"/>
      <c r="B3319" s="1"/>
      <c r="C3319" s="1"/>
      <c r="D3319" s="1"/>
      <c r="E3319" s="1"/>
      <c r="F3319" s="1"/>
      <c r="G3319" s="1"/>
      <c r="H3319" s="1"/>
      <c r="I3319" s="1"/>
      <c r="J3319" s="1"/>
    </row>
    <row r="3320" ht="15.75" customHeight="1">
      <c r="A3320" s="1"/>
      <c r="B3320" s="1"/>
      <c r="C3320" s="1"/>
      <c r="D3320" s="1"/>
      <c r="E3320" s="1"/>
      <c r="F3320" s="1"/>
      <c r="G3320" s="1"/>
      <c r="H3320" s="1"/>
      <c r="I3320" s="1"/>
      <c r="J3320" s="1"/>
    </row>
    <row r="3321" ht="15.75" customHeight="1">
      <c r="A3321" s="1"/>
      <c r="B3321" s="1"/>
      <c r="C3321" s="1"/>
      <c r="D3321" s="1"/>
      <c r="E3321" s="1"/>
      <c r="F3321" s="1"/>
      <c r="G3321" s="1"/>
      <c r="H3321" s="1"/>
      <c r="I3321" s="1"/>
      <c r="J3321" s="1"/>
    </row>
    <row r="3322" ht="15.75" customHeight="1">
      <c r="A3322" s="1"/>
      <c r="B3322" s="1"/>
      <c r="C3322" s="1"/>
      <c r="D3322" s="1"/>
      <c r="E3322" s="1"/>
      <c r="F3322" s="1"/>
      <c r="G3322" s="1"/>
      <c r="H3322" s="1"/>
      <c r="I3322" s="1"/>
      <c r="J3322" s="1"/>
    </row>
    <row r="3323" ht="15.75" customHeight="1">
      <c r="A3323" s="1"/>
      <c r="B3323" s="1"/>
      <c r="C3323" s="1"/>
      <c r="D3323" s="1"/>
      <c r="E3323" s="1"/>
      <c r="F3323" s="1"/>
      <c r="G3323" s="1"/>
      <c r="H3323" s="1"/>
      <c r="I3323" s="1"/>
      <c r="J3323" s="1"/>
    </row>
    <row r="3324" ht="15.75" customHeight="1">
      <c r="A3324" s="1"/>
      <c r="B3324" s="1"/>
      <c r="C3324" s="1"/>
      <c r="D3324" s="1"/>
      <c r="E3324" s="1"/>
      <c r="F3324" s="1"/>
      <c r="G3324" s="1"/>
      <c r="H3324" s="1"/>
      <c r="I3324" s="1"/>
      <c r="J3324" s="1"/>
    </row>
    <row r="3325" ht="15.75" customHeight="1">
      <c r="A3325" s="1"/>
      <c r="B3325" s="1"/>
      <c r="C3325" s="1"/>
      <c r="D3325" s="1"/>
      <c r="E3325" s="1"/>
      <c r="F3325" s="1"/>
      <c r="G3325" s="1"/>
      <c r="H3325" s="1"/>
      <c r="I3325" s="1"/>
      <c r="J3325" s="1"/>
    </row>
    <row r="3326" ht="15.75" customHeight="1">
      <c r="A3326" s="1"/>
      <c r="B3326" s="1"/>
      <c r="C3326" s="1"/>
      <c r="D3326" s="1"/>
      <c r="E3326" s="1"/>
      <c r="F3326" s="1"/>
      <c r="G3326" s="1"/>
      <c r="H3326" s="1"/>
      <c r="I3326" s="1"/>
      <c r="J3326" s="1"/>
    </row>
    <row r="3327" ht="15.75" customHeight="1">
      <c r="A3327" s="1"/>
      <c r="B3327" s="1"/>
      <c r="C3327" s="1"/>
      <c r="D3327" s="1"/>
      <c r="E3327" s="1"/>
      <c r="F3327" s="1"/>
      <c r="G3327" s="1"/>
      <c r="H3327" s="1"/>
      <c r="I3327" s="1"/>
      <c r="J3327" s="1"/>
    </row>
    <row r="3328" ht="15.75" customHeight="1">
      <c r="A3328" s="1"/>
      <c r="B3328" s="1"/>
      <c r="C3328" s="1"/>
      <c r="D3328" s="1"/>
      <c r="E3328" s="1"/>
      <c r="F3328" s="1"/>
      <c r="G3328" s="1"/>
      <c r="H3328" s="1"/>
      <c r="I3328" s="1"/>
      <c r="J3328" s="1"/>
    </row>
    <row r="3329" ht="15.75" customHeight="1">
      <c r="A3329" s="1"/>
      <c r="B3329" s="1"/>
      <c r="C3329" s="1"/>
      <c r="D3329" s="1"/>
      <c r="E3329" s="1"/>
      <c r="F3329" s="1"/>
      <c r="G3329" s="1"/>
      <c r="H3329" s="1"/>
      <c r="I3329" s="1"/>
      <c r="J3329" s="1"/>
    </row>
    <row r="3330" ht="15.75" customHeight="1">
      <c r="A3330" s="1"/>
      <c r="B3330" s="1"/>
      <c r="C3330" s="1"/>
      <c r="D3330" s="1"/>
      <c r="E3330" s="1"/>
      <c r="F3330" s="1"/>
      <c r="G3330" s="1"/>
      <c r="H3330" s="1"/>
      <c r="I3330" s="1"/>
      <c r="J3330" s="1"/>
    </row>
    <row r="3331" ht="15.75" customHeight="1">
      <c r="A3331" s="1"/>
      <c r="B3331" s="1"/>
      <c r="C3331" s="1"/>
      <c r="D3331" s="1"/>
      <c r="E3331" s="1"/>
      <c r="F3331" s="1"/>
      <c r="G3331" s="1"/>
      <c r="H3331" s="1"/>
      <c r="I3331" s="1"/>
      <c r="J3331" s="1"/>
    </row>
    <row r="3332" ht="15.75" customHeight="1">
      <c r="A3332" s="1"/>
      <c r="B3332" s="1"/>
      <c r="C3332" s="1"/>
      <c r="D3332" s="1"/>
      <c r="E3332" s="1"/>
      <c r="F3332" s="1"/>
      <c r="G3332" s="1"/>
      <c r="H3332" s="1"/>
      <c r="I3332" s="1"/>
      <c r="J3332" s="1"/>
    </row>
    <row r="3333" ht="15.75" customHeight="1">
      <c r="A3333" s="1"/>
      <c r="B3333" s="1"/>
      <c r="C3333" s="1"/>
      <c r="D3333" s="1"/>
      <c r="E3333" s="1"/>
      <c r="F3333" s="1"/>
      <c r="G3333" s="1"/>
      <c r="H3333" s="1"/>
      <c r="I3333" s="1"/>
      <c r="J3333" s="1"/>
    </row>
    <row r="3334" ht="15.75" customHeight="1">
      <c r="A3334" s="1"/>
      <c r="B3334" s="1"/>
      <c r="C3334" s="1"/>
      <c r="D3334" s="1"/>
      <c r="E3334" s="1"/>
      <c r="F3334" s="1"/>
      <c r="G3334" s="1"/>
      <c r="H3334" s="1"/>
      <c r="I3334" s="1"/>
      <c r="J3334" s="1"/>
    </row>
    <row r="3335" ht="15.75" customHeight="1">
      <c r="A3335" s="1"/>
      <c r="B3335" s="1"/>
      <c r="C3335" s="1"/>
      <c r="D3335" s="1"/>
      <c r="E3335" s="1"/>
      <c r="F3335" s="1"/>
      <c r="G3335" s="1"/>
      <c r="H3335" s="1"/>
      <c r="I3335" s="1"/>
      <c r="J3335" s="1"/>
    </row>
    <row r="3336" ht="15.75" customHeight="1">
      <c r="A3336" s="1"/>
      <c r="B3336" s="1"/>
      <c r="C3336" s="1"/>
      <c r="D3336" s="1"/>
      <c r="E3336" s="1"/>
      <c r="F3336" s="1"/>
      <c r="G3336" s="1"/>
      <c r="H3336" s="1"/>
      <c r="I3336" s="1"/>
      <c r="J3336" s="1"/>
    </row>
    <row r="3337" ht="15.75" customHeight="1">
      <c r="A3337" s="1"/>
      <c r="B3337" s="1"/>
      <c r="C3337" s="1"/>
      <c r="D3337" s="1"/>
      <c r="E3337" s="1"/>
      <c r="F3337" s="1"/>
      <c r="G3337" s="1"/>
      <c r="H3337" s="1"/>
      <c r="I3337" s="1"/>
      <c r="J3337" s="1"/>
    </row>
    <row r="3338" ht="15.75" customHeight="1">
      <c r="A3338" s="1"/>
      <c r="B3338" s="1"/>
      <c r="C3338" s="1"/>
      <c r="D3338" s="1"/>
      <c r="E3338" s="1"/>
      <c r="F3338" s="1"/>
      <c r="G3338" s="1"/>
      <c r="H3338" s="1"/>
      <c r="I3338" s="1"/>
      <c r="J3338" s="1"/>
    </row>
    <row r="3339" ht="15.75" customHeight="1">
      <c r="A3339" s="1"/>
      <c r="B3339" s="1"/>
      <c r="C3339" s="1"/>
      <c r="D3339" s="1"/>
      <c r="E3339" s="1"/>
      <c r="F3339" s="1"/>
      <c r="G3339" s="1"/>
      <c r="H3339" s="1"/>
      <c r="I3339" s="1"/>
      <c r="J3339" s="1"/>
    </row>
    <row r="3340" ht="15.75" customHeight="1">
      <c r="A3340" s="1"/>
      <c r="B3340" s="1"/>
      <c r="C3340" s="1"/>
      <c r="D3340" s="1"/>
      <c r="E3340" s="1"/>
      <c r="F3340" s="1"/>
      <c r="G3340" s="1"/>
      <c r="H3340" s="1"/>
      <c r="I3340" s="1"/>
      <c r="J3340" s="1"/>
    </row>
    <row r="3341" ht="15.75" customHeight="1">
      <c r="A3341" s="1"/>
      <c r="B3341" s="1"/>
      <c r="C3341" s="1"/>
      <c r="D3341" s="1"/>
      <c r="E3341" s="1"/>
      <c r="F3341" s="1"/>
      <c r="G3341" s="1"/>
      <c r="H3341" s="1"/>
      <c r="I3341" s="1"/>
      <c r="J3341" s="1"/>
    </row>
    <row r="3342" ht="15.75" customHeight="1">
      <c r="A3342" s="1"/>
      <c r="B3342" s="1"/>
      <c r="C3342" s="1"/>
      <c r="D3342" s="1"/>
      <c r="E3342" s="1"/>
      <c r="F3342" s="1"/>
      <c r="G3342" s="1"/>
      <c r="H3342" s="1"/>
      <c r="I3342" s="1"/>
      <c r="J3342" s="1"/>
    </row>
    <row r="3343" ht="15.75" customHeight="1">
      <c r="A3343" s="1"/>
      <c r="B3343" s="1"/>
      <c r="C3343" s="1"/>
      <c r="D3343" s="1"/>
      <c r="E3343" s="1"/>
      <c r="F3343" s="1"/>
      <c r="G3343" s="1"/>
      <c r="H3343" s="1"/>
      <c r="I3343" s="1"/>
      <c r="J3343" s="1"/>
    </row>
    <row r="3344" ht="15.75" customHeight="1">
      <c r="A3344" s="1"/>
      <c r="B3344" s="1"/>
      <c r="C3344" s="1"/>
      <c r="D3344" s="1"/>
      <c r="E3344" s="1"/>
      <c r="F3344" s="1"/>
      <c r="G3344" s="1"/>
      <c r="H3344" s="1"/>
      <c r="I3344" s="1"/>
      <c r="J3344" s="1"/>
    </row>
    <row r="3345" ht="15.75" customHeight="1">
      <c r="A3345" s="1"/>
      <c r="B3345" s="1"/>
      <c r="C3345" s="1"/>
      <c r="D3345" s="1"/>
      <c r="E3345" s="1"/>
      <c r="F3345" s="1"/>
      <c r="G3345" s="1"/>
      <c r="H3345" s="1"/>
      <c r="I3345" s="1"/>
      <c r="J3345" s="1"/>
    </row>
    <row r="3346" ht="15.75" customHeight="1">
      <c r="A3346" s="1"/>
      <c r="B3346" s="1"/>
      <c r="C3346" s="1"/>
      <c r="D3346" s="1"/>
      <c r="E3346" s="1"/>
      <c r="F3346" s="1"/>
      <c r="G3346" s="1"/>
      <c r="H3346" s="1"/>
      <c r="I3346" s="1"/>
      <c r="J3346" s="1"/>
    </row>
    <row r="3347" ht="15.75" customHeight="1">
      <c r="A3347" s="1"/>
      <c r="B3347" s="1"/>
      <c r="C3347" s="1"/>
      <c r="D3347" s="1"/>
      <c r="E3347" s="1"/>
      <c r="F3347" s="1"/>
      <c r="G3347" s="1"/>
      <c r="H3347" s="1"/>
      <c r="I3347" s="1"/>
      <c r="J3347" s="1"/>
    </row>
    <row r="3348" ht="15.75" customHeight="1">
      <c r="A3348" s="1"/>
      <c r="B3348" s="1"/>
      <c r="C3348" s="1"/>
      <c r="D3348" s="1"/>
      <c r="E3348" s="1"/>
      <c r="F3348" s="1"/>
      <c r="G3348" s="1"/>
      <c r="H3348" s="1"/>
      <c r="I3348" s="1"/>
      <c r="J3348" s="1"/>
    </row>
    <row r="3349" ht="15.75" customHeight="1">
      <c r="A3349" s="1"/>
      <c r="B3349" s="1"/>
      <c r="C3349" s="1"/>
      <c r="D3349" s="1"/>
      <c r="E3349" s="1"/>
      <c r="F3349" s="1"/>
      <c r="G3349" s="1"/>
      <c r="H3349" s="1"/>
      <c r="I3349" s="1"/>
      <c r="J3349" s="1"/>
    </row>
    <row r="3350" ht="15.75" customHeight="1">
      <c r="A3350" s="1"/>
      <c r="B3350" s="1"/>
      <c r="C3350" s="1"/>
      <c r="D3350" s="1"/>
      <c r="E3350" s="1"/>
      <c r="F3350" s="1"/>
      <c r="G3350" s="1"/>
      <c r="H3350" s="1"/>
      <c r="I3350" s="1"/>
      <c r="J3350" s="1"/>
    </row>
    <row r="3351" ht="15.75" customHeight="1">
      <c r="A3351" s="1"/>
      <c r="B3351" s="1"/>
      <c r="C3351" s="1"/>
      <c r="D3351" s="1"/>
      <c r="E3351" s="1"/>
      <c r="F3351" s="1"/>
      <c r="G3351" s="1"/>
      <c r="H3351" s="1"/>
      <c r="I3351" s="1"/>
      <c r="J3351" s="1"/>
    </row>
    <row r="3352" ht="15.75" customHeight="1">
      <c r="A3352" s="1"/>
      <c r="B3352" s="1"/>
      <c r="C3352" s="1"/>
      <c r="D3352" s="1"/>
      <c r="E3352" s="1"/>
      <c r="F3352" s="1"/>
      <c r="G3352" s="1"/>
      <c r="H3352" s="1"/>
      <c r="I3352" s="1"/>
      <c r="J3352" s="1"/>
    </row>
    <row r="3353" ht="15.75" customHeight="1">
      <c r="A3353" s="1"/>
      <c r="B3353" s="1"/>
      <c r="C3353" s="1"/>
      <c r="D3353" s="1"/>
      <c r="E3353" s="1"/>
      <c r="F3353" s="1"/>
      <c r="G3353" s="1"/>
      <c r="H3353" s="1"/>
      <c r="I3353" s="1"/>
      <c r="J3353" s="1"/>
    </row>
    <row r="3354" ht="15.75" customHeight="1">
      <c r="A3354" s="1"/>
      <c r="B3354" s="1"/>
      <c r="C3354" s="1"/>
      <c r="D3354" s="1"/>
      <c r="E3354" s="1"/>
      <c r="F3354" s="1"/>
      <c r="G3354" s="1"/>
      <c r="H3354" s="1"/>
      <c r="I3354" s="1"/>
      <c r="J3354" s="1"/>
    </row>
    <row r="3355" ht="15.75" customHeight="1">
      <c r="A3355" s="1"/>
      <c r="B3355" s="1"/>
      <c r="C3355" s="1"/>
      <c r="D3355" s="1"/>
      <c r="E3355" s="1"/>
      <c r="F3355" s="1"/>
      <c r="G3355" s="1"/>
      <c r="H3355" s="1"/>
      <c r="I3355" s="1"/>
      <c r="J3355" s="1"/>
    </row>
    <row r="3356" ht="15.75" customHeight="1">
      <c r="A3356" s="1"/>
      <c r="B3356" s="1"/>
      <c r="C3356" s="1"/>
      <c r="D3356" s="1"/>
      <c r="E3356" s="1"/>
      <c r="F3356" s="1"/>
      <c r="G3356" s="1"/>
      <c r="H3356" s="1"/>
      <c r="I3356" s="1"/>
      <c r="J3356" s="1"/>
    </row>
    <row r="3357" ht="15.75" customHeight="1">
      <c r="A3357" s="1"/>
      <c r="B3357" s="1"/>
      <c r="C3357" s="1"/>
      <c r="D3357" s="1"/>
      <c r="E3357" s="1"/>
      <c r="F3357" s="1"/>
      <c r="G3357" s="1"/>
      <c r="H3357" s="1"/>
      <c r="I3357" s="1"/>
      <c r="J3357" s="1"/>
    </row>
    <row r="3358" ht="15.75" customHeight="1">
      <c r="A3358" s="1"/>
      <c r="B3358" s="1"/>
      <c r="C3358" s="1"/>
      <c r="D3358" s="1"/>
      <c r="E3358" s="1"/>
      <c r="F3358" s="1"/>
      <c r="G3358" s="1"/>
      <c r="H3358" s="1"/>
      <c r="I3358" s="1"/>
      <c r="J3358" s="1"/>
    </row>
    <row r="3359" ht="15.75" customHeight="1">
      <c r="A3359" s="1"/>
      <c r="B3359" s="1"/>
      <c r="C3359" s="1"/>
      <c r="D3359" s="1"/>
      <c r="E3359" s="1"/>
      <c r="F3359" s="1"/>
      <c r="G3359" s="1"/>
      <c r="H3359" s="1"/>
      <c r="I3359" s="1"/>
      <c r="J3359" s="1"/>
    </row>
    <row r="3360" ht="15.75" customHeight="1">
      <c r="A3360" s="1"/>
      <c r="B3360" s="1"/>
      <c r="C3360" s="1"/>
      <c r="D3360" s="1"/>
      <c r="E3360" s="1"/>
      <c r="F3360" s="1"/>
      <c r="G3360" s="1"/>
      <c r="H3360" s="1"/>
      <c r="I3360" s="1"/>
      <c r="J3360" s="1"/>
    </row>
    <row r="3361" ht="15.75" customHeight="1">
      <c r="A3361" s="1"/>
      <c r="B3361" s="1"/>
      <c r="C3361" s="1"/>
      <c r="D3361" s="1"/>
      <c r="E3361" s="1"/>
      <c r="F3361" s="1"/>
      <c r="G3361" s="1"/>
      <c r="H3361" s="1"/>
      <c r="I3361" s="1"/>
      <c r="J3361" s="1"/>
    </row>
    <row r="3362" ht="15.75" customHeight="1">
      <c r="A3362" s="1"/>
      <c r="B3362" s="1"/>
      <c r="C3362" s="1"/>
      <c r="D3362" s="1"/>
      <c r="E3362" s="1"/>
      <c r="F3362" s="1"/>
      <c r="G3362" s="1"/>
      <c r="H3362" s="1"/>
      <c r="I3362" s="1"/>
      <c r="J3362" s="1"/>
    </row>
    <row r="3363" ht="15.75" customHeight="1">
      <c r="A3363" s="1"/>
      <c r="B3363" s="1"/>
      <c r="C3363" s="1"/>
      <c r="D3363" s="1"/>
      <c r="E3363" s="1"/>
      <c r="F3363" s="1"/>
      <c r="G3363" s="1"/>
      <c r="H3363" s="1"/>
      <c r="I3363" s="1"/>
      <c r="J3363" s="1"/>
    </row>
    <row r="3364" ht="15.75" customHeight="1">
      <c r="A3364" s="1"/>
      <c r="B3364" s="1"/>
      <c r="C3364" s="1"/>
      <c r="D3364" s="1"/>
      <c r="E3364" s="1"/>
      <c r="F3364" s="1"/>
      <c r="G3364" s="1"/>
      <c r="H3364" s="1"/>
      <c r="I3364" s="1"/>
      <c r="J3364" s="1"/>
    </row>
    <row r="3365" ht="15.75" customHeight="1">
      <c r="A3365" s="1"/>
      <c r="B3365" s="1"/>
      <c r="C3365" s="1"/>
      <c r="D3365" s="1"/>
      <c r="E3365" s="1"/>
      <c r="F3365" s="1"/>
      <c r="G3365" s="1"/>
      <c r="H3365" s="1"/>
      <c r="I3365" s="1"/>
      <c r="J3365" s="1"/>
    </row>
    <row r="3366" ht="15.75" customHeight="1">
      <c r="A3366" s="1"/>
      <c r="B3366" s="1"/>
      <c r="C3366" s="1"/>
      <c r="D3366" s="1"/>
      <c r="E3366" s="1"/>
      <c r="F3366" s="1"/>
      <c r="G3366" s="1"/>
      <c r="H3366" s="1"/>
      <c r="I3366" s="1"/>
      <c r="J3366" s="1"/>
    </row>
    <row r="3367" ht="15.75" customHeight="1">
      <c r="A3367" s="1"/>
      <c r="B3367" s="1"/>
      <c r="C3367" s="1"/>
      <c r="D3367" s="1"/>
      <c r="E3367" s="1"/>
      <c r="F3367" s="1"/>
      <c r="G3367" s="1"/>
      <c r="H3367" s="1"/>
      <c r="I3367" s="1"/>
      <c r="J3367" s="1"/>
    </row>
    <row r="3368" ht="15.75" customHeight="1">
      <c r="A3368" s="1"/>
      <c r="B3368" s="1"/>
      <c r="C3368" s="1"/>
      <c r="D3368" s="1"/>
      <c r="E3368" s="1"/>
      <c r="F3368" s="1"/>
      <c r="G3368" s="1"/>
      <c r="H3368" s="1"/>
      <c r="I3368" s="1"/>
      <c r="J3368" s="1"/>
    </row>
    <row r="3369" ht="15.75" customHeight="1">
      <c r="A3369" s="1"/>
      <c r="B3369" s="1"/>
      <c r="C3369" s="1"/>
      <c r="D3369" s="1"/>
      <c r="E3369" s="1"/>
      <c r="F3369" s="1"/>
      <c r="G3369" s="1"/>
      <c r="H3369" s="1"/>
      <c r="I3369" s="1"/>
      <c r="J3369" s="1"/>
    </row>
    <row r="3370" ht="15.75" customHeight="1">
      <c r="A3370" s="1"/>
      <c r="B3370" s="1"/>
      <c r="C3370" s="1"/>
      <c r="D3370" s="1"/>
      <c r="E3370" s="1"/>
      <c r="F3370" s="1"/>
      <c r="G3370" s="1"/>
      <c r="H3370" s="1"/>
      <c r="I3370" s="1"/>
      <c r="J3370" s="1"/>
    </row>
    <row r="3371" ht="15.75" customHeight="1">
      <c r="A3371" s="1"/>
      <c r="B3371" s="1"/>
      <c r="C3371" s="1"/>
      <c r="D3371" s="1"/>
      <c r="E3371" s="1"/>
      <c r="F3371" s="1"/>
      <c r="G3371" s="1"/>
      <c r="H3371" s="1"/>
      <c r="I3371" s="1"/>
      <c r="J3371" s="1"/>
    </row>
    <row r="3372" ht="15.75" customHeight="1">
      <c r="A3372" s="1"/>
      <c r="B3372" s="1"/>
      <c r="C3372" s="1"/>
      <c r="D3372" s="1"/>
      <c r="E3372" s="1"/>
      <c r="F3372" s="1"/>
      <c r="G3372" s="1"/>
      <c r="H3372" s="1"/>
      <c r="I3372" s="1"/>
      <c r="J3372" s="1"/>
    </row>
    <row r="3373" ht="15.75" customHeight="1">
      <c r="A3373" s="1"/>
      <c r="B3373" s="1"/>
      <c r="C3373" s="1"/>
      <c r="D3373" s="1"/>
      <c r="E3373" s="1"/>
      <c r="F3373" s="1"/>
      <c r="G3373" s="1"/>
      <c r="H3373" s="1"/>
      <c r="I3373" s="1"/>
      <c r="J3373" s="1"/>
    </row>
    <row r="3374" ht="15.75" customHeight="1">
      <c r="A3374" s="1"/>
      <c r="B3374" s="1"/>
      <c r="C3374" s="1"/>
      <c r="D3374" s="1"/>
      <c r="E3374" s="1"/>
      <c r="F3374" s="1"/>
      <c r="G3374" s="1"/>
      <c r="H3374" s="1"/>
      <c r="I3374" s="1"/>
      <c r="J3374" s="1"/>
    </row>
    <row r="3375" ht="15.75" customHeight="1">
      <c r="A3375" s="1"/>
      <c r="B3375" s="1"/>
      <c r="C3375" s="1"/>
      <c r="D3375" s="1"/>
      <c r="E3375" s="1"/>
      <c r="F3375" s="1"/>
      <c r="G3375" s="1"/>
      <c r="H3375" s="1"/>
      <c r="I3375" s="1"/>
      <c r="J3375" s="1"/>
    </row>
    <row r="3376" ht="15.75" customHeight="1">
      <c r="A3376" s="1"/>
      <c r="B3376" s="1"/>
      <c r="C3376" s="1"/>
      <c r="D3376" s="1"/>
      <c r="E3376" s="1"/>
      <c r="F3376" s="1"/>
      <c r="G3376" s="1"/>
      <c r="H3376" s="1"/>
      <c r="I3376" s="1"/>
      <c r="J3376" s="1"/>
    </row>
    <row r="3377" ht="15.75" customHeight="1">
      <c r="A3377" s="1"/>
      <c r="B3377" s="1"/>
      <c r="C3377" s="1"/>
      <c r="D3377" s="1"/>
      <c r="E3377" s="1"/>
      <c r="F3377" s="1"/>
      <c r="G3377" s="1"/>
      <c r="H3377" s="1"/>
      <c r="I3377" s="1"/>
      <c r="J3377" s="1"/>
    </row>
    <row r="3378" ht="15.75" customHeight="1">
      <c r="A3378" s="1"/>
      <c r="B3378" s="1"/>
      <c r="C3378" s="1"/>
      <c r="D3378" s="1"/>
      <c r="E3378" s="1"/>
      <c r="F3378" s="1"/>
      <c r="G3378" s="1"/>
      <c r="H3378" s="1"/>
      <c r="I3378" s="1"/>
      <c r="J3378" s="1"/>
    </row>
    <row r="3379" ht="15.75" customHeight="1">
      <c r="A3379" s="1"/>
      <c r="B3379" s="1"/>
      <c r="C3379" s="1"/>
      <c r="D3379" s="1"/>
      <c r="E3379" s="1"/>
      <c r="F3379" s="1"/>
      <c r="G3379" s="1"/>
      <c r="H3379" s="1"/>
      <c r="I3379" s="1"/>
      <c r="J3379" s="1"/>
    </row>
    <row r="3380" ht="15.75" customHeight="1">
      <c r="A3380" s="1"/>
      <c r="B3380" s="1"/>
      <c r="C3380" s="1"/>
      <c r="D3380" s="1"/>
      <c r="E3380" s="1"/>
      <c r="F3380" s="1"/>
      <c r="G3380" s="1"/>
      <c r="H3380" s="1"/>
      <c r="I3380" s="1"/>
      <c r="J3380" s="1"/>
    </row>
    <row r="3381" ht="15.75" customHeight="1">
      <c r="A3381" s="1"/>
      <c r="B3381" s="1"/>
      <c r="C3381" s="1"/>
      <c r="D3381" s="1"/>
      <c r="E3381" s="1"/>
      <c r="F3381" s="1"/>
      <c r="G3381" s="1"/>
      <c r="H3381" s="1"/>
      <c r="I3381" s="1"/>
      <c r="J3381" s="1"/>
    </row>
    <row r="3382" ht="15.75" customHeight="1">
      <c r="A3382" s="1"/>
      <c r="B3382" s="1"/>
      <c r="C3382" s="1"/>
      <c r="D3382" s="1"/>
      <c r="E3382" s="1"/>
      <c r="F3382" s="1"/>
      <c r="G3382" s="1"/>
      <c r="H3382" s="1"/>
      <c r="I3382" s="1"/>
      <c r="J3382" s="1"/>
    </row>
    <row r="3383" ht="15.75" customHeight="1">
      <c r="A3383" s="1"/>
      <c r="B3383" s="1"/>
      <c r="C3383" s="1"/>
      <c r="D3383" s="1"/>
      <c r="E3383" s="1"/>
      <c r="F3383" s="1"/>
      <c r="G3383" s="1"/>
      <c r="H3383" s="1"/>
      <c r="I3383" s="1"/>
      <c r="J3383" s="1"/>
    </row>
    <row r="3384" ht="15.75" customHeight="1">
      <c r="A3384" s="1"/>
      <c r="B3384" s="1"/>
      <c r="C3384" s="1"/>
      <c r="D3384" s="1"/>
      <c r="E3384" s="1"/>
      <c r="F3384" s="1"/>
      <c r="G3384" s="1"/>
      <c r="H3384" s="1"/>
      <c r="I3384" s="1"/>
      <c r="J3384" s="1"/>
    </row>
    <row r="3385" ht="15.75" customHeight="1">
      <c r="A3385" s="1"/>
      <c r="B3385" s="1"/>
      <c r="C3385" s="1"/>
      <c r="D3385" s="1"/>
      <c r="E3385" s="1"/>
      <c r="F3385" s="1"/>
      <c r="G3385" s="1"/>
      <c r="H3385" s="1"/>
      <c r="I3385" s="1"/>
      <c r="J3385" s="1"/>
    </row>
    <row r="3386" ht="15.75" customHeight="1">
      <c r="A3386" s="1"/>
      <c r="B3386" s="1"/>
      <c r="C3386" s="1"/>
      <c r="D3386" s="1"/>
      <c r="E3386" s="1"/>
      <c r="F3386" s="1"/>
      <c r="G3386" s="1"/>
      <c r="H3386" s="1"/>
      <c r="I3386" s="1"/>
      <c r="J3386" s="1"/>
    </row>
    <row r="3387" ht="15.75" customHeight="1">
      <c r="A3387" s="1"/>
      <c r="B3387" s="1"/>
      <c r="C3387" s="1"/>
      <c r="D3387" s="1"/>
      <c r="E3387" s="1"/>
      <c r="F3387" s="1"/>
      <c r="G3387" s="1"/>
      <c r="H3387" s="1"/>
      <c r="I3387" s="1"/>
      <c r="J3387" s="1"/>
    </row>
    <row r="3388" ht="15.75" customHeight="1">
      <c r="A3388" s="1"/>
      <c r="B3388" s="1"/>
      <c r="C3388" s="1"/>
      <c r="D3388" s="1"/>
      <c r="E3388" s="1"/>
      <c r="F3388" s="1"/>
      <c r="G3388" s="1"/>
      <c r="H3388" s="1"/>
      <c r="I3388" s="1"/>
      <c r="J3388" s="1"/>
    </row>
    <row r="3389" ht="15.75" customHeight="1">
      <c r="A3389" s="1"/>
      <c r="B3389" s="1"/>
      <c r="C3389" s="1"/>
      <c r="D3389" s="1"/>
      <c r="E3389" s="1"/>
      <c r="F3389" s="1"/>
      <c r="G3389" s="1"/>
      <c r="H3389" s="1"/>
      <c r="I3389" s="1"/>
      <c r="J3389" s="1"/>
    </row>
    <row r="3390" ht="15.75" customHeight="1">
      <c r="A3390" s="1"/>
      <c r="B3390" s="1"/>
      <c r="C3390" s="1"/>
      <c r="D3390" s="1"/>
      <c r="E3390" s="1"/>
      <c r="F3390" s="1"/>
      <c r="G3390" s="1"/>
      <c r="H3390" s="1"/>
      <c r="I3390" s="1"/>
      <c r="J3390" s="1"/>
    </row>
    <row r="3391" ht="15.75" customHeight="1">
      <c r="A3391" s="1"/>
      <c r="B3391" s="1"/>
      <c r="C3391" s="1"/>
      <c r="D3391" s="1"/>
      <c r="E3391" s="1"/>
      <c r="F3391" s="1"/>
      <c r="G3391" s="1"/>
      <c r="H3391" s="1"/>
      <c r="I3391" s="1"/>
      <c r="J3391" s="1"/>
    </row>
    <row r="3392" ht="15.75" customHeight="1">
      <c r="A3392" s="1"/>
      <c r="B3392" s="1"/>
      <c r="C3392" s="1"/>
      <c r="D3392" s="1"/>
      <c r="E3392" s="1"/>
      <c r="F3392" s="1"/>
      <c r="G3392" s="1"/>
      <c r="H3392" s="1"/>
      <c r="I3392" s="1"/>
      <c r="J3392" s="1"/>
    </row>
    <row r="3393" ht="15.75" customHeight="1">
      <c r="A3393" s="1"/>
      <c r="B3393" s="1"/>
      <c r="C3393" s="1"/>
      <c r="D3393" s="1"/>
      <c r="E3393" s="1"/>
      <c r="F3393" s="1"/>
      <c r="G3393" s="1"/>
      <c r="H3393" s="1"/>
      <c r="I3393" s="1"/>
      <c r="J3393" s="1"/>
    </row>
    <row r="3394" ht="15.75" customHeight="1">
      <c r="A3394" s="1"/>
      <c r="B3394" s="1"/>
      <c r="C3394" s="1"/>
      <c r="D3394" s="1"/>
      <c r="E3394" s="1"/>
      <c r="F3394" s="1"/>
      <c r="G3394" s="1"/>
      <c r="H3394" s="1"/>
      <c r="I3394" s="1"/>
      <c r="J3394" s="1"/>
    </row>
    <row r="3395" ht="15.75" customHeight="1">
      <c r="A3395" s="1"/>
      <c r="B3395" s="1"/>
      <c r="C3395" s="1"/>
      <c r="D3395" s="1"/>
      <c r="E3395" s="1"/>
      <c r="F3395" s="1"/>
      <c r="G3395" s="1"/>
      <c r="H3395" s="1"/>
      <c r="I3395" s="1"/>
      <c r="J3395" s="1"/>
    </row>
    <row r="3396" ht="15.75" customHeight="1">
      <c r="A3396" s="1"/>
      <c r="B3396" s="1"/>
      <c r="C3396" s="1"/>
      <c r="D3396" s="1"/>
      <c r="E3396" s="1"/>
      <c r="F3396" s="1"/>
      <c r="G3396" s="1"/>
      <c r="H3396" s="1"/>
      <c r="I3396" s="1"/>
      <c r="J3396" s="1"/>
    </row>
    <row r="3397" ht="15.75" customHeight="1">
      <c r="A3397" s="1"/>
      <c r="B3397" s="1"/>
      <c r="C3397" s="1"/>
      <c r="D3397" s="1"/>
      <c r="E3397" s="1"/>
      <c r="F3397" s="1"/>
      <c r="G3397" s="1"/>
      <c r="H3397" s="1"/>
      <c r="I3397" s="1"/>
      <c r="J3397" s="1"/>
    </row>
    <row r="3398" ht="15.75" customHeight="1">
      <c r="A3398" s="1"/>
      <c r="B3398" s="1"/>
      <c r="C3398" s="1"/>
      <c r="D3398" s="1"/>
      <c r="E3398" s="1"/>
      <c r="F3398" s="1"/>
      <c r="G3398" s="1"/>
      <c r="H3398" s="1"/>
      <c r="I3398" s="1"/>
      <c r="J3398" s="1"/>
    </row>
    <row r="3399" ht="15.75" customHeight="1">
      <c r="A3399" s="1"/>
      <c r="B3399" s="1"/>
      <c r="C3399" s="1"/>
      <c r="D3399" s="1"/>
      <c r="E3399" s="1"/>
      <c r="F3399" s="1"/>
      <c r="G3399" s="1"/>
      <c r="H3399" s="1"/>
      <c r="I3399" s="1"/>
      <c r="J3399" s="1"/>
    </row>
    <row r="3400" ht="15.75" customHeight="1">
      <c r="A3400" s="1"/>
      <c r="B3400" s="1"/>
      <c r="C3400" s="1"/>
      <c r="D3400" s="1"/>
      <c r="E3400" s="1"/>
      <c r="F3400" s="1"/>
      <c r="G3400" s="1"/>
      <c r="H3400" s="1"/>
      <c r="I3400" s="1"/>
      <c r="J3400" s="1"/>
    </row>
    <row r="3401" ht="15.75" customHeight="1">
      <c r="A3401" s="1"/>
      <c r="B3401" s="1"/>
      <c r="C3401" s="1"/>
      <c r="D3401" s="1"/>
      <c r="E3401" s="1"/>
      <c r="F3401" s="1"/>
      <c r="G3401" s="1"/>
      <c r="H3401" s="1"/>
      <c r="I3401" s="1"/>
      <c r="J3401" s="1"/>
    </row>
    <row r="3402" ht="15.75" customHeight="1">
      <c r="A3402" s="1"/>
      <c r="B3402" s="1"/>
      <c r="C3402" s="1"/>
      <c r="D3402" s="1"/>
      <c r="E3402" s="1"/>
      <c r="F3402" s="1"/>
      <c r="G3402" s="1"/>
      <c r="H3402" s="1"/>
      <c r="I3402" s="1"/>
      <c r="J3402" s="1"/>
    </row>
    <row r="3403" ht="15.75" customHeight="1">
      <c r="A3403" s="1"/>
      <c r="B3403" s="1"/>
      <c r="C3403" s="1"/>
      <c r="D3403" s="1"/>
      <c r="E3403" s="1"/>
      <c r="F3403" s="1"/>
      <c r="G3403" s="1"/>
      <c r="H3403" s="1"/>
      <c r="I3403" s="1"/>
      <c r="J3403" s="1"/>
    </row>
    <row r="3404" ht="15.75" customHeight="1">
      <c r="A3404" s="1"/>
      <c r="B3404" s="1"/>
      <c r="C3404" s="1"/>
      <c r="D3404" s="1"/>
      <c r="E3404" s="1"/>
      <c r="F3404" s="1"/>
      <c r="G3404" s="1"/>
      <c r="H3404" s="1"/>
      <c r="I3404" s="1"/>
      <c r="J3404" s="1"/>
    </row>
    <row r="3405" ht="15.75" customHeight="1">
      <c r="A3405" s="1"/>
      <c r="B3405" s="1"/>
      <c r="C3405" s="1"/>
      <c r="D3405" s="1"/>
      <c r="E3405" s="1"/>
      <c r="F3405" s="1"/>
      <c r="G3405" s="1"/>
      <c r="H3405" s="1"/>
      <c r="I3405" s="1"/>
      <c r="J3405" s="1"/>
    </row>
    <row r="3406" ht="15.75" customHeight="1">
      <c r="A3406" s="1"/>
      <c r="B3406" s="1"/>
      <c r="C3406" s="1"/>
      <c r="D3406" s="1"/>
      <c r="E3406" s="1"/>
      <c r="F3406" s="1"/>
      <c r="G3406" s="1"/>
      <c r="H3406" s="1"/>
      <c r="I3406" s="1"/>
      <c r="J3406" s="1"/>
    </row>
    <row r="3407" ht="15.75" customHeight="1">
      <c r="A3407" s="1"/>
      <c r="B3407" s="1"/>
      <c r="C3407" s="1"/>
      <c r="D3407" s="1"/>
      <c r="E3407" s="1"/>
      <c r="F3407" s="1"/>
      <c r="G3407" s="1"/>
      <c r="H3407" s="1"/>
      <c r="I3407" s="1"/>
      <c r="J3407" s="1"/>
    </row>
    <row r="3408" ht="15.75" customHeight="1">
      <c r="A3408" s="1"/>
      <c r="B3408" s="1"/>
      <c r="C3408" s="1"/>
      <c r="D3408" s="1"/>
      <c r="E3408" s="1"/>
      <c r="F3408" s="1"/>
      <c r="G3408" s="1"/>
      <c r="H3408" s="1"/>
      <c r="I3408" s="1"/>
      <c r="J3408" s="1"/>
    </row>
    <row r="3409" ht="15.75" customHeight="1">
      <c r="A3409" s="1"/>
      <c r="B3409" s="1"/>
      <c r="C3409" s="1"/>
      <c r="D3409" s="1"/>
      <c r="E3409" s="1"/>
      <c r="F3409" s="1"/>
      <c r="G3409" s="1"/>
      <c r="H3409" s="1"/>
      <c r="I3409" s="1"/>
      <c r="J3409" s="1"/>
    </row>
    <row r="3410" ht="15.75" customHeight="1">
      <c r="A3410" s="1"/>
      <c r="B3410" s="1"/>
      <c r="C3410" s="1"/>
      <c r="D3410" s="1"/>
      <c r="E3410" s="1"/>
      <c r="F3410" s="1"/>
      <c r="G3410" s="1"/>
      <c r="H3410" s="1"/>
      <c r="I3410" s="1"/>
      <c r="J3410" s="1"/>
    </row>
    <row r="3411" ht="15.75" customHeight="1">
      <c r="A3411" s="1"/>
      <c r="B3411" s="1"/>
      <c r="C3411" s="1"/>
      <c r="D3411" s="1"/>
      <c r="E3411" s="1"/>
      <c r="F3411" s="1"/>
      <c r="G3411" s="1"/>
      <c r="H3411" s="1"/>
      <c r="I3411" s="1"/>
      <c r="J3411" s="1"/>
    </row>
    <row r="3412" ht="15.75" customHeight="1">
      <c r="A3412" s="1"/>
      <c r="B3412" s="1"/>
      <c r="C3412" s="1"/>
      <c r="D3412" s="1"/>
      <c r="E3412" s="1"/>
      <c r="F3412" s="1"/>
      <c r="G3412" s="1"/>
      <c r="H3412" s="1"/>
      <c r="I3412" s="1"/>
      <c r="J3412" s="1"/>
    </row>
    <row r="3413" ht="15.75" customHeight="1">
      <c r="A3413" s="1"/>
      <c r="B3413" s="1"/>
      <c r="C3413" s="1"/>
      <c r="D3413" s="1"/>
      <c r="E3413" s="1"/>
      <c r="F3413" s="1"/>
      <c r="G3413" s="1"/>
      <c r="H3413" s="1"/>
      <c r="I3413" s="1"/>
      <c r="J3413" s="1"/>
    </row>
    <row r="3414" ht="15.75" customHeight="1">
      <c r="A3414" s="1"/>
      <c r="B3414" s="1"/>
      <c r="C3414" s="1"/>
      <c r="D3414" s="1"/>
      <c r="E3414" s="1"/>
      <c r="F3414" s="1"/>
      <c r="G3414" s="1"/>
      <c r="H3414" s="1"/>
      <c r="I3414" s="1"/>
      <c r="J3414" s="1"/>
    </row>
    <row r="3415" ht="15.75" customHeight="1">
      <c r="A3415" s="1"/>
      <c r="B3415" s="1"/>
      <c r="C3415" s="1"/>
      <c r="D3415" s="1"/>
      <c r="E3415" s="1"/>
      <c r="F3415" s="1"/>
      <c r="G3415" s="1"/>
      <c r="H3415" s="1"/>
      <c r="I3415" s="1"/>
      <c r="J3415" s="1"/>
    </row>
    <row r="3416" ht="15.75" customHeight="1">
      <c r="A3416" s="1"/>
      <c r="B3416" s="1"/>
      <c r="C3416" s="1"/>
      <c r="D3416" s="1"/>
      <c r="E3416" s="1"/>
      <c r="F3416" s="1"/>
      <c r="G3416" s="1"/>
      <c r="H3416" s="1"/>
      <c r="I3416" s="1"/>
      <c r="J3416" s="1"/>
    </row>
    <row r="3417" ht="15.75" customHeight="1">
      <c r="A3417" s="1"/>
      <c r="B3417" s="1"/>
      <c r="C3417" s="1"/>
      <c r="D3417" s="1"/>
      <c r="E3417" s="1"/>
      <c r="F3417" s="1"/>
      <c r="G3417" s="1"/>
      <c r="H3417" s="1"/>
      <c r="I3417" s="1"/>
      <c r="J3417" s="1"/>
    </row>
    <row r="3418" ht="15.75" customHeight="1">
      <c r="A3418" s="1"/>
      <c r="B3418" s="1"/>
      <c r="C3418" s="1"/>
      <c r="D3418" s="1"/>
      <c r="E3418" s="1"/>
      <c r="F3418" s="1"/>
      <c r="G3418" s="1"/>
      <c r="H3418" s="1"/>
      <c r="I3418" s="1"/>
      <c r="J3418" s="1"/>
    </row>
    <row r="3419" ht="15.75" customHeight="1">
      <c r="A3419" s="1"/>
      <c r="B3419" s="1"/>
      <c r="C3419" s="1"/>
      <c r="D3419" s="1"/>
      <c r="E3419" s="1"/>
      <c r="F3419" s="1"/>
      <c r="G3419" s="1"/>
      <c r="H3419" s="1"/>
      <c r="I3419" s="1"/>
      <c r="J3419" s="1"/>
    </row>
    <row r="3420" ht="15.75" customHeight="1">
      <c r="A3420" s="1"/>
      <c r="B3420" s="1"/>
      <c r="C3420" s="1"/>
      <c r="D3420" s="1"/>
      <c r="E3420" s="1"/>
      <c r="F3420" s="1"/>
      <c r="G3420" s="1"/>
      <c r="H3420" s="1"/>
      <c r="I3420" s="1"/>
      <c r="J3420" s="1"/>
    </row>
    <row r="3421" ht="15.75" customHeight="1">
      <c r="A3421" s="1"/>
      <c r="B3421" s="1"/>
      <c r="C3421" s="1"/>
      <c r="D3421" s="1"/>
      <c r="E3421" s="1"/>
      <c r="F3421" s="1"/>
      <c r="G3421" s="1"/>
      <c r="H3421" s="1"/>
      <c r="I3421" s="1"/>
      <c r="J3421" s="1"/>
    </row>
    <row r="3422" ht="15.75" customHeight="1">
      <c r="A3422" s="1"/>
      <c r="B3422" s="1"/>
      <c r="C3422" s="1"/>
      <c r="D3422" s="1"/>
      <c r="E3422" s="1"/>
      <c r="F3422" s="1"/>
      <c r="G3422" s="1"/>
      <c r="H3422" s="1"/>
      <c r="I3422" s="1"/>
      <c r="J3422" s="1"/>
    </row>
    <row r="3423" ht="15.75" customHeight="1">
      <c r="A3423" s="1"/>
      <c r="B3423" s="1"/>
      <c r="C3423" s="1"/>
      <c r="D3423" s="1"/>
      <c r="E3423" s="1"/>
      <c r="F3423" s="1"/>
      <c r="G3423" s="1"/>
      <c r="H3423" s="1"/>
      <c r="I3423" s="1"/>
      <c r="J3423" s="1"/>
    </row>
    <row r="3424" ht="15.75" customHeight="1">
      <c r="A3424" s="1"/>
      <c r="B3424" s="1"/>
      <c r="C3424" s="1"/>
      <c r="D3424" s="1"/>
      <c r="E3424" s="1"/>
      <c r="F3424" s="1"/>
      <c r="G3424" s="1"/>
      <c r="H3424" s="1"/>
      <c r="I3424" s="1"/>
      <c r="J3424" s="1"/>
    </row>
    <row r="3425" ht="15.75" customHeight="1">
      <c r="A3425" s="1"/>
      <c r="B3425" s="1"/>
      <c r="C3425" s="1"/>
      <c r="D3425" s="1"/>
      <c r="E3425" s="1"/>
      <c r="F3425" s="1"/>
      <c r="G3425" s="1"/>
      <c r="H3425" s="1"/>
      <c r="I3425" s="1"/>
      <c r="J3425" s="1"/>
    </row>
    <row r="3426" ht="15.75" customHeight="1">
      <c r="A3426" s="1"/>
      <c r="B3426" s="1"/>
      <c r="C3426" s="1"/>
      <c r="D3426" s="1"/>
      <c r="E3426" s="1"/>
      <c r="F3426" s="1"/>
      <c r="G3426" s="1"/>
      <c r="H3426" s="1"/>
      <c r="I3426" s="1"/>
      <c r="J3426" s="1"/>
    </row>
    <row r="3427" ht="15.75" customHeight="1">
      <c r="A3427" s="1"/>
      <c r="B3427" s="1"/>
      <c r="C3427" s="1"/>
      <c r="D3427" s="1"/>
      <c r="E3427" s="1"/>
      <c r="F3427" s="1"/>
      <c r="G3427" s="1"/>
      <c r="H3427" s="1"/>
      <c r="I3427" s="1"/>
      <c r="J3427" s="1"/>
    </row>
    <row r="3428" ht="15.75" customHeight="1">
      <c r="A3428" s="1"/>
      <c r="B3428" s="1"/>
      <c r="C3428" s="1"/>
      <c r="D3428" s="1"/>
      <c r="E3428" s="1"/>
      <c r="F3428" s="1"/>
      <c r="G3428" s="1"/>
      <c r="H3428" s="1"/>
      <c r="I3428" s="1"/>
      <c r="J3428" s="1"/>
    </row>
    <row r="3429" ht="15.75" customHeight="1">
      <c r="A3429" s="1"/>
      <c r="B3429" s="1"/>
      <c r="C3429" s="1"/>
      <c r="D3429" s="1"/>
      <c r="E3429" s="1"/>
      <c r="F3429" s="1"/>
      <c r="G3429" s="1"/>
      <c r="H3429" s="1"/>
      <c r="I3429" s="1"/>
      <c r="J3429" s="1"/>
    </row>
    <row r="3430" ht="15.75" customHeight="1">
      <c r="A3430" s="1"/>
      <c r="B3430" s="1"/>
      <c r="C3430" s="1"/>
      <c r="D3430" s="1"/>
      <c r="E3430" s="1"/>
      <c r="F3430" s="1"/>
      <c r="G3430" s="1"/>
      <c r="H3430" s="1"/>
      <c r="I3430" s="1"/>
      <c r="J3430" s="1"/>
    </row>
    <row r="3431" ht="15.75" customHeight="1">
      <c r="A3431" s="1"/>
      <c r="B3431" s="1"/>
      <c r="C3431" s="1"/>
      <c r="D3431" s="1"/>
      <c r="E3431" s="1"/>
      <c r="F3431" s="1"/>
      <c r="G3431" s="1"/>
      <c r="H3431" s="1"/>
      <c r="I3431" s="1"/>
      <c r="J3431" s="1"/>
    </row>
    <row r="3432" ht="15.75" customHeight="1">
      <c r="A3432" s="1"/>
      <c r="B3432" s="1"/>
      <c r="C3432" s="1"/>
      <c r="D3432" s="1"/>
      <c r="E3432" s="1"/>
      <c r="F3432" s="1"/>
      <c r="G3432" s="1"/>
      <c r="H3432" s="1"/>
      <c r="I3432" s="1"/>
      <c r="J3432" s="1"/>
    </row>
    <row r="3433" ht="15.75" customHeight="1">
      <c r="A3433" s="1"/>
      <c r="B3433" s="1"/>
      <c r="C3433" s="1"/>
      <c r="D3433" s="1"/>
      <c r="E3433" s="1"/>
      <c r="F3433" s="1"/>
      <c r="G3433" s="1"/>
      <c r="H3433" s="1"/>
      <c r="I3433" s="1"/>
      <c r="J3433" s="1"/>
    </row>
    <row r="3434" ht="15.75" customHeight="1">
      <c r="A3434" s="1"/>
      <c r="B3434" s="1"/>
      <c r="C3434" s="1"/>
      <c r="D3434" s="1"/>
      <c r="E3434" s="1"/>
      <c r="F3434" s="1"/>
      <c r="G3434" s="1"/>
      <c r="H3434" s="1"/>
      <c r="I3434" s="1"/>
      <c r="J3434" s="1"/>
    </row>
    <row r="3435" ht="15.75" customHeight="1">
      <c r="A3435" s="1"/>
      <c r="B3435" s="1"/>
      <c r="C3435" s="1"/>
      <c r="D3435" s="1"/>
      <c r="E3435" s="1"/>
      <c r="F3435" s="1"/>
      <c r="G3435" s="1"/>
      <c r="H3435" s="1"/>
      <c r="I3435" s="1"/>
      <c r="J3435" s="1"/>
    </row>
    <row r="3436" ht="15.75" customHeight="1">
      <c r="A3436" s="1"/>
      <c r="B3436" s="1"/>
      <c r="C3436" s="1"/>
      <c r="D3436" s="1"/>
      <c r="E3436" s="1"/>
      <c r="F3436" s="1"/>
      <c r="G3436" s="1"/>
      <c r="H3436" s="1"/>
      <c r="I3436" s="1"/>
      <c r="J3436" s="1"/>
    </row>
    <row r="3437" ht="15.75" customHeight="1">
      <c r="A3437" s="1"/>
      <c r="B3437" s="1"/>
      <c r="C3437" s="1"/>
      <c r="D3437" s="1"/>
      <c r="E3437" s="1"/>
      <c r="F3437" s="1"/>
      <c r="G3437" s="1"/>
      <c r="H3437" s="1"/>
      <c r="I3437" s="1"/>
      <c r="J3437" s="1"/>
    </row>
    <row r="3438" ht="15.75" customHeight="1">
      <c r="A3438" s="1"/>
      <c r="B3438" s="1"/>
      <c r="C3438" s="1"/>
      <c r="D3438" s="1"/>
      <c r="E3438" s="1"/>
      <c r="F3438" s="1"/>
      <c r="G3438" s="1"/>
      <c r="H3438" s="1"/>
      <c r="I3438" s="1"/>
      <c r="J3438" s="1"/>
    </row>
    <row r="3439" ht="15.75" customHeight="1">
      <c r="A3439" s="1"/>
      <c r="B3439" s="1"/>
      <c r="C3439" s="1"/>
      <c r="D3439" s="1"/>
      <c r="E3439" s="1"/>
      <c r="F3439" s="1"/>
      <c r="G3439" s="1"/>
      <c r="H3439" s="1"/>
      <c r="I3439" s="1"/>
      <c r="J3439" s="1"/>
    </row>
    <row r="3440" ht="15.75" customHeight="1">
      <c r="A3440" s="1"/>
      <c r="B3440" s="1"/>
      <c r="C3440" s="1"/>
      <c r="D3440" s="1"/>
      <c r="E3440" s="1"/>
      <c r="F3440" s="1"/>
      <c r="G3440" s="1"/>
      <c r="H3440" s="1"/>
      <c r="I3440" s="1"/>
      <c r="J3440" s="1"/>
    </row>
    <row r="3441" ht="15.75" customHeight="1">
      <c r="A3441" s="1"/>
      <c r="B3441" s="1"/>
      <c r="C3441" s="1"/>
      <c r="D3441" s="1"/>
      <c r="E3441" s="1"/>
      <c r="F3441" s="1"/>
      <c r="G3441" s="1"/>
      <c r="H3441" s="1"/>
      <c r="I3441" s="1"/>
      <c r="J3441" s="1"/>
    </row>
    <row r="3442" ht="15.75" customHeight="1">
      <c r="A3442" s="1"/>
      <c r="B3442" s="1"/>
      <c r="C3442" s="1"/>
      <c r="D3442" s="1"/>
      <c r="E3442" s="1"/>
      <c r="F3442" s="1"/>
      <c r="G3442" s="1"/>
      <c r="H3442" s="1"/>
      <c r="I3442" s="1"/>
      <c r="J3442" s="1"/>
    </row>
    <row r="3443" ht="15.75" customHeight="1">
      <c r="A3443" s="1"/>
      <c r="B3443" s="1"/>
      <c r="C3443" s="1"/>
      <c r="D3443" s="1"/>
      <c r="E3443" s="1"/>
      <c r="F3443" s="1"/>
      <c r="G3443" s="1"/>
      <c r="H3443" s="1"/>
      <c r="I3443" s="1"/>
      <c r="J3443" s="1"/>
    </row>
    <row r="3444" ht="15.75" customHeight="1">
      <c r="A3444" s="1"/>
      <c r="B3444" s="1"/>
      <c r="C3444" s="1"/>
      <c r="D3444" s="1"/>
      <c r="E3444" s="1"/>
      <c r="F3444" s="1"/>
      <c r="G3444" s="1"/>
      <c r="H3444" s="1"/>
      <c r="I3444" s="1"/>
      <c r="J3444" s="1"/>
    </row>
    <row r="3445" ht="15.75" customHeight="1">
      <c r="A3445" s="1"/>
      <c r="B3445" s="1"/>
      <c r="C3445" s="1"/>
      <c r="D3445" s="1"/>
      <c r="E3445" s="1"/>
      <c r="F3445" s="1"/>
      <c r="G3445" s="1"/>
      <c r="H3445" s="1"/>
      <c r="I3445" s="1"/>
      <c r="J3445" s="1"/>
    </row>
    <row r="3446" ht="15.75" customHeight="1">
      <c r="A3446" s="1"/>
      <c r="B3446" s="1"/>
      <c r="C3446" s="1"/>
      <c r="D3446" s="1"/>
      <c r="E3446" s="1"/>
      <c r="F3446" s="1"/>
      <c r="G3446" s="1"/>
      <c r="H3446" s="1"/>
      <c r="I3446" s="1"/>
      <c r="J3446" s="1"/>
    </row>
    <row r="3447" ht="15.75" customHeight="1">
      <c r="A3447" s="1"/>
      <c r="B3447" s="1"/>
      <c r="C3447" s="1"/>
      <c r="D3447" s="1"/>
      <c r="E3447" s="1"/>
      <c r="F3447" s="1"/>
      <c r="G3447" s="1"/>
      <c r="H3447" s="1"/>
      <c r="I3447" s="1"/>
      <c r="J3447" s="1"/>
    </row>
    <row r="3448" ht="15.75" customHeight="1">
      <c r="A3448" s="1"/>
      <c r="B3448" s="1"/>
      <c r="C3448" s="1"/>
      <c r="D3448" s="1"/>
      <c r="E3448" s="1"/>
      <c r="F3448" s="1"/>
      <c r="G3448" s="1"/>
      <c r="H3448" s="1"/>
      <c r="I3448" s="1"/>
      <c r="J3448" s="1"/>
    </row>
    <row r="3449" ht="15.75" customHeight="1">
      <c r="A3449" s="1"/>
      <c r="B3449" s="1"/>
      <c r="C3449" s="1"/>
      <c r="D3449" s="1"/>
      <c r="E3449" s="1"/>
      <c r="F3449" s="1"/>
      <c r="G3449" s="1"/>
      <c r="H3449" s="1"/>
      <c r="I3449" s="1"/>
      <c r="J3449" s="1"/>
    </row>
    <row r="3450" ht="15.75" customHeight="1">
      <c r="A3450" s="1"/>
      <c r="B3450" s="1"/>
      <c r="C3450" s="1"/>
      <c r="D3450" s="1"/>
      <c r="E3450" s="1"/>
      <c r="F3450" s="1"/>
      <c r="G3450" s="1"/>
      <c r="H3450" s="1"/>
      <c r="I3450" s="1"/>
      <c r="J3450" s="1"/>
    </row>
    <row r="3451" ht="15.75" customHeight="1">
      <c r="A3451" s="1"/>
      <c r="B3451" s="1"/>
      <c r="C3451" s="1"/>
      <c r="D3451" s="1"/>
      <c r="E3451" s="1"/>
      <c r="F3451" s="1"/>
      <c r="G3451" s="1"/>
      <c r="H3451" s="1"/>
      <c r="I3451" s="1"/>
      <c r="J3451" s="1"/>
    </row>
    <row r="3452" ht="15.75" customHeight="1">
      <c r="A3452" s="1"/>
      <c r="B3452" s="1"/>
      <c r="C3452" s="1"/>
      <c r="D3452" s="1"/>
      <c r="E3452" s="1"/>
      <c r="F3452" s="1"/>
      <c r="G3452" s="1"/>
      <c r="H3452" s="1"/>
      <c r="I3452" s="1"/>
      <c r="J3452" s="1"/>
    </row>
    <row r="3453" ht="15.75" customHeight="1">
      <c r="A3453" s="1"/>
      <c r="B3453" s="1"/>
      <c r="C3453" s="1"/>
      <c r="D3453" s="1"/>
      <c r="E3453" s="1"/>
      <c r="F3453" s="1"/>
      <c r="G3453" s="1"/>
      <c r="H3453" s="1"/>
      <c r="I3453" s="1"/>
      <c r="J3453" s="1"/>
    </row>
    <row r="3454" ht="15.75" customHeight="1">
      <c r="A3454" s="1"/>
      <c r="B3454" s="1"/>
      <c r="C3454" s="1"/>
      <c r="D3454" s="1"/>
      <c r="E3454" s="1"/>
      <c r="F3454" s="1"/>
      <c r="G3454" s="1"/>
      <c r="H3454" s="1"/>
      <c r="I3454" s="1"/>
      <c r="J3454" s="1"/>
    </row>
    <row r="3455" ht="15.75" customHeight="1">
      <c r="A3455" s="1"/>
      <c r="B3455" s="1"/>
      <c r="C3455" s="1"/>
      <c r="D3455" s="1"/>
      <c r="E3455" s="1"/>
      <c r="F3455" s="1"/>
      <c r="G3455" s="1"/>
      <c r="H3455" s="1"/>
      <c r="I3455" s="1"/>
      <c r="J3455" s="1"/>
    </row>
    <row r="3456" ht="15.75" customHeight="1">
      <c r="A3456" s="1"/>
      <c r="B3456" s="1"/>
      <c r="C3456" s="1"/>
      <c r="D3456" s="1"/>
      <c r="E3456" s="1"/>
      <c r="F3456" s="1"/>
      <c r="G3456" s="1"/>
      <c r="H3456" s="1"/>
      <c r="I3456" s="1"/>
      <c r="J3456" s="1"/>
    </row>
    <row r="3457" ht="15.75" customHeight="1">
      <c r="A3457" s="1"/>
      <c r="B3457" s="1"/>
      <c r="C3457" s="1"/>
      <c r="D3457" s="1"/>
      <c r="E3457" s="1"/>
      <c r="F3457" s="1"/>
      <c r="G3457" s="1"/>
      <c r="H3457" s="1"/>
      <c r="I3457" s="1"/>
      <c r="J3457" s="1"/>
    </row>
    <row r="3458" ht="15.75" customHeight="1">
      <c r="A3458" s="1"/>
      <c r="B3458" s="1"/>
      <c r="C3458" s="1"/>
      <c r="D3458" s="1"/>
      <c r="E3458" s="1"/>
      <c r="F3458" s="1"/>
      <c r="G3458" s="1"/>
      <c r="H3458" s="1"/>
      <c r="I3458" s="1"/>
      <c r="J3458" s="1"/>
    </row>
    <row r="3459" ht="15.75" customHeight="1">
      <c r="A3459" s="1"/>
      <c r="B3459" s="1"/>
      <c r="C3459" s="1"/>
      <c r="D3459" s="1"/>
      <c r="E3459" s="1"/>
      <c r="F3459" s="1"/>
      <c r="G3459" s="1"/>
      <c r="H3459" s="1"/>
      <c r="I3459" s="1"/>
      <c r="J3459" s="1"/>
    </row>
    <row r="3460" ht="15.75" customHeight="1">
      <c r="A3460" s="1"/>
      <c r="B3460" s="1"/>
      <c r="C3460" s="1"/>
      <c r="D3460" s="1"/>
      <c r="E3460" s="1"/>
      <c r="F3460" s="1"/>
      <c r="G3460" s="1"/>
      <c r="H3460" s="1"/>
      <c r="I3460" s="1"/>
      <c r="J3460" s="1"/>
    </row>
    <row r="3461" ht="15.75" customHeight="1">
      <c r="A3461" s="1"/>
      <c r="B3461" s="1"/>
      <c r="C3461" s="1"/>
      <c r="D3461" s="1"/>
      <c r="E3461" s="1"/>
      <c r="F3461" s="1"/>
      <c r="G3461" s="1"/>
      <c r="H3461" s="1"/>
      <c r="I3461" s="1"/>
      <c r="J3461" s="1"/>
    </row>
    <row r="3462" ht="15.75" customHeight="1">
      <c r="A3462" s="1"/>
      <c r="B3462" s="1"/>
      <c r="C3462" s="1"/>
      <c r="D3462" s="1"/>
      <c r="E3462" s="1"/>
      <c r="F3462" s="1"/>
      <c r="G3462" s="1"/>
      <c r="H3462" s="1"/>
      <c r="I3462" s="1"/>
      <c r="J3462" s="1"/>
    </row>
    <row r="3463" ht="15.75" customHeight="1">
      <c r="A3463" s="1"/>
      <c r="B3463" s="1"/>
      <c r="C3463" s="1"/>
      <c r="D3463" s="1"/>
      <c r="E3463" s="1"/>
      <c r="F3463" s="1"/>
      <c r="G3463" s="1"/>
      <c r="H3463" s="1"/>
      <c r="I3463" s="1"/>
      <c r="J3463" s="1"/>
    </row>
    <row r="3464" ht="15.75" customHeight="1">
      <c r="A3464" s="1"/>
      <c r="B3464" s="1"/>
      <c r="C3464" s="1"/>
      <c r="D3464" s="1"/>
      <c r="E3464" s="1"/>
      <c r="F3464" s="1"/>
      <c r="G3464" s="1"/>
      <c r="H3464" s="1"/>
      <c r="I3464" s="1"/>
      <c r="J3464" s="1"/>
    </row>
    <row r="3465" ht="15.75" customHeight="1">
      <c r="A3465" s="1"/>
      <c r="B3465" s="1"/>
      <c r="C3465" s="1"/>
      <c r="D3465" s="1"/>
      <c r="E3465" s="1"/>
      <c r="F3465" s="1"/>
      <c r="G3465" s="1"/>
      <c r="H3465" s="1"/>
      <c r="I3465" s="1"/>
      <c r="J3465" s="1"/>
    </row>
    <row r="3466" ht="15.75" customHeight="1">
      <c r="A3466" s="1"/>
      <c r="B3466" s="1"/>
      <c r="C3466" s="1"/>
      <c r="D3466" s="1"/>
      <c r="E3466" s="1"/>
      <c r="F3466" s="1"/>
      <c r="G3466" s="1"/>
      <c r="H3466" s="1"/>
      <c r="I3466" s="1"/>
      <c r="J3466" s="1"/>
    </row>
    <row r="3467" ht="15.75" customHeight="1">
      <c r="A3467" s="1"/>
      <c r="B3467" s="1"/>
      <c r="C3467" s="1"/>
      <c r="D3467" s="1"/>
      <c r="E3467" s="1"/>
      <c r="F3467" s="1"/>
      <c r="G3467" s="1"/>
      <c r="H3467" s="1"/>
      <c r="I3467" s="1"/>
      <c r="J3467" s="1"/>
    </row>
    <row r="3468" ht="15.75" customHeight="1">
      <c r="A3468" s="1"/>
      <c r="B3468" s="1"/>
      <c r="C3468" s="1"/>
      <c r="D3468" s="1"/>
      <c r="E3468" s="1"/>
      <c r="F3468" s="1"/>
      <c r="G3468" s="1"/>
      <c r="H3468" s="1"/>
      <c r="I3468" s="1"/>
      <c r="J3468" s="1"/>
    </row>
    <row r="3469" ht="15.75" customHeight="1">
      <c r="A3469" s="1"/>
      <c r="B3469" s="1"/>
      <c r="C3469" s="1"/>
      <c r="D3469" s="1"/>
      <c r="E3469" s="1"/>
      <c r="F3469" s="1"/>
      <c r="G3469" s="1"/>
      <c r="H3469" s="1"/>
      <c r="I3469" s="1"/>
      <c r="J3469" s="1"/>
    </row>
    <row r="3470" ht="15.75" customHeight="1">
      <c r="A3470" s="1"/>
      <c r="B3470" s="1"/>
      <c r="C3470" s="1"/>
      <c r="D3470" s="1"/>
      <c r="E3470" s="1"/>
      <c r="F3470" s="1"/>
      <c r="G3470" s="1"/>
      <c r="H3470" s="1"/>
      <c r="I3470" s="1"/>
      <c r="J3470" s="1"/>
    </row>
    <row r="3471" ht="15.75" customHeight="1">
      <c r="A3471" s="1"/>
      <c r="B3471" s="1"/>
      <c r="C3471" s="1"/>
      <c r="D3471" s="1"/>
      <c r="E3471" s="1"/>
      <c r="F3471" s="1"/>
      <c r="G3471" s="1"/>
      <c r="H3471" s="1"/>
      <c r="I3471" s="1"/>
      <c r="J3471" s="1"/>
    </row>
    <row r="3472" ht="15.75" customHeight="1">
      <c r="A3472" s="1"/>
      <c r="B3472" s="1"/>
      <c r="C3472" s="1"/>
      <c r="D3472" s="1"/>
      <c r="E3472" s="1"/>
      <c r="F3472" s="1"/>
      <c r="G3472" s="1"/>
      <c r="H3472" s="1"/>
      <c r="I3472" s="1"/>
      <c r="J3472" s="1"/>
    </row>
    <row r="3473" ht="15.75" customHeight="1">
      <c r="A3473" s="1"/>
      <c r="B3473" s="1"/>
      <c r="C3473" s="1"/>
      <c r="D3473" s="1"/>
      <c r="E3473" s="1"/>
      <c r="F3473" s="1"/>
      <c r="G3473" s="1"/>
      <c r="H3473" s="1"/>
      <c r="I3473" s="1"/>
      <c r="J3473" s="1"/>
    </row>
    <row r="3474" ht="15.75" customHeight="1">
      <c r="A3474" s="1"/>
      <c r="B3474" s="1"/>
      <c r="C3474" s="1"/>
      <c r="D3474" s="1"/>
      <c r="E3474" s="1"/>
      <c r="F3474" s="1"/>
      <c r="G3474" s="1"/>
      <c r="H3474" s="1"/>
      <c r="I3474" s="1"/>
      <c r="J3474" s="1"/>
    </row>
    <row r="3475" ht="15.75" customHeight="1">
      <c r="A3475" s="1"/>
      <c r="B3475" s="1"/>
      <c r="C3475" s="1"/>
      <c r="D3475" s="1"/>
      <c r="E3475" s="1"/>
      <c r="F3475" s="1"/>
      <c r="G3475" s="1"/>
      <c r="H3475" s="1"/>
      <c r="I3475" s="1"/>
      <c r="J3475" s="1"/>
    </row>
    <row r="3476" ht="15.75" customHeight="1">
      <c r="A3476" s="1"/>
      <c r="B3476" s="1"/>
      <c r="C3476" s="1"/>
      <c r="D3476" s="1"/>
      <c r="E3476" s="1"/>
      <c r="F3476" s="1"/>
      <c r="G3476" s="1"/>
      <c r="H3476" s="1"/>
      <c r="I3476" s="1"/>
      <c r="J3476" s="1"/>
    </row>
    <row r="3477" ht="15.75" customHeight="1">
      <c r="A3477" s="1"/>
      <c r="B3477" s="1"/>
      <c r="C3477" s="1"/>
      <c r="D3477" s="1"/>
      <c r="E3477" s="1"/>
      <c r="F3477" s="1"/>
      <c r="G3477" s="1"/>
      <c r="H3477" s="1"/>
      <c r="I3477" s="1"/>
      <c r="J3477" s="1"/>
    </row>
    <row r="3478" ht="15.75" customHeight="1">
      <c r="A3478" s="1"/>
      <c r="B3478" s="1"/>
      <c r="C3478" s="1"/>
      <c r="D3478" s="1"/>
      <c r="E3478" s="1"/>
      <c r="F3478" s="1"/>
      <c r="G3478" s="1"/>
      <c r="H3478" s="1"/>
      <c r="I3478" s="1"/>
      <c r="J3478" s="1"/>
    </row>
    <row r="3479" ht="15.75" customHeight="1">
      <c r="A3479" s="1"/>
      <c r="B3479" s="1"/>
      <c r="C3479" s="1"/>
      <c r="D3479" s="1"/>
      <c r="E3479" s="1"/>
      <c r="F3479" s="1"/>
      <c r="G3479" s="1"/>
      <c r="H3479" s="1"/>
      <c r="I3479" s="1"/>
      <c r="J3479" s="1"/>
    </row>
    <row r="3480" ht="15.75" customHeight="1">
      <c r="A3480" s="1"/>
      <c r="B3480" s="1"/>
      <c r="C3480" s="1"/>
      <c r="D3480" s="1"/>
      <c r="E3480" s="1"/>
      <c r="F3480" s="1"/>
      <c r="G3480" s="1"/>
      <c r="H3480" s="1"/>
      <c r="I3480" s="1"/>
      <c r="J3480" s="1"/>
    </row>
    <row r="3481" ht="15.75" customHeight="1">
      <c r="A3481" s="1"/>
      <c r="B3481" s="1"/>
      <c r="C3481" s="1"/>
      <c r="D3481" s="1"/>
      <c r="E3481" s="1"/>
      <c r="F3481" s="1"/>
      <c r="G3481" s="1"/>
      <c r="H3481" s="1"/>
      <c r="I3481" s="1"/>
      <c r="J3481" s="1"/>
    </row>
    <row r="3482" ht="15.75" customHeight="1">
      <c r="A3482" s="1"/>
      <c r="B3482" s="1"/>
      <c r="C3482" s="1"/>
      <c r="D3482" s="1"/>
      <c r="E3482" s="1"/>
      <c r="F3482" s="1"/>
      <c r="G3482" s="1"/>
      <c r="H3482" s="1"/>
      <c r="I3482" s="1"/>
      <c r="J3482" s="1"/>
    </row>
    <row r="3483" ht="15.75" customHeight="1">
      <c r="A3483" s="1"/>
      <c r="B3483" s="1"/>
      <c r="C3483" s="1"/>
      <c r="D3483" s="1"/>
      <c r="E3483" s="1"/>
      <c r="F3483" s="1"/>
      <c r="G3483" s="1"/>
      <c r="H3483" s="1"/>
      <c r="I3483" s="1"/>
      <c r="J3483" s="1"/>
    </row>
    <row r="3484" ht="15.75" customHeight="1">
      <c r="A3484" s="1"/>
      <c r="B3484" s="1"/>
      <c r="C3484" s="1"/>
      <c r="D3484" s="1"/>
      <c r="E3484" s="1"/>
      <c r="F3484" s="1"/>
      <c r="G3484" s="1"/>
      <c r="H3484" s="1"/>
      <c r="I3484" s="1"/>
      <c r="J3484" s="1"/>
    </row>
    <row r="3485" ht="15.75" customHeight="1">
      <c r="A3485" s="1"/>
      <c r="B3485" s="1"/>
      <c r="C3485" s="1"/>
      <c r="D3485" s="1"/>
      <c r="E3485" s="1"/>
      <c r="F3485" s="1"/>
      <c r="G3485" s="1"/>
      <c r="H3485" s="1"/>
      <c r="I3485" s="1"/>
      <c r="J3485" s="1"/>
    </row>
    <row r="3486" ht="15.75" customHeight="1">
      <c r="A3486" s="1"/>
      <c r="B3486" s="1"/>
      <c r="C3486" s="1"/>
      <c r="D3486" s="1"/>
      <c r="E3486" s="1"/>
      <c r="F3486" s="1"/>
      <c r="G3486" s="1"/>
      <c r="H3486" s="1"/>
      <c r="I3486" s="1"/>
      <c r="J3486" s="1"/>
    </row>
    <row r="3487" ht="15.75" customHeight="1">
      <c r="A3487" s="1"/>
      <c r="B3487" s="1"/>
      <c r="C3487" s="1"/>
      <c r="D3487" s="1"/>
      <c r="E3487" s="1"/>
      <c r="F3487" s="1"/>
      <c r="G3487" s="1"/>
      <c r="H3487" s="1"/>
      <c r="I3487" s="1"/>
      <c r="J3487" s="1"/>
    </row>
    <row r="3488" ht="15.75" customHeight="1">
      <c r="A3488" s="1"/>
      <c r="B3488" s="1"/>
      <c r="C3488" s="1"/>
      <c r="D3488" s="1"/>
      <c r="E3488" s="1"/>
      <c r="F3488" s="1"/>
      <c r="G3488" s="1"/>
      <c r="H3488" s="1"/>
      <c r="I3488" s="1"/>
      <c r="J3488" s="1"/>
    </row>
    <row r="3489" ht="15.75" customHeight="1">
      <c r="A3489" s="1"/>
      <c r="B3489" s="1"/>
      <c r="C3489" s="1"/>
      <c r="D3489" s="1"/>
      <c r="E3489" s="1"/>
      <c r="F3489" s="1"/>
      <c r="G3489" s="1"/>
      <c r="H3489" s="1"/>
      <c r="I3489" s="1"/>
      <c r="J3489" s="1"/>
    </row>
    <row r="3490" ht="15.75" customHeight="1">
      <c r="A3490" s="1"/>
      <c r="B3490" s="1"/>
      <c r="C3490" s="1"/>
      <c r="D3490" s="1"/>
      <c r="E3490" s="1"/>
      <c r="F3490" s="1"/>
      <c r="G3490" s="1"/>
      <c r="H3490" s="1"/>
      <c r="I3490" s="1"/>
      <c r="J3490" s="1"/>
    </row>
    <row r="3491" ht="15.75" customHeight="1">
      <c r="A3491" s="1"/>
      <c r="B3491" s="1"/>
      <c r="C3491" s="1"/>
      <c r="D3491" s="1"/>
      <c r="E3491" s="1"/>
      <c r="F3491" s="1"/>
      <c r="G3491" s="1"/>
      <c r="H3491" s="1"/>
      <c r="I3491" s="1"/>
      <c r="J3491" s="1"/>
    </row>
    <row r="3492" ht="15.75" customHeight="1">
      <c r="A3492" s="1"/>
      <c r="B3492" s="1"/>
      <c r="C3492" s="1"/>
      <c r="D3492" s="1"/>
      <c r="E3492" s="1"/>
      <c r="F3492" s="1"/>
      <c r="G3492" s="1"/>
      <c r="H3492" s="1"/>
      <c r="I3492" s="1"/>
      <c r="J3492" s="1"/>
    </row>
    <row r="3493" ht="15.75" customHeight="1">
      <c r="A3493" s="1"/>
      <c r="B3493" s="1"/>
      <c r="C3493" s="1"/>
      <c r="D3493" s="1"/>
      <c r="E3493" s="1"/>
      <c r="F3493" s="1"/>
      <c r="G3493" s="1"/>
      <c r="H3493" s="1"/>
      <c r="I3493" s="1"/>
      <c r="J3493" s="1"/>
    </row>
    <row r="3494" ht="15.75" customHeight="1">
      <c r="A3494" s="1"/>
      <c r="B3494" s="1"/>
      <c r="C3494" s="1"/>
      <c r="D3494" s="1"/>
      <c r="E3494" s="1"/>
      <c r="F3494" s="1"/>
      <c r="G3494" s="1"/>
      <c r="H3494" s="1"/>
      <c r="I3494" s="1"/>
      <c r="J3494" s="1"/>
    </row>
    <row r="3495" ht="15.75" customHeight="1">
      <c r="A3495" s="1"/>
      <c r="B3495" s="1"/>
      <c r="C3495" s="1"/>
      <c r="D3495" s="1"/>
      <c r="E3495" s="1"/>
      <c r="F3495" s="1"/>
      <c r="G3495" s="1"/>
      <c r="H3495" s="1"/>
      <c r="I3495" s="1"/>
      <c r="J3495" s="1"/>
    </row>
    <row r="3496" ht="15.75" customHeight="1">
      <c r="A3496" s="1"/>
      <c r="B3496" s="1"/>
      <c r="C3496" s="1"/>
      <c r="D3496" s="1"/>
      <c r="E3496" s="1"/>
      <c r="F3496" s="1"/>
      <c r="G3496" s="1"/>
      <c r="H3496" s="1"/>
      <c r="I3496" s="1"/>
      <c r="J3496" s="1"/>
    </row>
    <row r="3497" ht="15.75" customHeight="1">
      <c r="A3497" s="1"/>
      <c r="B3497" s="1"/>
      <c r="C3497" s="1"/>
      <c r="D3497" s="1"/>
      <c r="E3497" s="1"/>
      <c r="F3497" s="1"/>
      <c r="G3497" s="1"/>
      <c r="H3497" s="1"/>
      <c r="I3497" s="1"/>
      <c r="J3497" s="1"/>
    </row>
    <row r="3498" ht="15.75" customHeight="1">
      <c r="A3498" s="1"/>
      <c r="B3498" s="1"/>
      <c r="C3498" s="1"/>
      <c r="D3498" s="1"/>
      <c r="E3498" s="1"/>
      <c r="F3498" s="1"/>
      <c r="G3498" s="1"/>
      <c r="H3498" s="1"/>
      <c r="I3498" s="1"/>
      <c r="J3498" s="1"/>
    </row>
    <row r="3499" ht="15.75" customHeight="1">
      <c r="A3499" s="1"/>
      <c r="B3499" s="1"/>
      <c r="C3499" s="1"/>
      <c r="D3499" s="1"/>
      <c r="E3499" s="1"/>
      <c r="F3499" s="1"/>
      <c r="G3499" s="1"/>
      <c r="H3499" s="1"/>
      <c r="I3499" s="1"/>
      <c r="J3499" s="1"/>
    </row>
    <row r="3500" ht="15.75" customHeight="1">
      <c r="A3500" s="1"/>
      <c r="B3500" s="1"/>
      <c r="C3500" s="1"/>
      <c r="D3500" s="1"/>
      <c r="E3500" s="1"/>
      <c r="F3500" s="1"/>
      <c r="G3500" s="1"/>
      <c r="H3500" s="1"/>
      <c r="I3500" s="1"/>
      <c r="J3500" s="1"/>
    </row>
    <row r="3501" ht="15.75" customHeight="1">
      <c r="A3501" s="1"/>
      <c r="B3501" s="1"/>
      <c r="C3501" s="1"/>
      <c r="D3501" s="1"/>
      <c r="E3501" s="1"/>
      <c r="F3501" s="1"/>
      <c r="G3501" s="1"/>
      <c r="H3501" s="1"/>
      <c r="I3501" s="1"/>
      <c r="J3501" s="1"/>
    </row>
    <row r="3502" ht="15.75" customHeight="1">
      <c r="A3502" s="1"/>
      <c r="B3502" s="1"/>
      <c r="C3502" s="1"/>
      <c r="D3502" s="1"/>
      <c r="E3502" s="1"/>
      <c r="F3502" s="1"/>
      <c r="G3502" s="1"/>
      <c r="H3502" s="1"/>
      <c r="I3502" s="1"/>
      <c r="J3502" s="1"/>
    </row>
    <row r="3503" ht="15.75" customHeight="1">
      <c r="A3503" s="1"/>
      <c r="B3503" s="1"/>
      <c r="C3503" s="1"/>
      <c r="D3503" s="1"/>
      <c r="E3503" s="1"/>
      <c r="F3503" s="1"/>
      <c r="G3503" s="1"/>
      <c r="H3503" s="1"/>
      <c r="I3503" s="1"/>
      <c r="J3503" s="1"/>
    </row>
    <row r="3504" ht="15.75" customHeight="1">
      <c r="A3504" s="1"/>
      <c r="B3504" s="1"/>
      <c r="C3504" s="1"/>
      <c r="D3504" s="1"/>
      <c r="E3504" s="1"/>
      <c r="F3504" s="1"/>
      <c r="G3504" s="1"/>
      <c r="H3504" s="1"/>
      <c r="I3504" s="1"/>
      <c r="J3504" s="1"/>
    </row>
    <row r="3505" ht="15.75" customHeight="1">
      <c r="A3505" s="1"/>
      <c r="B3505" s="1"/>
      <c r="C3505" s="1"/>
      <c r="D3505" s="1"/>
      <c r="E3505" s="1"/>
      <c r="F3505" s="1"/>
      <c r="G3505" s="1"/>
      <c r="H3505" s="1"/>
      <c r="I3505" s="1"/>
      <c r="J3505" s="1"/>
    </row>
    <row r="3506" ht="15.75" customHeight="1">
      <c r="A3506" s="1"/>
      <c r="B3506" s="1"/>
      <c r="C3506" s="1"/>
      <c r="D3506" s="1"/>
      <c r="E3506" s="1"/>
      <c r="F3506" s="1"/>
      <c r="G3506" s="1"/>
      <c r="H3506" s="1"/>
      <c r="I3506" s="1"/>
      <c r="J3506" s="1"/>
    </row>
    <row r="3507" ht="15.75" customHeight="1">
      <c r="A3507" s="1"/>
      <c r="B3507" s="1"/>
      <c r="C3507" s="1"/>
      <c r="D3507" s="1"/>
      <c r="E3507" s="1"/>
      <c r="F3507" s="1"/>
      <c r="G3507" s="1"/>
      <c r="H3507" s="1"/>
      <c r="I3507" s="1"/>
      <c r="J3507" s="1"/>
    </row>
    <row r="3508" ht="15.75" customHeight="1">
      <c r="A3508" s="1"/>
      <c r="B3508" s="1"/>
      <c r="C3508" s="1"/>
      <c r="D3508" s="1"/>
      <c r="E3508" s="1"/>
      <c r="F3508" s="1"/>
      <c r="G3508" s="1"/>
      <c r="H3508" s="1"/>
      <c r="I3508" s="1"/>
      <c r="J3508" s="1"/>
    </row>
    <row r="3509" ht="15.75" customHeight="1">
      <c r="A3509" s="1"/>
      <c r="B3509" s="1"/>
      <c r="C3509" s="1"/>
      <c r="D3509" s="1"/>
      <c r="E3509" s="1"/>
      <c r="F3509" s="1"/>
      <c r="G3509" s="1"/>
      <c r="H3509" s="1"/>
      <c r="I3509" s="1"/>
      <c r="J3509" s="1"/>
    </row>
    <row r="3510" ht="15.75" customHeight="1">
      <c r="A3510" s="1"/>
      <c r="B3510" s="1"/>
      <c r="C3510" s="1"/>
      <c r="D3510" s="1"/>
      <c r="E3510" s="1"/>
      <c r="F3510" s="1"/>
      <c r="G3510" s="1"/>
      <c r="H3510" s="1"/>
      <c r="I3510" s="1"/>
      <c r="J3510" s="1"/>
    </row>
    <row r="3511" ht="15.75" customHeight="1">
      <c r="A3511" s="1"/>
      <c r="B3511" s="1"/>
      <c r="C3511" s="1"/>
      <c r="D3511" s="1"/>
      <c r="E3511" s="1"/>
      <c r="F3511" s="1"/>
      <c r="G3511" s="1"/>
      <c r="H3511" s="1"/>
      <c r="I3511" s="1"/>
      <c r="J3511" s="1"/>
    </row>
    <row r="3512" ht="15.75" customHeight="1">
      <c r="A3512" s="1"/>
      <c r="B3512" s="1"/>
      <c r="C3512" s="1"/>
      <c r="D3512" s="1"/>
      <c r="E3512" s="1"/>
      <c r="F3512" s="1"/>
      <c r="G3512" s="1"/>
      <c r="H3512" s="1"/>
      <c r="I3512" s="1"/>
      <c r="J3512" s="1"/>
    </row>
    <row r="3513" ht="15.75" customHeight="1">
      <c r="A3513" s="1"/>
      <c r="B3513" s="1"/>
      <c r="C3513" s="1"/>
      <c r="D3513" s="1"/>
      <c r="E3513" s="1"/>
      <c r="F3513" s="1"/>
      <c r="G3513" s="1"/>
      <c r="H3513" s="1"/>
      <c r="I3513" s="1"/>
      <c r="J3513" s="1"/>
    </row>
    <row r="3514" ht="15.75" customHeight="1">
      <c r="A3514" s="1"/>
      <c r="B3514" s="1"/>
      <c r="C3514" s="1"/>
      <c r="D3514" s="1"/>
      <c r="E3514" s="1"/>
      <c r="F3514" s="1"/>
      <c r="G3514" s="1"/>
      <c r="H3514" s="1"/>
      <c r="I3514" s="1"/>
      <c r="J3514" s="1"/>
    </row>
    <row r="3515" ht="15.75" customHeight="1">
      <c r="A3515" s="1"/>
      <c r="B3515" s="1"/>
      <c r="C3515" s="1"/>
      <c r="D3515" s="1"/>
      <c r="E3515" s="1"/>
      <c r="F3515" s="1"/>
      <c r="G3515" s="1"/>
      <c r="H3515" s="1"/>
      <c r="I3515" s="1"/>
      <c r="J3515" s="1"/>
    </row>
    <row r="3516" ht="15.75" customHeight="1">
      <c r="A3516" s="1"/>
      <c r="B3516" s="1"/>
      <c r="C3516" s="1"/>
      <c r="D3516" s="1"/>
      <c r="E3516" s="1"/>
      <c r="F3516" s="1"/>
      <c r="G3516" s="1"/>
      <c r="H3516" s="1"/>
      <c r="I3516" s="1"/>
      <c r="J3516" s="1"/>
    </row>
    <row r="3517" ht="15.75" customHeight="1">
      <c r="A3517" s="1"/>
      <c r="B3517" s="1"/>
      <c r="C3517" s="1"/>
      <c r="D3517" s="1"/>
      <c r="E3517" s="1"/>
      <c r="F3517" s="1"/>
      <c r="G3517" s="1"/>
      <c r="H3517" s="1"/>
      <c r="I3517" s="1"/>
      <c r="J3517" s="1"/>
    </row>
    <row r="3518" ht="15.75" customHeight="1">
      <c r="A3518" s="1"/>
      <c r="B3518" s="1"/>
      <c r="C3518" s="1"/>
      <c r="D3518" s="1"/>
      <c r="E3518" s="1"/>
      <c r="F3518" s="1"/>
      <c r="G3518" s="1"/>
      <c r="H3518" s="1"/>
      <c r="I3518" s="1"/>
      <c r="J3518" s="1"/>
    </row>
    <row r="3519" ht="15.75" customHeight="1">
      <c r="A3519" s="1"/>
      <c r="B3519" s="1"/>
      <c r="C3519" s="1"/>
      <c r="D3519" s="1"/>
      <c r="E3519" s="1"/>
      <c r="F3519" s="1"/>
      <c r="G3519" s="1"/>
      <c r="H3519" s="1"/>
      <c r="I3519" s="1"/>
      <c r="J3519" s="1"/>
    </row>
    <row r="3520" ht="15.75" customHeight="1">
      <c r="A3520" s="1"/>
      <c r="B3520" s="1"/>
      <c r="C3520" s="1"/>
      <c r="D3520" s="1"/>
      <c r="E3520" s="1"/>
      <c r="F3520" s="1"/>
      <c r="G3520" s="1"/>
      <c r="H3520" s="1"/>
      <c r="I3520" s="1"/>
      <c r="J3520" s="1"/>
    </row>
    <row r="3521" ht="15.75" customHeight="1">
      <c r="A3521" s="1"/>
      <c r="B3521" s="1"/>
      <c r="C3521" s="1"/>
      <c r="D3521" s="1"/>
      <c r="E3521" s="1"/>
      <c r="F3521" s="1"/>
      <c r="G3521" s="1"/>
      <c r="H3521" s="1"/>
      <c r="I3521" s="1"/>
      <c r="J3521" s="1"/>
    </row>
    <row r="3522" ht="15.75" customHeight="1">
      <c r="A3522" s="1"/>
      <c r="B3522" s="1"/>
      <c r="C3522" s="1"/>
      <c r="D3522" s="1"/>
      <c r="E3522" s="1"/>
      <c r="F3522" s="1"/>
      <c r="G3522" s="1"/>
      <c r="H3522" s="1"/>
      <c r="I3522" s="1"/>
      <c r="J3522" s="1"/>
    </row>
    <row r="3523" ht="15.75" customHeight="1">
      <c r="A3523" s="1"/>
      <c r="B3523" s="1"/>
      <c r="C3523" s="1"/>
      <c r="D3523" s="1"/>
      <c r="E3523" s="1"/>
      <c r="F3523" s="1"/>
      <c r="G3523" s="1"/>
      <c r="H3523" s="1"/>
      <c r="I3523" s="1"/>
      <c r="J3523" s="1"/>
    </row>
    <row r="3524" ht="15.75" customHeight="1">
      <c r="A3524" s="1"/>
      <c r="B3524" s="1"/>
      <c r="C3524" s="1"/>
      <c r="D3524" s="1"/>
      <c r="E3524" s="1"/>
      <c r="F3524" s="1"/>
      <c r="G3524" s="1"/>
      <c r="H3524" s="1"/>
      <c r="I3524" s="1"/>
      <c r="J3524" s="1"/>
    </row>
    <row r="3525" ht="15.75" customHeight="1">
      <c r="A3525" s="1"/>
      <c r="B3525" s="1"/>
      <c r="C3525" s="1"/>
      <c r="D3525" s="1"/>
      <c r="E3525" s="1"/>
      <c r="F3525" s="1"/>
      <c r="G3525" s="1"/>
      <c r="H3525" s="1"/>
      <c r="I3525" s="1"/>
      <c r="J3525" s="1"/>
    </row>
    <row r="3526" ht="15.75" customHeight="1">
      <c r="A3526" s="1"/>
      <c r="B3526" s="1"/>
      <c r="C3526" s="1"/>
      <c r="D3526" s="1"/>
      <c r="E3526" s="1"/>
      <c r="F3526" s="1"/>
      <c r="G3526" s="1"/>
      <c r="H3526" s="1"/>
      <c r="I3526" s="1"/>
      <c r="J3526" s="1"/>
    </row>
    <row r="3527" ht="15.75" customHeight="1">
      <c r="A3527" s="1"/>
      <c r="B3527" s="1"/>
      <c r="C3527" s="1"/>
      <c r="D3527" s="1"/>
      <c r="E3527" s="1"/>
      <c r="F3527" s="1"/>
      <c r="G3527" s="1"/>
      <c r="H3527" s="1"/>
      <c r="I3527" s="1"/>
      <c r="J3527" s="1"/>
    </row>
    <row r="3528" ht="15.75" customHeight="1">
      <c r="A3528" s="1"/>
      <c r="B3528" s="1"/>
      <c r="C3528" s="1"/>
      <c r="D3528" s="1"/>
      <c r="E3528" s="1"/>
      <c r="F3528" s="1"/>
      <c r="G3528" s="1"/>
      <c r="H3528" s="1"/>
      <c r="I3528" s="1"/>
      <c r="J3528" s="1"/>
    </row>
    <row r="3529" ht="15.75" customHeight="1">
      <c r="A3529" s="1"/>
      <c r="B3529" s="1"/>
      <c r="C3529" s="1"/>
      <c r="D3529" s="1"/>
      <c r="E3529" s="1"/>
      <c r="F3529" s="1"/>
      <c r="G3529" s="1"/>
      <c r="H3529" s="1"/>
      <c r="I3529" s="1"/>
      <c r="J3529" s="1"/>
    </row>
    <row r="3530" ht="15.75" customHeight="1">
      <c r="A3530" s="1"/>
      <c r="B3530" s="1"/>
      <c r="C3530" s="1"/>
      <c r="D3530" s="1"/>
      <c r="E3530" s="1"/>
      <c r="F3530" s="1"/>
      <c r="G3530" s="1"/>
      <c r="H3530" s="1"/>
      <c r="I3530" s="1"/>
      <c r="J3530" s="1"/>
    </row>
    <row r="3531" ht="15.75" customHeight="1">
      <c r="A3531" s="1"/>
      <c r="B3531" s="1"/>
      <c r="C3531" s="1"/>
      <c r="D3531" s="1"/>
      <c r="E3531" s="1"/>
      <c r="F3531" s="1"/>
      <c r="G3531" s="1"/>
      <c r="H3531" s="1"/>
      <c r="I3531" s="1"/>
      <c r="J3531" s="1"/>
    </row>
    <row r="3532" ht="15.75" customHeight="1">
      <c r="A3532" s="1"/>
      <c r="B3532" s="1"/>
      <c r="C3532" s="1"/>
      <c r="D3532" s="1"/>
      <c r="E3532" s="1"/>
      <c r="F3532" s="1"/>
      <c r="G3532" s="1"/>
      <c r="H3532" s="1"/>
      <c r="I3532" s="1"/>
      <c r="J3532" s="1"/>
    </row>
    <row r="3533" ht="15.75" customHeight="1">
      <c r="A3533" s="1"/>
      <c r="B3533" s="1"/>
      <c r="C3533" s="1"/>
      <c r="D3533" s="1"/>
      <c r="E3533" s="1"/>
      <c r="F3533" s="1"/>
      <c r="G3533" s="1"/>
      <c r="H3533" s="1"/>
      <c r="I3533" s="1"/>
      <c r="J3533" s="1"/>
    </row>
    <row r="3534" ht="15.75" customHeight="1">
      <c r="A3534" s="1"/>
      <c r="B3534" s="1"/>
      <c r="C3534" s="1"/>
      <c r="D3534" s="1"/>
      <c r="E3534" s="1"/>
      <c r="F3534" s="1"/>
      <c r="G3534" s="1"/>
      <c r="H3534" s="1"/>
      <c r="I3534" s="1"/>
      <c r="J3534" s="1"/>
    </row>
    <row r="3535" ht="15.75" customHeight="1">
      <c r="A3535" s="1"/>
      <c r="B3535" s="1"/>
      <c r="C3535" s="1"/>
      <c r="D3535" s="1"/>
      <c r="E3535" s="1"/>
      <c r="F3535" s="1"/>
      <c r="G3535" s="1"/>
      <c r="H3535" s="1"/>
      <c r="I3535" s="1"/>
      <c r="J3535" s="1"/>
    </row>
    <row r="3536" ht="15.75" customHeight="1">
      <c r="A3536" s="1"/>
      <c r="B3536" s="1"/>
      <c r="C3536" s="1"/>
      <c r="D3536" s="1"/>
      <c r="E3536" s="1"/>
      <c r="F3536" s="1"/>
      <c r="G3536" s="1"/>
      <c r="H3536" s="1"/>
      <c r="I3536" s="1"/>
      <c r="J3536" s="1"/>
    </row>
    <row r="3537" ht="15.75" customHeight="1">
      <c r="A3537" s="1"/>
      <c r="B3537" s="1"/>
      <c r="C3537" s="1"/>
      <c r="D3537" s="1"/>
      <c r="E3537" s="1"/>
      <c r="F3537" s="1"/>
      <c r="G3537" s="1"/>
      <c r="H3537" s="1"/>
      <c r="I3537" s="1"/>
      <c r="J3537" s="1"/>
    </row>
    <row r="3538" ht="15.75" customHeight="1">
      <c r="A3538" s="1"/>
      <c r="B3538" s="1"/>
      <c r="C3538" s="1"/>
      <c r="D3538" s="1"/>
      <c r="E3538" s="1"/>
      <c r="F3538" s="1"/>
      <c r="G3538" s="1"/>
      <c r="H3538" s="1"/>
      <c r="I3538" s="1"/>
      <c r="J3538" s="1"/>
    </row>
    <row r="3539" ht="15.75" customHeight="1">
      <c r="A3539" s="1"/>
      <c r="B3539" s="1"/>
      <c r="C3539" s="1"/>
      <c r="D3539" s="1"/>
      <c r="E3539" s="1"/>
      <c r="F3539" s="1"/>
      <c r="G3539" s="1"/>
      <c r="H3539" s="1"/>
      <c r="I3539" s="1"/>
      <c r="J3539" s="1"/>
    </row>
    <row r="3540" ht="15.75" customHeight="1">
      <c r="A3540" s="1"/>
      <c r="B3540" s="1"/>
      <c r="C3540" s="1"/>
      <c r="D3540" s="1"/>
      <c r="E3540" s="1"/>
      <c r="F3540" s="1"/>
      <c r="G3540" s="1"/>
      <c r="H3540" s="1"/>
      <c r="I3540" s="1"/>
      <c r="J3540" s="1"/>
    </row>
    <row r="3541" ht="15.75" customHeight="1">
      <c r="A3541" s="1"/>
      <c r="B3541" s="1"/>
      <c r="C3541" s="1"/>
      <c r="D3541" s="1"/>
      <c r="E3541" s="1"/>
      <c r="F3541" s="1"/>
      <c r="G3541" s="1"/>
      <c r="H3541" s="1"/>
      <c r="I3541" s="1"/>
      <c r="J3541" s="1"/>
    </row>
    <row r="3542" ht="15.75" customHeight="1">
      <c r="A3542" s="1"/>
      <c r="B3542" s="1"/>
      <c r="C3542" s="1"/>
      <c r="D3542" s="1"/>
      <c r="E3542" s="1"/>
      <c r="F3542" s="1"/>
      <c r="G3542" s="1"/>
      <c r="H3542" s="1"/>
      <c r="I3542" s="1"/>
      <c r="J3542" s="1"/>
    </row>
    <row r="3543" ht="15.75" customHeight="1">
      <c r="A3543" s="1"/>
      <c r="B3543" s="1"/>
      <c r="C3543" s="1"/>
      <c r="D3543" s="1"/>
      <c r="E3543" s="1"/>
      <c r="F3543" s="1"/>
      <c r="G3543" s="1"/>
      <c r="H3543" s="1"/>
      <c r="I3543" s="1"/>
      <c r="J3543" s="1"/>
    </row>
    <row r="3544" ht="15.75" customHeight="1">
      <c r="A3544" s="1"/>
      <c r="B3544" s="1"/>
      <c r="C3544" s="1"/>
      <c r="D3544" s="1"/>
      <c r="E3544" s="1"/>
      <c r="F3544" s="1"/>
      <c r="G3544" s="1"/>
      <c r="H3544" s="1"/>
      <c r="I3544" s="1"/>
      <c r="J3544" s="1"/>
    </row>
    <row r="3545" ht="15.75" customHeight="1">
      <c r="A3545" s="1"/>
      <c r="B3545" s="1"/>
      <c r="C3545" s="1"/>
      <c r="D3545" s="1"/>
      <c r="E3545" s="1"/>
      <c r="F3545" s="1"/>
      <c r="G3545" s="1"/>
      <c r="H3545" s="1"/>
      <c r="I3545" s="1"/>
      <c r="J3545" s="1"/>
    </row>
    <row r="3546" ht="15.75" customHeight="1">
      <c r="A3546" s="1"/>
      <c r="B3546" s="1"/>
      <c r="C3546" s="1"/>
      <c r="D3546" s="1"/>
      <c r="E3546" s="1"/>
      <c r="F3546" s="1"/>
      <c r="G3546" s="1"/>
      <c r="H3546" s="1"/>
      <c r="I3546" s="1"/>
      <c r="J3546" s="1"/>
    </row>
    <row r="3547" ht="15.75" customHeight="1">
      <c r="A3547" s="1"/>
      <c r="B3547" s="1"/>
      <c r="C3547" s="1"/>
      <c r="D3547" s="1"/>
      <c r="E3547" s="1"/>
      <c r="F3547" s="1"/>
      <c r="G3547" s="1"/>
      <c r="H3547" s="1"/>
      <c r="I3547" s="1"/>
      <c r="J3547" s="1"/>
    </row>
    <row r="3548" ht="15.75" customHeight="1">
      <c r="A3548" s="1"/>
      <c r="B3548" s="1"/>
      <c r="C3548" s="1"/>
      <c r="D3548" s="1"/>
      <c r="E3548" s="1"/>
      <c r="F3548" s="1"/>
      <c r="G3548" s="1"/>
      <c r="H3548" s="1"/>
      <c r="I3548" s="1"/>
      <c r="J3548" s="1"/>
    </row>
    <row r="3549" ht="15.75" customHeight="1">
      <c r="A3549" s="1"/>
      <c r="B3549" s="1"/>
      <c r="C3549" s="1"/>
      <c r="D3549" s="1"/>
      <c r="E3549" s="1"/>
      <c r="F3549" s="1"/>
      <c r="G3549" s="1"/>
      <c r="H3549" s="1"/>
      <c r="I3549" s="1"/>
      <c r="J3549" s="1"/>
    </row>
    <row r="3550" ht="15.75" customHeight="1">
      <c r="A3550" s="1"/>
      <c r="B3550" s="1"/>
      <c r="C3550" s="1"/>
      <c r="D3550" s="1"/>
      <c r="E3550" s="1"/>
      <c r="F3550" s="1"/>
      <c r="G3550" s="1"/>
      <c r="H3550" s="1"/>
      <c r="I3550" s="1"/>
      <c r="J3550" s="1"/>
    </row>
    <row r="3551" ht="15.75" customHeight="1">
      <c r="A3551" s="1"/>
      <c r="B3551" s="1"/>
      <c r="C3551" s="1"/>
      <c r="D3551" s="1"/>
      <c r="E3551" s="1"/>
      <c r="F3551" s="1"/>
      <c r="G3551" s="1"/>
      <c r="H3551" s="1"/>
      <c r="I3551" s="1"/>
      <c r="J3551" s="1"/>
    </row>
    <row r="3552" ht="15.75" customHeight="1">
      <c r="A3552" s="1"/>
      <c r="B3552" s="1"/>
      <c r="C3552" s="1"/>
      <c r="D3552" s="1"/>
      <c r="E3552" s="1"/>
      <c r="F3552" s="1"/>
      <c r="G3552" s="1"/>
      <c r="H3552" s="1"/>
      <c r="I3552" s="1"/>
      <c r="J3552" s="1"/>
    </row>
    <row r="3553" ht="15.75" customHeight="1">
      <c r="A3553" s="1"/>
      <c r="B3553" s="1"/>
      <c r="C3553" s="1"/>
      <c r="D3553" s="1"/>
      <c r="E3553" s="1"/>
      <c r="F3553" s="1"/>
      <c r="G3553" s="1"/>
      <c r="H3553" s="1"/>
      <c r="I3553" s="1"/>
      <c r="J3553" s="1"/>
    </row>
    <row r="3554" ht="15.75" customHeight="1">
      <c r="A3554" s="1"/>
      <c r="B3554" s="1"/>
      <c r="C3554" s="1"/>
      <c r="D3554" s="1"/>
      <c r="E3554" s="1"/>
      <c r="F3554" s="1"/>
      <c r="G3554" s="1"/>
      <c r="H3554" s="1"/>
      <c r="I3554" s="1"/>
      <c r="J3554" s="1"/>
    </row>
    <row r="3555" ht="15.75" customHeight="1">
      <c r="A3555" s="1"/>
      <c r="B3555" s="1"/>
      <c r="C3555" s="1"/>
      <c r="D3555" s="1"/>
      <c r="E3555" s="1"/>
      <c r="F3555" s="1"/>
      <c r="G3555" s="1"/>
      <c r="H3555" s="1"/>
      <c r="I3555" s="1"/>
      <c r="J3555" s="1"/>
    </row>
    <row r="3556" ht="15.75" customHeight="1">
      <c r="A3556" s="1"/>
      <c r="B3556" s="1"/>
      <c r="C3556" s="1"/>
      <c r="D3556" s="1"/>
      <c r="E3556" s="1"/>
      <c r="F3556" s="1"/>
      <c r="G3556" s="1"/>
      <c r="H3556" s="1"/>
      <c r="I3556" s="1"/>
      <c r="J3556" s="1"/>
    </row>
    <row r="3557" ht="15.75" customHeight="1">
      <c r="A3557" s="1"/>
      <c r="B3557" s="1"/>
      <c r="C3557" s="1"/>
      <c r="D3557" s="1"/>
      <c r="E3557" s="1"/>
      <c r="F3557" s="1"/>
      <c r="G3557" s="1"/>
      <c r="H3557" s="1"/>
      <c r="I3557" s="1"/>
      <c r="J3557" s="1"/>
    </row>
    <row r="3558" ht="15.75" customHeight="1">
      <c r="A3558" s="1"/>
      <c r="B3558" s="1"/>
      <c r="C3558" s="1"/>
      <c r="D3558" s="1"/>
      <c r="E3558" s="1"/>
      <c r="F3558" s="1"/>
      <c r="G3558" s="1"/>
      <c r="H3558" s="1"/>
      <c r="I3558" s="1"/>
      <c r="J3558" s="1"/>
    </row>
    <row r="3559" ht="15.75" customHeight="1">
      <c r="A3559" s="1"/>
      <c r="B3559" s="1"/>
      <c r="C3559" s="1"/>
      <c r="D3559" s="1"/>
      <c r="E3559" s="1"/>
      <c r="F3559" s="1"/>
      <c r="G3559" s="1"/>
      <c r="H3559" s="1"/>
      <c r="I3559" s="1"/>
      <c r="J3559" s="1"/>
    </row>
    <row r="3560" ht="15.75" customHeight="1">
      <c r="A3560" s="1"/>
      <c r="B3560" s="1"/>
      <c r="C3560" s="1"/>
      <c r="D3560" s="1"/>
      <c r="E3560" s="1"/>
      <c r="F3560" s="1"/>
      <c r="G3560" s="1"/>
      <c r="H3560" s="1"/>
      <c r="I3560" s="1"/>
      <c r="J3560" s="1"/>
    </row>
    <row r="3561" ht="15.75" customHeight="1">
      <c r="A3561" s="1"/>
      <c r="B3561" s="1"/>
      <c r="C3561" s="1"/>
      <c r="D3561" s="1"/>
      <c r="E3561" s="1"/>
      <c r="F3561" s="1"/>
      <c r="G3561" s="1"/>
      <c r="H3561" s="1"/>
      <c r="I3561" s="1"/>
      <c r="J3561" s="1"/>
    </row>
    <row r="3562" ht="15.75" customHeight="1">
      <c r="A3562" s="1"/>
      <c r="B3562" s="1"/>
      <c r="C3562" s="1"/>
      <c r="D3562" s="1"/>
      <c r="E3562" s="1"/>
      <c r="F3562" s="1"/>
      <c r="G3562" s="1"/>
      <c r="H3562" s="1"/>
      <c r="I3562" s="1"/>
      <c r="J3562" s="1"/>
    </row>
    <row r="3563" ht="15.75" customHeight="1">
      <c r="A3563" s="1"/>
      <c r="B3563" s="1"/>
      <c r="C3563" s="1"/>
      <c r="D3563" s="1"/>
      <c r="E3563" s="1"/>
      <c r="F3563" s="1"/>
      <c r="G3563" s="1"/>
      <c r="H3563" s="1"/>
      <c r="I3563" s="1"/>
      <c r="J3563" s="1"/>
    </row>
    <row r="3564" ht="15.75" customHeight="1">
      <c r="A3564" s="1"/>
      <c r="B3564" s="1"/>
      <c r="C3564" s="1"/>
      <c r="D3564" s="1"/>
      <c r="E3564" s="1"/>
      <c r="F3564" s="1"/>
      <c r="G3564" s="1"/>
      <c r="H3564" s="1"/>
      <c r="I3564" s="1"/>
      <c r="J3564" s="1"/>
    </row>
    <row r="3565" ht="15.75" customHeight="1">
      <c r="A3565" s="1"/>
      <c r="B3565" s="1"/>
      <c r="C3565" s="1"/>
      <c r="D3565" s="1"/>
      <c r="E3565" s="1"/>
      <c r="F3565" s="1"/>
      <c r="G3565" s="1"/>
      <c r="H3565" s="1"/>
      <c r="I3565" s="1"/>
      <c r="J3565" s="1"/>
    </row>
    <row r="3566" ht="15.75" customHeight="1">
      <c r="A3566" s="1"/>
      <c r="B3566" s="1"/>
      <c r="C3566" s="1"/>
      <c r="D3566" s="1"/>
      <c r="E3566" s="1"/>
      <c r="F3566" s="1"/>
      <c r="G3566" s="1"/>
      <c r="H3566" s="1"/>
      <c r="I3566" s="1"/>
      <c r="J3566" s="1"/>
    </row>
    <row r="3567" ht="15.75" customHeight="1">
      <c r="A3567" s="1"/>
      <c r="B3567" s="1"/>
      <c r="C3567" s="1"/>
      <c r="D3567" s="1"/>
      <c r="E3567" s="1"/>
      <c r="F3567" s="1"/>
      <c r="G3567" s="1"/>
      <c r="H3567" s="1"/>
      <c r="I3567" s="1"/>
      <c r="J3567" s="1"/>
    </row>
    <row r="3568" ht="15.75" customHeight="1">
      <c r="A3568" s="1"/>
      <c r="B3568" s="1"/>
      <c r="C3568" s="1"/>
      <c r="D3568" s="1"/>
      <c r="E3568" s="1"/>
      <c r="F3568" s="1"/>
      <c r="G3568" s="1"/>
      <c r="H3568" s="1"/>
      <c r="I3568" s="1"/>
      <c r="J3568" s="1"/>
    </row>
    <row r="3569" ht="15.75" customHeight="1">
      <c r="A3569" s="1"/>
      <c r="B3569" s="1"/>
      <c r="C3569" s="1"/>
      <c r="D3569" s="1"/>
      <c r="E3569" s="1"/>
      <c r="F3569" s="1"/>
      <c r="G3569" s="1"/>
      <c r="H3569" s="1"/>
      <c r="I3569" s="1"/>
      <c r="J3569" s="1"/>
    </row>
    <row r="3570" ht="15.75" customHeight="1">
      <c r="A3570" s="1"/>
      <c r="B3570" s="1"/>
      <c r="C3570" s="1"/>
      <c r="D3570" s="1"/>
      <c r="E3570" s="1"/>
      <c r="F3570" s="1"/>
      <c r="G3570" s="1"/>
      <c r="H3570" s="1"/>
      <c r="I3570" s="1"/>
      <c r="J3570" s="1"/>
    </row>
    <row r="3571" ht="15.75" customHeight="1">
      <c r="A3571" s="1"/>
      <c r="B3571" s="1"/>
      <c r="C3571" s="1"/>
      <c r="D3571" s="1"/>
      <c r="E3571" s="1"/>
      <c r="F3571" s="1"/>
      <c r="G3571" s="1"/>
      <c r="H3571" s="1"/>
      <c r="I3571" s="1"/>
      <c r="J3571" s="1"/>
    </row>
    <row r="3572" ht="15.75" customHeight="1">
      <c r="A3572" s="1"/>
      <c r="B3572" s="1"/>
      <c r="C3572" s="1"/>
      <c r="D3572" s="1"/>
      <c r="E3572" s="1"/>
      <c r="F3572" s="1"/>
      <c r="G3572" s="1"/>
      <c r="H3572" s="1"/>
      <c r="I3572" s="1"/>
      <c r="J3572" s="1"/>
    </row>
    <row r="3573" ht="15.75" customHeight="1">
      <c r="A3573" s="1"/>
      <c r="B3573" s="1"/>
      <c r="C3573" s="1"/>
      <c r="D3573" s="1"/>
      <c r="E3573" s="1"/>
      <c r="F3573" s="1"/>
      <c r="G3573" s="1"/>
      <c r="H3573" s="1"/>
      <c r="I3573" s="1"/>
      <c r="J3573" s="1"/>
    </row>
    <row r="3574" ht="15.75" customHeight="1">
      <c r="A3574" s="1"/>
      <c r="B3574" s="1"/>
      <c r="C3574" s="1"/>
      <c r="D3574" s="1"/>
      <c r="E3574" s="1"/>
      <c r="F3574" s="1"/>
      <c r="G3574" s="1"/>
      <c r="H3574" s="1"/>
      <c r="I3574" s="1"/>
      <c r="J3574" s="1"/>
    </row>
    <row r="3575" ht="15.75" customHeight="1">
      <c r="A3575" s="1"/>
      <c r="B3575" s="1"/>
      <c r="C3575" s="1"/>
      <c r="D3575" s="1"/>
      <c r="E3575" s="1"/>
      <c r="F3575" s="1"/>
      <c r="G3575" s="1"/>
      <c r="H3575" s="1"/>
      <c r="I3575" s="1"/>
      <c r="J3575" s="1"/>
    </row>
    <row r="3576" ht="15.75" customHeight="1">
      <c r="A3576" s="1"/>
      <c r="B3576" s="1"/>
      <c r="C3576" s="1"/>
      <c r="D3576" s="1"/>
      <c r="E3576" s="1"/>
      <c r="F3576" s="1"/>
      <c r="G3576" s="1"/>
      <c r="H3576" s="1"/>
      <c r="I3576" s="1"/>
      <c r="J3576" s="1"/>
    </row>
    <row r="3577" ht="15.75" customHeight="1">
      <c r="A3577" s="1"/>
      <c r="B3577" s="1"/>
      <c r="C3577" s="1"/>
      <c r="D3577" s="1"/>
      <c r="E3577" s="1"/>
      <c r="F3577" s="1"/>
      <c r="G3577" s="1"/>
      <c r="H3577" s="1"/>
      <c r="I3577" s="1"/>
      <c r="J3577" s="1"/>
    </row>
    <row r="3578" ht="15.75" customHeight="1">
      <c r="A3578" s="1"/>
      <c r="B3578" s="1"/>
      <c r="C3578" s="1"/>
      <c r="D3578" s="1"/>
      <c r="E3578" s="1"/>
      <c r="F3578" s="1"/>
      <c r="G3578" s="1"/>
      <c r="H3578" s="1"/>
      <c r="I3578" s="1"/>
      <c r="J3578" s="1"/>
    </row>
    <row r="3579" ht="15.75" customHeight="1">
      <c r="A3579" s="1"/>
      <c r="B3579" s="1"/>
      <c r="C3579" s="1"/>
      <c r="D3579" s="1"/>
      <c r="E3579" s="1"/>
      <c r="F3579" s="1"/>
      <c r="G3579" s="1"/>
      <c r="H3579" s="1"/>
      <c r="I3579" s="1"/>
      <c r="J3579" s="1"/>
    </row>
    <row r="3580" ht="15.75" customHeight="1">
      <c r="A3580" s="1"/>
      <c r="B3580" s="1"/>
      <c r="C3580" s="1"/>
      <c r="D3580" s="1"/>
      <c r="E3580" s="1"/>
      <c r="F3580" s="1"/>
      <c r="G3580" s="1"/>
      <c r="H3580" s="1"/>
      <c r="I3580" s="1"/>
      <c r="J3580" s="1"/>
    </row>
    <row r="3581" ht="15.75" customHeight="1">
      <c r="A3581" s="1"/>
      <c r="B3581" s="1"/>
      <c r="C3581" s="1"/>
      <c r="D3581" s="1"/>
      <c r="E3581" s="1"/>
      <c r="F3581" s="1"/>
      <c r="G3581" s="1"/>
      <c r="H3581" s="1"/>
      <c r="I3581" s="1"/>
      <c r="J3581" s="1"/>
    </row>
    <row r="3582" ht="15.75" customHeight="1">
      <c r="A3582" s="1"/>
      <c r="B3582" s="1"/>
      <c r="C3582" s="1"/>
      <c r="D3582" s="1"/>
      <c r="E3582" s="1"/>
      <c r="F3582" s="1"/>
      <c r="G3582" s="1"/>
      <c r="H3582" s="1"/>
      <c r="I3582" s="1"/>
      <c r="J3582" s="1"/>
    </row>
    <row r="3583" ht="15.75" customHeight="1">
      <c r="A3583" s="1"/>
      <c r="B3583" s="1"/>
      <c r="C3583" s="1"/>
      <c r="D3583" s="1"/>
      <c r="E3583" s="1"/>
      <c r="F3583" s="1"/>
      <c r="G3583" s="1"/>
      <c r="H3583" s="1"/>
      <c r="I3583" s="1"/>
      <c r="J3583" s="1"/>
    </row>
    <row r="3584" ht="15.75" customHeight="1">
      <c r="A3584" s="1"/>
      <c r="B3584" s="1"/>
      <c r="C3584" s="1"/>
      <c r="D3584" s="1"/>
      <c r="E3584" s="1"/>
      <c r="F3584" s="1"/>
      <c r="G3584" s="1"/>
      <c r="H3584" s="1"/>
      <c r="I3584" s="1"/>
      <c r="J3584" s="1"/>
    </row>
    <row r="3585" ht="15.75" customHeight="1">
      <c r="A3585" s="1"/>
      <c r="B3585" s="1"/>
      <c r="C3585" s="1"/>
      <c r="D3585" s="1"/>
      <c r="E3585" s="1"/>
      <c r="F3585" s="1"/>
      <c r="G3585" s="1"/>
      <c r="H3585" s="1"/>
      <c r="I3585" s="1"/>
      <c r="J3585" s="1"/>
    </row>
    <row r="3586" ht="15.75" customHeight="1">
      <c r="A3586" s="1"/>
      <c r="B3586" s="1"/>
      <c r="C3586" s="1"/>
      <c r="D3586" s="1"/>
      <c r="E3586" s="1"/>
      <c r="F3586" s="1"/>
      <c r="G3586" s="1"/>
      <c r="H3586" s="1"/>
      <c r="I3586" s="1"/>
      <c r="J3586" s="1"/>
    </row>
    <row r="3587" ht="15.75" customHeight="1">
      <c r="A3587" s="1"/>
      <c r="B3587" s="1"/>
      <c r="C3587" s="1"/>
      <c r="D3587" s="1"/>
      <c r="E3587" s="1"/>
      <c r="F3587" s="1"/>
      <c r="G3587" s="1"/>
      <c r="H3587" s="1"/>
      <c r="I3587" s="1"/>
      <c r="J3587" s="1"/>
    </row>
    <row r="3588" ht="15.75" customHeight="1">
      <c r="A3588" s="1"/>
      <c r="B3588" s="1"/>
      <c r="C3588" s="1"/>
      <c r="D3588" s="1"/>
      <c r="E3588" s="1"/>
      <c r="F3588" s="1"/>
      <c r="G3588" s="1"/>
      <c r="H3588" s="1"/>
      <c r="I3588" s="1"/>
      <c r="J3588" s="1"/>
    </row>
    <row r="3589" ht="15.75" customHeight="1">
      <c r="A3589" s="1"/>
      <c r="B3589" s="1"/>
      <c r="C3589" s="1"/>
      <c r="D3589" s="1"/>
      <c r="E3589" s="1"/>
      <c r="F3589" s="1"/>
      <c r="G3589" s="1"/>
      <c r="H3589" s="1"/>
      <c r="I3589" s="1"/>
      <c r="J3589" s="1"/>
    </row>
    <row r="3590" ht="15.75" customHeight="1">
      <c r="A3590" s="1"/>
      <c r="B3590" s="1"/>
      <c r="C3590" s="1"/>
      <c r="D3590" s="1"/>
      <c r="E3590" s="1"/>
      <c r="F3590" s="1"/>
      <c r="G3590" s="1"/>
      <c r="H3590" s="1"/>
      <c r="I3590" s="1"/>
      <c r="J3590" s="1"/>
    </row>
    <row r="3591" ht="15.75" customHeight="1">
      <c r="A3591" s="1"/>
      <c r="B3591" s="1"/>
      <c r="C3591" s="1"/>
      <c r="D3591" s="1"/>
      <c r="E3591" s="1"/>
      <c r="F3591" s="1"/>
      <c r="G3591" s="1"/>
      <c r="H3591" s="1"/>
      <c r="I3591" s="1"/>
      <c r="J3591" s="1"/>
    </row>
    <row r="3592" ht="15.75" customHeight="1">
      <c r="A3592" s="1"/>
      <c r="B3592" s="1"/>
      <c r="C3592" s="1"/>
      <c r="D3592" s="1"/>
      <c r="E3592" s="1"/>
      <c r="F3592" s="1"/>
      <c r="G3592" s="1"/>
      <c r="H3592" s="1"/>
      <c r="I3592" s="1"/>
      <c r="J3592" s="1"/>
    </row>
    <row r="3593" ht="15.75" customHeight="1">
      <c r="A3593" s="1"/>
      <c r="B3593" s="1"/>
      <c r="C3593" s="1"/>
      <c r="D3593" s="1"/>
      <c r="E3593" s="1"/>
      <c r="F3593" s="1"/>
      <c r="G3593" s="1"/>
      <c r="H3593" s="1"/>
      <c r="I3593" s="1"/>
      <c r="J3593" s="1"/>
    </row>
    <row r="3594" ht="15.75" customHeight="1">
      <c r="A3594" s="1"/>
      <c r="B3594" s="1"/>
      <c r="C3594" s="1"/>
      <c r="D3594" s="1"/>
      <c r="E3594" s="1"/>
      <c r="F3594" s="1"/>
      <c r="G3594" s="1"/>
      <c r="H3594" s="1"/>
      <c r="I3594" s="1"/>
      <c r="J3594" s="1"/>
    </row>
    <row r="3595" ht="15.75" customHeight="1">
      <c r="A3595" s="1"/>
      <c r="B3595" s="1"/>
      <c r="C3595" s="1"/>
      <c r="D3595" s="1"/>
      <c r="E3595" s="1"/>
      <c r="F3595" s="1"/>
      <c r="G3595" s="1"/>
      <c r="H3595" s="1"/>
      <c r="I3595" s="1"/>
      <c r="J3595" s="1"/>
    </row>
    <row r="3596" ht="15.75" customHeight="1">
      <c r="A3596" s="1"/>
      <c r="B3596" s="1"/>
      <c r="C3596" s="1"/>
      <c r="D3596" s="1"/>
      <c r="E3596" s="1"/>
      <c r="F3596" s="1"/>
      <c r="G3596" s="1"/>
      <c r="H3596" s="1"/>
      <c r="I3596" s="1"/>
      <c r="J3596" s="1"/>
    </row>
    <row r="3597" ht="15.75" customHeight="1">
      <c r="A3597" s="1"/>
      <c r="B3597" s="1"/>
      <c r="C3597" s="1"/>
      <c r="D3597" s="1"/>
      <c r="E3597" s="1"/>
      <c r="F3597" s="1"/>
      <c r="G3597" s="1"/>
      <c r="H3597" s="1"/>
      <c r="I3597" s="1"/>
      <c r="J3597" s="1"/>
    </row>
    <row r="3598" ht="15.75" customHeight="1">
      <c r="A3598" s="1"/>
      <c r="B3598" s="1"/>
      <c r="C3598" s="1"/>
      <c r="D3598" s="1"/>
      <c r="E3598" s="1"/>
      <c r="F3598" s="1"/>
      <c r="G3598" s="1"/>
      <c r="H3598" s="1"/>
      <c r="I3598" s="1"/>
      <c r="J3598" s="1"/>
    </row>
    <row r="3599" ht="15.75" customHeight="1">
      <c r="A3599" s="1"/>
      <c r="B3599" s="1"/>
      <c r="C3599" s="1"/>
      <c r="D3599" s="1"/>
      <c r="E3599" s="1"/>
      <c r="F3599" s="1"/>
      <c r="G3599" s="1"/>
      <c r="H3599" s="1"/>
      <c r="I3599" s="1"/>
      <c r="J3599" s="1"/>
    </row>
    <row r="3600" ht="15.75" customHeight="1">
      <c r="A3600" s="1"/>
      <c r="B3600" s="1"/>
      <c r="C3600" s="1"/>
      <c r="D3600" s="1"/>
      <c r="E3600" s="1"/>
      <c r="F3600" s="1"/>
      <c r="G3600" s="1"/>
      <c r="H3600" s="1"/>
      <c r="I3600" s="1"/>
      <c r="J3600" s="1"/>
    </row>
    <row r="3601" ht="15.75" customHeight="1">
      <c r="A3601" s="1"/>
      <c r="B3601" s="1"/>
      <c r="C3601" s="1"/>
      <c r="D3601" s="1"/>
      <c r="E3601" s="1"/>
      <c r="F3601" s="1"/>
      <c r="G3601" s="1"/>
      <c r="H3601" s="1"/>
      <c r="I3601" s="1"/>
      <c r="J3601" s="1"/>
    </row>
    <row r="3602" ht="15.75" customHeight="1">
      <c r="A3602" s="1"/>
      <c r="B3602" s="1"/>
      <c r="C3602" s="1"/>
      <c r="D3602" s="1"/>
      <c r="E3602" s="1"/>
      <c r="F3602" s="1"/>
      <c r="G3602" s="1"/>
      <c r="H3602" s="1"/>
      <c r="I3602" s="1"/>
      <c r="J3602" s="1"/>
    </row>
    <row r="3603" ht="15.75" customHeight="1">
      <c r="A3603" s="1"/>
      <c r="B3603" s="1"/>
      <c r="C3603" s="1"/>
      <c r="D3603" s="1"/>
      <c r="E3603" s="1"/>
      <c r="F3603" s="1"/>
      <c r="G3603" s="1"/>
      <c r="H3603" s="1"/>
      <c r="I3603" s="1"/>
      <c r="J3603" s="1"/>
    </row>
    <row r="3604" ht="15.75" customHeight="1">
      <c r="A3604" s="1"/>
      <c r="B3604" s="1"/>
      <c r="C3604" s="1"/>
      <c r="D3604" s="1"/>
      <c r="E3604" s="1"/>
      <c r="F3604" s="1"/>
      <c r="G3604" s="1"/>
      <c r="H3604" s="1"/>
      <c r="I3604" s="1"/>
      <c r="J3604" s="1"/>
    </row>
    <row r="3605" ht="15.75" customHeight="1">
      <c r="A3605" s="1"/>
      <c r="B3605" s="1"/>
      <c r="C3605" s="1"/>
      <c r="D3605" s="1"/>
      <c r="E3605" s="1"/>
      <c r="F3605" s="1"/>
      <c r="G3605" s="1"/>
      <c r="H3605" s="1"/>
      <c r="I3605" s="1"/>
      <c r="J3605" s="1"/>
    </row>
    <row r="3606" ht="15.75" customHeight="1">
      <c r="A3606" s="1"/>
      <c r="B3606" s="1"/>
      <c r="C3606" s="1"/>
      <c r="D3606" s="1"/>
      <c r="E3606" s="1"/>
      <c r="F3606" s="1"/>
      <c r="G3606" s="1"/>
      <c r="H3606" s="1"/>
      <c r="I3606" s="1"/>
      <c r="J3606" s="1"/>
    </row>
    <row r="3607" ht="15.75" customHeight="1">
      <c r="A3607" s="1"/>
      <c r="B3607" s="1"/>
      <c r="C3607" s="1"/>
      <c r="D3607" s="1"/>
      <c r="E3607" s="1"/>
      <c r="F3607" s="1"/>
      <c r="G3607" s="1"/>
      <c r="H3607" s="1"/>
      <c r="I3607" s="1"/>
      <c r="J3607" s="1"/>
    </row>
    <row r="3608" ht="15.75" customHeight="1">
      <c r="A3608" s="1"/>
      <c r="B3608" s="1"/>
      <c r="C3608" s="1"/>
      <c r="D3608" s="1"/>
      <c r="E3608" s="1"/>
      <c r="F3608" s="1"/>
      <c r="G3608" s="1"/>
      <c r="H3608" s="1"/>
      <c r="I3608" s="1"/>
      <c r="J3608" s="1"/>
    </row>
    <row r="3609" ht="15.75" customHeight="1">
      <c r="A3609" s="1"/>
      <c r="B3609" s="1"/>
      <c r="C3609" s="1"/>
      <c r="D3609" s="1"/>
      <c r="E3609" s="1"/>
      <c r="F3609" s="1"/>
      <c r="G3609" s="1"/>
      <c r="H3609" s="1"/>
      <c r="I3609" s="1"/>
      <c r="J3609" s="1"/>
    </row>
    <row r="3610" ht="15.75" customHeight="1">
      <c r="A3610" s="1"/>
      <c r="B3610" s="1"/>
      <c r="C3610" s="1"/>
      <c r="D3610" s="1"/>
      <c r="E3610" s="1"/>
      <c r="F3610" s="1"/>
      <c r="G3610" s="1"/>
      <c r="H3610" s="1"/>
      <c r="I3610" s="1"/>
      <c r="J3610" s="1"/>
    </row>
    <row r="3611" ht="15.75" customHeight="1">
      <c r="A3611" s="1"/>
      <c r="B3611" s="1"/>
      <c r="C3611" s="1"/>
      <c r="D3611" s="1"/>
      <c r="E3611" s="1"/>
      <c r="F3611" s="1"/>
      <c r="G3611" s="1"/>
      <c r="H3611" s="1"/>
      <c r="I3611" s="1"/>
      <c r="J3611" s="1"/>
    </row>
    <row r="3612" ht="15.75" customHeight="1">
      <c r="A3612" s="1"/>
      <c r="B3612" s="1"/>
      <c r="C3612" s="1"/>
      <c r="D3612" s="1"/>
      <c r="E3612" s="1"/>
      <c r="F3612" s="1"/>
      <c r="G3612" s="1"/>
      <c r="H3612" s="1"/>
      <c r="I3612" s="1"/>
      <c r="J3612" s="1"/>
    </row>
    <row r="3613" ht="15.75" customHeight="1">
      <c r="A3613" s="1"/>
      <c r="B3613" s="1"/>
      <c r="C3613" s="1"/>
      <c r="D3613" s="1"/>
      <c r="E3613" s="1"/>
      <c r="F3613" s="1"/>
      <c r="G3613" s="1"/>
      <c r="H3613" s="1"/>
      <c r="I3613" s="1"/>
      <c r="J3613" s="1"/>
    </row>
    <row r="3614" ht="15.75" customHeight="1">
      <c r="A3614" s="1"/>
      <c r="B3614" s="1"/>
      <c r="C3614" s="1"/>
      <c r="D3614" s="1"/>
      <c r="E3614" s="1"/>
      <c r="F3614" s="1"/>
      <c r="G3614" s="1"/>
      <c r="H3614" s="1"/>
      <c r="I3614" s="1"/>
      <c r="J3614" s="1"/>
    </row>
    <row r="3615" ht="15.75" customHeight="1">
      <c r="A3615" s="1"/>
      <c r="B3615" s="1"/>
      <c r="C3615" s="1"/>
      <c r="D3615" s="1"/>
      <c r="E3615" s="1"/>
      <c r="F3615" s="1"/>
      <c r="G3615" s="1"/>
      <c r="H3615" s="1"/>
      <c r="I3615" s="1"/>
      <c r="J3615" s="1"/>
    </row>
    <row r="3616" ht="15.75" customHeight="1">
      <c r="A3616" s="1"/>
      <c r="B3616" s="1"/>
      <c r="C3616" s="1"/>
      <c r="D3616" s="1"/>
      <c r="E3616" s="1"/>
      <c r="F3616" s="1"/>
      <c r="G3616" s="1"/>
      <c r="H3616" s="1"/>
      <c r="I3616" s="1"/>
      <c r="J3616" s="1"/>
    </row>
    <row r="3617" ht="15.75" customHeight="1">
      <c r="A3617" s="1"/>
      <c r="B3617" s="1"/>
      <c r="C3617" s="1"/>
      <c r="D3617" s="1"/>
      <c r="E3617" s="1"/>
      <c r="F3617" s="1"/>
      <c r="G3617" s="1"/>
      <c r="H3617" s="1"/>
      <c r="I3617" s="1"/>
      <c r="J3617" s="1"/>
    </row>
    <row r="3618" ht="15.75" customHeight="1">
      <c r="A3618" s="1"/>
      <c r="B3618" s="1"/>
      <c r="C3618" s="1"/>
      <c r="D3618" s="1"/>
      <c r="E3618" s="1"/>
      <c r="F3618" s="1"/>
      <c r="G3618" s="1"/>
      <c r="H3618" s="1"/>
      <c r="I3618" s="1"/>
      <c r="J3618" s="1"/>
    </row>
    <row r="3619" ht="15.75" customHeight="1">
      <c r="A3619" s="1"/>
      <c r="B3619" s="1"/>
      <c r="C3619" s="1"/>
      <c r="D3619" s="1"/>
      <c r="E3619" s="1"/>
      <c r="F3619" s="1"/>
      <c r="G3619" s="1"/>
      <c r="H3619" s="1"/>
      <c r="I3619" s="1"/>
      <c r="J3619" s="1"/>
    </row>
    <row r="3620" ht="15.75" customHeight="1">
      <c r="A3620" s="1"/>
      <c r="B3620" s="1"/>
      <c r="C3620" s="1"/>
      <c r="D3620" s="1"/>
      <c r="E3620" s="1"/>
      <c r="F3620" s="1"/>
      <c r="G3620" s="1"/>
      <c r="H3620" s="1"/>
      <c r="I3620" s="1"/>
      <c r="J3620" s="1"/>
    </row>
    <row r="3621" ht="15.75" customHeight="1">
      <c r="A3621" s="1"/>
      <c r="B3621" s="1"/>
      <c r="C3621" s="1"/>
      <c r="D3621" s="1"/>
      <c r="E3621" s="1"/>
      <c r="F3621" s="1"/>
      <c r="G3621" s="1"/>
      <c r="H3621" s="1"/>
      <c r="I3621" s="1"/>
      <c r="J3621" s="1"/>
    </row>
    <row r="3622" ht="15.75" customHeight="1">
      <c r="A3622" s="1"/>
      <c r="B3622" s="1"/>
      <c r="C3622" s="1"/>
      <c r="D3622" s="1"/>
      <c r="E3622" s="1"/>
      <c r="F3622" s="1"/>
      <c r="G3622" s="1"/>
      <c r="H3622" s="1"/>
      <c r="I3622" s="1"/>
      <c r="J3622" s="1"/>
    </row>
    <row r="3623" ht="15.75" customHeight="1">
      <c r="A3623" s="1"/>
      <c r="B3623" s="1"/>
      <c r="C3623" s="1"/>
      <c r="D3623" s="1"/>
      <c r="E3623" s="1"/>
      <c r="F3623" s="1"/>
      <c r="G3623" s="1"/>
      <c r="H3623" s="1"/>
      <c r="I3623" s="1"/>
      <c r="J3623" s="1"/>
    </row>
    <row r="3624" ht="15.75" customHeight="1">
      <c r="A3624" s="1"/>
      <c r="B3624" s="1"/>
      <c r="C3624" s="1"/>
      <c r="D3624" s="1"/>
      <c r="E3624" s="1"/>
      <c r="F3624" s="1"/>
      <c r="G3624" s="1"/>
      <c r="H3624" s="1"/>
      <c r="I3624" s="1"/>
      <c r="J3624" s="1"/>
    </row>
    <row r="3625" ht="15.75" customHeight="1">
      <c r="A3625" s="1"/>
      <c r="B3625" s="1"/>
      <c r="C3625" s="1"/>
      <c r="D3625" s="1"/>
      <c r="E3625" s="1"/>
      <c r="F3625" s="1"/>
      <c r="G3625" s="1"/>
      <c r="H3625" s="1"/>
      <c r="I3625" s="1"/>
      <c r="J3625" s="1"/>
    </row>
    <row r="3626" ht="15.75" customHeight="1">
      <c r="A3626" s="1"/>
      <c r="B3626" s="1"/>
      <c r="C3626" s="1"/>
      <c r="D3626" s="1"/>
      <c r="E3626" s="1"/>
      <c r="F3626" s="1"/>
      <c r="G3626" s="1"/>
      <c r="H3626" s="1"/>
      <c r="I3626" s="1"/>
      <c r="J3626" s="1"/>
    </row>
    <row r="3627" ht="15.75" customHeight="1">
      <c r="A3627" s="1"/>
      <c r="B3627" s="1"/>
      <c r="C3627" s="1"/>
      <c r="D3627" s="1"/>
      <c r="E3627" s="1"/>
      <c r="F3627" s="1"/>
      <c r="G3627" s="1"/>
      <c r="H3627" s="1"/>
      <c r="I3627" s="1"/>
      <c r="J3627" s="1"/>
    </row>
    <row r="3628" ht="15.75" customHeight="1">
      <c r="A3628" s="1"/>
      <c r="B3628" s="1"/>
      <c r="C3628" s="1"/>
      <c r="D3628" s="1"/>
      <c r="E3628" s="1"/>
      <c r="F3628" s="1"/>
      <c r="G3628" s="1"/>
      <c r="H3628" s="1"/>
      <c r="I3628" s="1"/>
      <c r="J3628" s="1"/>
    </row>
    <row r="3629" ht="15.75" customHeight="1">
      <c r="A3629" s="1"/>
      <c r="B3629" s="1"/>
      <c r="C3629" s="1"/>
      <c r="D3629" s="1"/>
      <c r="E3629" s="1"/>
      <c r="F3629" s="1"/>
      <c r="G3629" s="1"/>
      <c r="H3629" s="1"/>
      <c r="I3629" s="1"/>
      <c r="J3629" s="1"/>
    </row>
    <row r="3630" ht="15.75" customHeight="1">
      <c r="A3630" s="1"/>
      <c r="B3630" s="1"/>
      <c r="C3630" s="1"/>
      <c r="D3630" s="1"/>
      <c r="E3630" s="1"/>
      <c r="F3630" s="1"/>
      <c r="G3630" s="1"/>
      <c r="H3630" s="1"/>
      <c r="I3630" s="1"/>
      <c r="J3630" s="1"/>
    </row>
    <row r="3631" ht="15.75" customHeight="1">
      <c r="A3631" s="1"/>
      <c r="B3631" s="1"/>
      <c r="C3631" s="1"/>
      <c r="D3631" s="1"/>
      <c r="E3631" s="1"/>
      <c r="F3631" s="1"/>
      <c r="G3631" s="1"/>
      <c r="H3631" s="1"/>
      <c r="I3631" s="1"/>
      <c r="J3631" s="1"/>
    </row>
    <row r="3632" ht="15.75" customHeight="1">
      <c r="A3632" s="1"/>
      <c r="B3632" s="1"/>
      <c r="C3632" s="1"/>
      <c r="D3632" s="1"/>
      <c r="E3632" s="1"/>
      <c r="F3632" s="1"/>
      <c r="G3632" s="1"/>
      <c r="H3632" s="1"/>
      <c r="I3632" s="1"/>
      <c r="J3632" s="1"/>
    </row>
    <row r="3633" ht="15.75" customHeight="1">
      <c r="A3633" s="1"/>
      <c r="B3633" s="1"/>
      <c r="C3633" s="1"/>
      <c r="D3633" s="1"/>
      <c r="E3633" s="1"/>
      <c r="F3633" s="1"/>
      <c r="G3633" s="1"/>
      <c r="H3633" s="1"/>
      <c r="I3633" s="1"/>
      <c r="J3633" s="1"/>
    </row>
    <row r="3634" ht="15.75" customHeight="1">
      <c r="A3634" s="1"/>
      <c r="B3634" s="1"/>
      <c r="C3634" s="1"/>
      <c r="D3634" s="1"/>
      <c r="E3634" s="1"/>
      <c r="F3634" s="1"/>
      <c r="G3634" s="1"/>
      <c r="H3634" s="1"/>
      <c r="I3634" s="1"/>
      <c r="J3634" s="1"/>
    </row>
    <row r="3635" ht="15.75" customHeight="1">
      <c r="A3635" s="1"/>
      <c r="B3635" s="1"/>
      <c r="C3635" s="1"/>
      <c r="D3635" s="1"/>
      <c r="E3635" s="1"/>
      <c r="F3635" s="1"/>
      <c r="G3635" s="1"/>
      <c r="H3635" s="1"/>
      <c r="I3635" s="1"/>
      <c r="J3635" s="1"/>
    </row>
    <row r="3636" ht="15.75" customHeight="1">
      <c r="A3636" s="1"/>
      <c r="B3636" s="1"/>
      <c r="C3636" s="1"/>
      <c r="D3636" s="1"/>
      <c r="E3636" s="1"/>
      <c r="F3636" s="1"/>
      <c r="G3636" s="1"/>
      <c r="H3636" s="1"/>
      <c r="I3636" s="1"/>
      <c r="J3636" s="1"/>
    </row>
    <row r="3637" ht="15.75" customHeight="1">
      <c r="A3637" s="1"/>
      <c r="B3637" s="1"/>
      <c r="C3637" s="1"/>
      <c r="D3637" s="1"/>
      <c r="E3637" s="1"/>
      <c r="F3637" s="1"/>
      <c r="G3637" s="1"/>
      <c r="H3637" s="1"/>
      <c r="I3637" s="1"/>
      <c r="J3637" s="1"/>
    </row>
    <row r="3638" ht="15.75" customHeight="1">
      <c r="A3638" s="1"/>
      <c r="B3638" s="1"/>
      <c r="C3638" s="1"/>
      <c r="D3638" s="1"/>
      <c r="E3638" s="1"/>
      <c r="F3638" s="1"/>
      <c r="G3638" s="1"/>
      <c r="H3638" s="1"/>
      <c r="I3638" s="1"/>
      <c r="J3638" s="1"/>
    </row>
    <row r="3639" ht="15.75" customHeight="1">
      <c r="A3639" s="1"/>
      <c r="B3639" s="1"/>
      <c r="C3639" s="1"/>
      <c r="D3639" s="1"/>
      <c r="E3639" s="1"/>
      <c r="F3639" s="1"/>
      <c r="G3639" s="1"/>
      <c r="H3639" s="1"/>
      <c r="I3639" s="1"/>
      <c r="J3639" s="1"/>
    </row>
    <row r="3640" ht="15.75" customHeight="1">
      <c r="A3640" s="1"/>
      <c r="B3640" s="1"/>
      <c r="C3640" s="1"/>
      <c r="D3640" s="1"/>
      <c r="E3640" s="1"/>
      <c r="F3640" s="1"/>
      <c r="G3640" s="1"/>
      <c r="H3640" s="1"/>
      <c r="I3640" s="1"/>
      <c r="J3640" s="1"/>
    </row>
    <row r="3641" ht="15.75" customHeight="1">
      <c r="A3641" s="1"/>
      <c r="B3641" s="1"/>
      <c r="C3641" s="1"/>
      <c r="D3641" s="1"/>
      <c r="E3641" s="1"/>
      <c r="F3641" s="1"/>
      <c r="G3641" s="1"/>
      <c r="H3641" s="1"/>
      <c r="I3641" s="1"/>
      <c r="J3641" s="1"/>
    </row>
    <row r="3642" ht="15.75" customHeight="1">
      <c r="A3642" s="1"/>
      <c r="B3642" s="1"/>
      <c r="C3642" s="1"/>
      <c r="D3642" s="1"/>
      <c r="E3642" s="1"/>
      <c r="F3642" s="1"/>
      <c r="G3642" s="1"/>
      <c r="H3642" s="1"/>
      <c r="I3642" s="1"/>
      <c r="J3642" s="1"/>
    </row>
    <row r="3643" ht="15.75" customHeight="1">
      <c r="A3643" s="1"/>
      <c r="B3643" s="1"/>
      <c r="C3643" s="1"/>
      <c r="D3643" s="1"/>
      <c r="E3643" s="1"/>
      <c r="F3643" s="1"/>
      <c r="G3643" s="1"/>
      <c r="H3643" s="1"/>
      <c r="I3643" s="1"/>
      <c r="J3643" s="1"/>
    </row>
    <row r="3644" ht="15.75" customHeight="1">
      <c r="A3644" s="1"/>
      <c r="B3644" s="1"/>
      <c r="C3644" s="1"/>
      <c r="D3644" s="1"/>
      <c r="E3644" s="1"/>
      <c r="F3644" s="1"/>
      <c r="G3644" s="1"/>
      <c r="H3644" s="1"/>
      <c r="I3644" s="1"/>
      <c r="J3644" s="1"/>
    </row>
    <row r="3645" ht="15.75" customHeight="1">
      <c r="A3645" s="1"/>
      <c r="B3645" s="1"/>
      <c r="C3645" s="1"/>
      <c r="D3645" s="1"/>
      <c r="E3645" s="1"/>
      <c r="F3645" s="1"/>
      <c r="G3645" s="1"/>
      <c r="H3645" s="1"/>
      <c r="I3645" s="1"/>
      <c r="J3645" s="1"/>
    </row>
    <row r="3646" ht="15.75" customHeight="1">
      <c r="A3646" s="1"/>
      <c r="B3646" s="1"/>
      <c r="C3646" s="1"/>
      <c r="D3646" s="1"/>
      <c r="E3646" s="1"/>
      <c r="F3646" s="1"/>
      <c r="G3646" s="1"/>
      <c r="H3646" s="1"/>
      <c r="I3646" s="1"/>
      <c r="J3646" s="1"/>
    </row>
    <row r="3647" ht="15.75" customHeight="1">
      <c r="A3647" s="1"/>
      <c r="B3647" s="1"/>
      <c r="C3647" s="1"/>
      <c r="D3647" s="1"/>
      <c r="E3647" s="1"/>
      <c r="F3647" s="1"/>
      <c r="G3647" s="1"/>
      <c r="H3647" s="1"/>
      <c r="I3647" s="1"/>
      <c r="J3647" s="1"/>
    </row>
    <row r="3648" ht="15.75" customHeight="1">
      <c r="A3648" s="1"/>
      <c r="B3648" s="1"/>
      <c r="C3648" s="1"/>
      <c r="D3648" s="1"/>
      <c r="E3648" s="1"/>
      <c r="F3648" s="1"/>
      <c r="G3648" s="1"/>
      <c r="H3648" s="1"/>
      <c r="I3648" s="1"/>
      <c r="J3648" s="1"/>
    </row>
    <row r="3649" ht="15.75" customHeight="1">
      <c r="A3649" s="1"/>
      <c r="B3649" s="1"/>
      <c r="C3649" s="1"/>
      <c r="D3649" s="1"/>
      <c r="E3649" s="1"/>
      <c r="F3649" s="1"/>
      <c r="G3649" s="1"/>
      <c r="H3649" s="1"/>
      <c r="I3649" s="1"/>
      <c r="J3649" s="1"/>
    </row>
    <row r="3650" ht="15.75" customHeight="1">
      <c r="A3650" s="1"/>
      <c r="B3650" s="1"/>
      <c r="C3650" s="1"/>
      <c r="D3650" s="1"/>
      <c r="E3650" s="1"/>
      <c r="F3650" s="1"/>
      <c r="G3650" s="1"/>
      <c r="H3650" s="1"/>
      <c r="I3650" s="1"/>
      <c r="J3650" s="1"/>
    </row>
    <row r="3651" ht="15.75" customHeight="1">
      <c r="A3651" s="1"/>
      <c r="B3651" s="1"/>
      <c r="C3651" s="1"/>
      <c r="D3651" s="1"/>
      <c r="E3651" s="1"/>
      <c r="F3651" s="1"/>
      <c r="G3651" s="1"/>
      <c r="H3651" s="1"/>
      <c r="I3651" s="1"/>
      <c r="J3651" s="1"/>
    </row>
    <row r="3652" ht="15.75" customHeight="1">
      <c r="A3652" s="1"/>
      <c r="B3652" s="1"/>
      <c r="C3652" s="1"/>
      <c r="D3652" s="1"/>
      <c r="E3652" s="1"/>
      <c r="F3652" s="1"/>
      <c r="G3652" s="1"/>
      <c r="H3652" s="1"/>
      <c r="I3652" s="1"/>
      <c r="J3652" s="1"/>
    </row>
    <row r="3653" ht="15.75" customHeight="1">
      <c r="A3653" s="1"/>
      <c r="B3653" s="1"/>
      <c r="C3653" s="1"/>
      <c r="D3653" s="1"/>
      <c r="E3653" s="1"/>
      <c r="F3653" s="1"/>
      <c r="G3653" s="1"/>
      <c r="H3653" s="1"/>
      <c r="I3653" s="1"/>
      <c r="J3653" s="1"/>
    </row>
    <row r="3654" ht="15.75" customHeight="1">
      <c r="A3654" s="1"/>
      <c r="B3654" s="1"/>
      <c r="C3654" s="1"/>
      <c r="D3654" s="1"/>
      <c r="E3654" s="1"/>
      <c r="F3654" s="1"/>
      <c r="G3654" s="1"/>
      <c r="H3654" s="1"/>
      <c r="I3654" s="1"/>
      <c r="J3654" s="1"/>
    </row>
    <row r="3655" ht="15.75" customHeight="1">
      <c r="A3655" s="1"/>
      <c r="B3655" s="1"/>
      <c r="C3655" s="1"/>
      <c r="D3655" s="1"/>
      <c r="E3655" s="1"/>
      <c r="F3655" s="1"/>
      <c r="G3655" s="1"/>
      <c r="H3655" s="1"/>
      <c r="I3655" s="1"/>
      <c r="J3655" s="1"/>
    </row>
    <row r="3656" ht="15.75" customHeight="1">
      <c r="A3656" s="1"/>
      <c r="B3656" s="1"/>
      <c r="C3656" s="1"/>
      <c r="D3656" s="1"/>
      <c r="E3656" s="1"/>
      <c r="F3656" s="1"/>
      <c r="G3656" s="1"/>
      <c r="H3656" s="1"/>
      <c r="I3656" s="1"/>
      <c r="J3656" s="1"/>
    </row>
    <row r="3657" ht="15.75" customHeight="1">
      <c r="A3657" s="1"/>
      <c r="B3657" s="1"/>
      <c r="C3657" s="1"/>
      <c r="D3657" s="1"/>
      <c r="E3657" s="1"/>
      <c r="F3657" s="1"/>
      <c r="G3657" s="1"/>
      <c r="H3657" s="1"/>
      <c r="I3657" s="1"/>
      <c r="J3657" s="1"/>
    </row>
    <row r="3658" ht="15.75" customHeight="1">
      <c r="A3658" s="1"/>
      <c r="B3658" s="1"/>
      <c r="C3658" s="1"/>
      <c r="D3658" s="1"/>
      <c r="E3658" s="1"/>
      <c r="F3658" s="1"/>
      <c r="G3658" s="1"/>
      <c r="H3658" s="1"/>
      <c r="I3658" s="1"/>
      <c r="J3658" s="1"/>
    </row>
    <row r="3659" ht="15.75" customHeight="1">
      <c r="A3659" s="1"/>
      <c r="B3659" s="1"/>
      <c r="C3659" s="1"/>
      <c r="D3659" s="1"/>
      <c r="E3659" s="1"/>
      <c r="F3659" s="1"/>
      <c r="G3659" s="1"/>
      <c r="H3659" s="1"/>
      <c r="I3659" s="1"/>
      <c r="J3659" s="1"/>
    </row>
    <row r="3660" ht="15.75" customHeight="1">
      <c r="A3660" s="1"/>
      <c r="B3660" s="1"/>
      <c r="C3660" s="1"/>
      <c r="D3660" s="1"/>
      <c r="E3660" s="1"/>
      <c r="F3660" s="1"/>
      <c r="G3660" s="1"/>
      <c r="H3660" s="1"/>
      <c r="I3660" s="1"/>
      <c r="J3660" s="1"/>
    </row>
    <row r="3661" ht="15.75" customHeight="1">
      <c r="A3661" s="1"/>
      <c r="B3661" s="1"/>
      <c r="C3661" s="1"/>
      <c r="D3661" s="1"/>
      <c r="E3661" s="1"/>
      <c r="F3661" s="1"/>
      <c r="G3661" s="1"/>
      <c r="H3661" s="1"/>
      <c r="I3661" s="1"/>
      <c r="J3661" s="1"/>
    </row>
    <row r="3662" ht="15.75" customHeight="1">
      <c r="A3662" s="1"/>
      <c r="B3662" s="1"/>
      <c r="C3662" s="1"/>
      <c r="D3662" s="1"/>
      <c r="E3662" s="1"/>
      <c r="F3662" s="1"/>
      <c r="G3662" s="1"/>
      <c r="H3662" s="1"/>
      <c r="I3662" s="1"/>
      <c r="J3662" s="1"/>
    </row>
    <row r="3663" ht="15.75" customHeight="1">
      <c r="A3663" s="1"/>
      <c r="B3663" s="1"/>
      <c r="C3663" s="1"/>
      <c r="D3663" s="1"/>
      <c r="E3663" s="1"/>
      <c r="F3663" s="1"/>
      <c r="G3663" s="1"/>
      <c r="H3663" s="1"/>
      <c r="I3663" s="1"/>
      <c r="J3663" s="1"/>
    </row>
    <row r="3664" ht="15.75" customHeight="1">
      <c r="A3664" s="1"/>
      <c r="B3664" s="1"/>
      <c r="C3664" s="1"/>
      <c r="D3664" s="1"/>
      <c r="E3664" s="1"/>
      <c r="F3664" s="1"/>
      <c r="G3664" s="1"/>
      <c r="H3664" s="1"/>
      <c r="I3664" s="1"/>
      <c r="J3664" s="1"/>
    </row>
    <row r="3665" ht="15.75" customHeight="1">
      <c r="A3665" s="1"/>
      <c r="B3665" s="1"/>
      <c r="C3665" s="1"/>
      <c r="D3665" s="1"/>
      <c r="E3665" s="1"/>
      <c r="F3665" s="1"/>
      <c r="G3665" s="1"/>
      <c r="H3665" s="1"/>
      <c r="I3665" s="1"/>
      <c r="J3665" s="1"/>
    </row>
    <row r="3666" ht="15.75" customHeight="1">
      <c r="A3666" s="1"/>
      <c r="B3666" s="1"/>
      <c r="C3666" s="1"/>
      <c r="D3666" s="1"/>
      <c r="E3666" s="1"/>
      <c r="F3666" s="1"/>
      <c r="G3666" s="1"/>
      <c r="H3666" s="1"/>
      <c r="I3666" s="1"/>
      <c r="J3666" s="1"/>
    </row>
    <row r="3667" ht="15.75" customHeight="1">
      <c r="A3667" s="1"/>
      <c r="B3667" s="1"/>
      <c r="C3667" s="1"/>
      <c r="D3667" s="1"/>
      <c r="E3667" s="1"/>
      <c r="F3667" s="1"/>
      <c r="G3667" s="1"/>
      <c r="H3667" s="1"/>
      <c r="I3667" s="1"/>
      <c r="J3667" s="1"/>
    </row>
    <row r="3668" ht="15.75" customHeight="1">
      <c r="A3668" s="1"/>
      <c r="B3668" s="1"/>
      <c r="C3668" s="1"/>
      <c r="D3668" s="1"/>
      <c r="E3668" s="1"/>
      <c r="F3668" s="1"/>
      <c r="G3668" s="1"/>
      <c r="H3668" s="1"/>
      <c r="I3668" s="1"/>
      <c r="J3668" s="1"/>
    </row>
    <row r="3669" ht="15.75" customHeight="1">
      <c r="A3669" s="1"/>
      <c r="B3669" s="1"/>
      <c r="C3669" s="1"/>
      <c r="D3669" s="1"/>
      <c r="E3669" s="1"/>
      <c r="F3669" s="1"/>
      <c r="G3669" s="1"/>
      <c r="H3669" s="1"/>
      <c r="I3669" s="1"/>
      <c r="J3669" s="1"/>
    </row>
    <row r="3670" ht="15.75" customHeight="1">
      <c r="A3670" s="1"/>
      <c r="B3670" s="1"/>
      <c r="C3670" s="1"/>
      <c r="D3670" s="1"/>
      <c r="E3670" s="1"/>
      <c r="F3670" s="1"/>
      <c r="G3670" s="1"/>
      <c r="H3670" s="1"/>
      <c r="I3670" s="1"/>
      <c r="J3670" s="1"/>
    </row>
    <row r="3671" ht="15.75" customHeight="1">
      <c r="A3671" s="1"/>
      <c r="B3671" s="1"/>
      <c r="C3671" s="1"/>
      <c r="D3671" s="1"/>
      <c r="E3671" s="1"/>
      <c r="F3671" s="1"/>
      <c r="G3671" s="1"/>
      <c r="H3671" s="1"/>
      <c r="I3671" s="1"/>
      <c r="J3671" s="1"/>
    </row>
    <row r="3672" ht="15.75" customHeight="1">
      <c r="A3672" s="1"/>
      <c r="B3672" s="1"/>
      <c r="C3672" s="1"/>
      <c r="D3672" s="1"/>
      <c r="E3672" s="1"/>
      <c r="F3672" s="1"/>
      <c r="G3672" s="1"/>
      <c r="H3672" s="1"/>
      <c r="I3672" s="1"/>
      <c r="J3672" s="1"/>
    </row>
    <row r="3673" ht="15.75" customHeight="1">
      <c r="A3673" s="1"/>
      <c r="B3673" s="1"/>
      <c r="C3673" s="1"/>
      <c r="D3673" s="1"/>
      <c r="E3673" s="1"/>
      <c r="F3673" s="1"/>
      <c r="G3673" s="1"/>
      <c r="H3673" s="1"/>
      <c r="I3673" s="1"/>
      <c r="J3673" s="1"/>
    </row>
    <row r="3674" ht="15.75" customHeight="1">
      <c r="A3674" s="1"/>
      <c r="B3674" s="1"/>
      <c r="C3674" s="1"/>
      <c r="D3674" s="1"/>
      <c r="E3674" s="1"/>
      <c r="F3674" s="1"/>
      <c r="G3674" s="1"/>
      <c r="H3674" s="1"/>
      <c r="I3674" s="1"/>
      <c r="J3674" s="1"/>
    </row>
    <row r="3675" ht="15.75" customHeight="1">
      <c r="A3675" s="1"/>
      <c r="B3675" s="1"/>
      <c r="C3675" s="1"/>
      <c r="D3675" s="1"/>
      <c r="E3675" s="1"/>
      <c r="F3675" s="1"/>
      <c r="G3675" s="1"/>
      <c r="H3675" s="1"/>
      <c r="I3675" s="1"/>
      <c r="J3675" s="1"/>
    </row>
    <row r="3676" ht="15.75" customHeight="1">
      <c r="A3676" s="1"/>
      <c r="B3676" s="1"/>
      <c r="C3676" s="1"/>
      <c r="D3676" s="1"/>
      <c r="E3676" s="1"/>
      <c r="F3676" s="1"/>
      <c r="G3676" s="1"/>
      <c r="H3676" s="1"/>
      <c r="I3676" s="1"/>
      <c r="J3676" s="1"/>
    </row>
    <row r="3677" ht="15.75" customHeight="1">
      <c r="A3677" s="1"/>
      <c r="B3677" s="1"/>
      <c r="C3677" s="1"/>
      <c r="D3677" s="1"/>
      <c r="E3677" s="1"/>
      <c r="F3677" s="1"/>
      <c r="G3677" s="1"/>
      <c r="H3677" s="1"/>
      <c r="I3677" s="1"/>
      <c r="J3677" s="1"/>
    </row>
    <row r="3678" ht="15.75" customHeight="1">
      <c r="A3678" s="1"/>
      <c r="B3678" s="1"/>
      <c r="C3678" s="1"/>
      <c r="D3678" s="1"/>
      <c r="E3678" s="1"/>
      <c r="F3678" s="1"/>
      <c r="G3678" s="1"/>
      <c r="H3678" s="1"/>
      <c r="I3678" s="1"/>
      <c r="J3678" s="1"/>
    </row>
    <row r="3679" ht="15.75" customHeight="1">
      <c r="A3679" s="1"/>
      <c r="B3679" s="1"/>
      <c r="C3679" s="1"/>
      <c r="D3679" s="1"/>
      <c r="E3679" s="1"/>
      <c r="F3679" s="1"/>
      <c r="G3679" s="1"/>
      <c r="H3679" s="1"/>
      <c r="I3679" s="1"/>
      <c r="J3679" s="1"/>
    </row>
    <row r="3680" ht="15.75" customHeight="1">
      <c r="A3680" s="1"/>
      <c r="B3680" s="1"/>
      <c r="C3680" s="1"/>
      <c r="D3680" s="1"/>
      <c r="E3680" s="1"/>
      <c r="F3680" s="1"/>
      <c r="G3680" s="1"/>
      <c r="H3680" s="1"/>
      <c r="I3680" s="1"/>
      <c r="J3680" s="1"/>
    </row>
    <row r="3681" ht="15.75" customHeight="1">
      <c r="A3681" s="1"/>
      <c r="B3681" s="1"/>
      <c r="C3681" s="1"/>
      <c r="D3681" s="1"/>
      <c r="E3681" s="1"/>
      <c r="F3681" s="1"/>
      <c r="G3681" s="1"/>
      <c r="H3681" s="1"/>
      <c r="I3681" s="1"/>
      <c r="J3681" s="1"/>
    </row>
    <row r="3682" ht="15.75" customHeight="1">
      <c r="A3682" s="1"/>
      <c r="B3682" s="1"/>
      <c r="C3682" s="1"/>
      <c r="D3682" s="1"/>
      <c r="E3682" s="1"/>
      <c r="F3682" s="1"/>
      <c r="G3682" s="1"/>
      <c r="H3682" s="1"/>
      <c r="I3682" s="1"/>
      <c r="J3682" s="1"/>
    </row>
    <row r="3683" ht="15.75" customHeight="1">
      <c r="A3683" s="1"/>
      <c r="B3683" s="1"/>
      <c r="C3683" s="1"/>
      <c r="D3683" s="1"/>
      <c r="E3683" s="1"/>
      <c r="F3683" s="1"/>
      <c r="G3683" s="1"/>
      <c r="H3683" s="1"/>
      <c r="I3683" s="1"/>
      <c r="J3683" s="1"/>
    </row>
    <row r="3684" ht="15.75" customHeight="1">
      <c r="A3684" s="1"/>
      <c r="B3684" s="1"/>
      <c r="C3684" s="1"/>
      <c r="D3684" s="1"/>
      <c r="E3684" s="1"/>
      <c r="F3684" s="1"/>
      <c r="G3684" s="1"/>
      <c r="H3684" s="1"/>
      <c r="I3684" s="1"/>
      <c r="J3684" s="1"/>
    </row>
    <row r="3685" ht="15.75" customHeight="1">
      <c r="A3685" s="1"/>
      <c r="B3685" s="1"/>
      <c r="C3685" s="1"/>
      <c r="D3685" s="1"/>
      <c r="E3685" s="1"/>
      <c r="F3685" s="1"/>
      <c r="G3685" s="1"/>
      <c r="H3685" s="1"/>
      <c r="I3685" s="1"/>
      <c r="J3685" s="1"/>
    </row>
    <row r="3686" ht="15.75" customHeight="1">
      <c r="A3686" s="1"/>
      <c r="B3686" s="1"/>
      <c r="C3686" s="1"/>
      <c r="D3686" s="1"/>
      <c r="E3686" s="1"/>
      <c r="F3686" s="1"/>
      <c r="G3686" s="1"/>
      <c r="H3686" s="1"/>
      <c r="I3686" s="1"/>
      <c r="J3686" s="1"/>
    </row>
    <row r="3687" ht="15.75" customHeight="1">
      <c r="A3687" s="1"/>
      <c r="B3687" s="1"/>
      <c r="C3687" s="1"/>
      <c r="D3687" s="1"/>
      <c r="E3687" s="1"/>
      <c r="F3687" s="1"/>
      <c r="G3687" s="1"/>
      <c r="H3687" s="1"/>
      <c r="I3687" s="1"/>
      <c r="J3687" s="1"/>
    </row>
    <row r="3688" ht="15.75" customHeight="1">
      <c r="A3688" s="1"/>
      <c r="B3688" s="1"/>
      <c r="C3688" s="1"/>
      <c r="D3688" s="1"/>
      <c r="E3688" s="1"/>
      <c r="F3688" s="1"/>
      <c r="G3688" s="1"/>
      <c r="H3688" s="1"/>
      <c r="I3688" s="1"/>
      <c r="J3688" s="1"/>
    </row>
    <row r="3689" ht="15.75" customHeight="1">
      <c r="A3689" s="1"/>
      <c r="B3689" s="1"/>
      <c r="C3689" s="1"/>
      <c r="D3689" s="1"/>
      <c r="E3689" s="1"/>
      <c r="F3689" s="1"/>
      <c r="G3689" s="1"/>
      <c r="H3689" s="1"/>
      <c r="I3689" s="1"/>
      <c r="J3689" s="1"/>
    </row>
    <row r="3690" ht="15.75" customHeight="1">
      <c r="A3690" s="1"/>
      <c r="B3690" s="1"/>
      <c r="C3690" s="1"/>
      <c r="D3690" s="1"/>
      <c r="E3690" s="1"/>
      <c r="F3690" s="1"/>
      <c r="G3690" s="1"/>
      <c r="H3690" s="1"/>
      <c r="I3690" s="1"/>
      <c r="J3690" s="1"/>
    </row>
    <row r="3691" ht="15.75" customHeight="1">
      <c r="A3691" s="1"/>
      <c r="B3691" s="1"/>
      <c r="C3691" s="1"/>
      <c r="D3691" s="1"/>
      <c r="E3691" s="1"/>
      <c r="F3691" s="1"/>
      <c r="G3691" s="1"/>
      <c r="H3691" s="1"/>
      <c r="I3691" s="1"/>
      <c r="J3691" s="1"/>
    </row>
    <row r="3692" ht="15.75" customHeight="1">
      <c r="A3692" s="1"/>
      <c r="B3692" s="1"/>
      <c r="C3692" s="1"/>
      <c r="D3692" s="1"/>
      <c r="E3692" s="1"/>
      <c r="F3692" s="1"/>
      <c r="G3692" s="1"/>
      <c r="H3692" s="1"/>
      <c r="I3692" s="1"/>
      <c r="J3692" s="1"/>
    </row>
    <row r="3693" ht="15.75" customHeight="1">
      <c r="A3693" s="1"/>
      <c r="B3693" s="1"/>
      <c r="C3693" s="1"/>
      <c r="D3693" s="1"/>
      <c r="E3693" s="1"/>
      <c r="F3693" s="1"/>
      <c r="G3693" s="1"/>
      <c r="H3693" s="1"/>
      <c r="I3693" s="1"/>
      <c r="J3693" s="1"/>
    </row>
    <row r="3694" ht="15.75" customHeight="1">
      <c r="A3694" s="1"/>
      <c r="B3694" s="1"/>
      <c r="C3694" s="1"/>
      <c r="D3694" s="1"/>
      <c r="E3694" s="1"/>
      <c r="F3694" s="1"/>
      <c r="G3694" s="1"/>
      <c r="H3694" s="1"/>
      <c r="I3694" s="1"/>
      <c r="J3694" s="1"/>
    </row>
    <row r="3695" ht="15.75" customHeight="1">
      <c r="A3695" s="1"/>
      <c r="B3695" s="1"/>
      <c r="C3695" s="1"/>
      <c r="D3695" s="1"/>
      <c r="E3695" s="1"/>
      <c r="F3695" s="1"/>
      <c r="G3695" s="1"/>
      <c r="H3695" s="1"/>
      <c r="I3695" s="1"/>
      <c r="J3695" s="1"/>
    </row>
    <row r="3696" ht="15.75" customHeight="1">
      <c r="A3696" s="1"/>
      <c r="B3696" s="1"/>
      <c r="C3696" s="1"/>
      <c r="D3696" s="1"/>
      <c r="E3696" s="1"/>
      <c r="F3696" s="1"/>
      <c r="G3696" s="1"/>
      <c r="H3696" s="1"/>
      <c r="I3696" s="1"/>
      <c r="J3696" s="1"/>
    </row>
    <row r="3697" ht="15.75" customHeight="1">
      <c r="A3697" s="1"/>
      <c r="B3697" s="1"/>
      <c r="C3697" s="1"/>
      <c r="D3697" s="1"/>
      <c r="E3697" s="1"/>
      <c r="F3697" s="1"/>
      <c r="G3697" s="1"/>
      <c r="H3697" s="1"/>
      <c r="I3697" s="1"/>
      <c r="J3697" s="1"/>
    </row>
    <row r="3698" ht="15.75" customHeight="1">
      <c r="A3698" s="1"/>
      <c r="B3698" s="1"/>
      <c r="C3698" s="1"/>
      <c r="D3698" s="1"/>
      <c r="E3698" s="1"/>
      <c r="F3698" s="1"/>
      <c r="G3698" s="1"/>
      <c r="H3698" s="1"/>
      <c r="I3698" s="1"/>
      <c r="J3698" s="1"/>
    </row>
    <row r="3699" ht="15.75" customHeight="1">
      <c r="A3699" s="1"/>
      <c r="B3699" s="1"/>
      <c r="C3699" s="1"/>
      <c r="D3699" s="1"/>
      <c r="E3699" s="1"/>
      <c r="F3699" s="1"/>
      <c r="G3699" s="1"/>
      <c r="H3699" s="1"/>
      <c r="I3699" s="1"/>
      <c r="J3699" s="1"/>
    </row>
    <row r="3700" ht="15.75" customHeight="1">
      <c r="A3700" s="1"/>
      <c r="B3700" s="1"/>
      <c r="C3700" s="1"/>
      <c r="D3700" s="1"/>
      <c r="E3700" s="1"/>
      <c r="F3700" s="1"/>
      <c r="G3700" s="1"/>
      <c r="H3700" s="1"/>
      <c r="I3700" s="1"/>
      <c r="J3700" s="1"/>
    </row>
    <row r="3701" ht="15.75" customHeight="1">
      <c r="A3701" s="1"/>
      <c r="B3701" s="1"/>
      <c r="C3701" s="1"/>
      <c r="D3701" s="1"/>
      <c r="E3701" s="1"/>
      <c r="F3701" s="1"/>
      <c r="G3701" s="1"/>
      <c r="H3701" s="1"/>
      <c r="I3701" s="1"/>
      <c r="J3701" s="1"/>
    </row>
    <row r="3702" ht="15.75" customHeight="1">
      <c r="A3702" s="1"/>
      <c r="B3702" s="1"/>
      <c r="C3702" s="1"/>
      <c r="D3702" s="1"/>
      <c r="E3702" s="1"/>
      <c r="F3702" s="1"/>
      <c r="G3702" s="1"/>
      <c r="H3702" s="1"/>
      <c r="I3702" s="1"/>
      <c r="J3702" s="1"/>
    </row>
    <row r="3703" ht="15.75" customHeight="1">
      <c r="A3703" s="1"/>
      <c r="B3703" s="1"/>
      <c r="C3703" s="1"/>
      <c r="D3703" s="1"/>
      <c r="E3703" s="1"/>
      <c r="F3703" s="1"/>
      <c r="G3703" s="1"/>
      <c r="H3703" s="1"/>
      <c r="I3703" s="1"/>
      <c r="J3703" s="1"/>
    </row>
    <row r="3704" ht="15.75" customHeight="1">
      <c r="A3704" s="1"/>
      <c r="B3704" s="1"/>
      <c r="C3704" s="1"/>
      <c r="D3704" s="1"/>
      <c r="E3704" s="1"/>
      <c r="F3704" s="1"/>
      <c r="G3704" s="1"/>
      <c r="H3704" s="1"/>
      <c r="I3704" s="1"/>
      <c r="J3704" s="1"/>
    </row>
    <row r="3705" ht="15.75" customHeight="1">
      <c r="A3705" s="1"/>
      <c r="B3705" s="1"/>
      <c r="C3705" s="1"/>
      <c r="D3705" s="1"/>
      <c r="E3705" s="1"/>
      <c r="F3705" s="1"/>
      <c r="G3705" s="1"/>
      <c r="H3705" s="1"/>
      <c r="I3705" s="1"/>
      <c r="J3705" s="1"/>
    </row>
    <row r="3706" ht="15.75" customHeight="1">
      <c r="A3706" s="1"/>
      <c r="B3706" s="1"/>
      <c r="C3706" s="1"/>
      <c r="D3706" s="1"/>
      <c r="E3706" s="1"/>
      <c r="F3706" s="1"/>
      <c r="G3706" s="1"/>
      <c r="H3706" s="1"/>
      <c r="I3706" s="1"/>
      <c r="J3706" s="1"/>
    </row>
    <row r="3707" ht="15.75" customHeight="1">
      <c r="A3707" s="1"/>
      <c r="B3707" s="1"/>
      <c r="C3707" s="1"/>
      <c r="D3707" s="1"/>
      <c r="E3707" s="1"/>
      <c r="F3707" s="1"/>
      <c r="G3707" s="1"/>
      <c r="H3707" s="1"/>
      <c r="I3707" s="1"/>
      <c r="J3707" s="1"/>
    </row>
    <row r="3708" ht="15.75" customHeight="1">
      <c r="A3708" s="1"/>
      <c r="B3708" s="1"/>
      <c r="C3708" s="1"/>
      <c r="D3708" s="1"/>
      <c r="E3708" s="1"/>
      <c r="F3708" s="1"/>
      <c r="G3708" s="1"/>
      <c r="H3708" s="1"/>
      <c r="I3708" s="1"/>
      <c r="J3708" s="1"/>
    </row>
    <row r="3709" ht="15.75" customHeight="1">
      <c r="A3709" s="1"/>
      <c r="B3709" s="1"/>
      <c r="C3709" s="1"/>
      <c r="D3709" s="1"/>
      <c r="E3709" s="1"/>
      <c r="F3709" s="1"/>
      <c r="G3709" s="1"/>
      <c r="H3709" s="1"/>
      <c r="I3709" s="1"/>
      <c r="J3709" s="1"/>
    </row>
    <row r="3710" ht="15.75" customHeight="1">
      <c r="A3710" s="1"/>
      <c r="B3710" s="1"/>
      <c r="C3710" s="1"/>
      <c r="D3710" s="1"/>
      <c r="E3710" s="1"/>
      <c r="F3710" s="1"/>
      <c r="G3710" s="1"/>
      <c r="H3710" s="1"/>
      <c r="I3710" s="1"/>
      <c r="J3710" s="1"/>
    </row>
    <row r="3711" ht="15.75" customHeight="1">
      <c r="A3711" s="1"/>
      <c r="B3711" s="1"/>
      <c r="C3711" s="1"/>
      <c r="D3711" s="1"/>
      <c r="E3711" s="1"/>
      <c r="F3711" s="1"/>
      <c r="G3711" s="1"/>
      <c r="H3711" s="1"/>
      <c r="I3711" s="1"/>
      <c r="J3711" s="1"/>
    </row>
    <row r="3712" ht="15.75" customHeight="1">
      <c r="A3712" s="1"/>
      <c r="B3712" s="1"/>
      <c r="C3712" s="1"/>
      <c r="D3712" s="1"/>
      <c r="E3712" s="1"/>
      <c r="F3712" s="1"/>
      <c r="G3712" s="1"/>
      <c r="H3712" s="1"/>
      <c r="I3712" s="1"/>
      <c r="J3712" s="1"/>
    </row>
    <row r="3713" ht="15.75" customHeight="1">
      <c r="A3713" s="1"/>
      <c r="B3713" s="1"/>
      <c r="C3713" s="1"/>
      <c r="D3713" s="1"/>
      <c r="E3713" s="1"/>
      <c r="F3713" s="1"/>
      <c r="G3713" s="1"/>
      <c r="H3713" s="1"/>
      <c r="I3713" s="1"/>
      <c r="J3713" s="1"/>
    </row>
    <row r="3714" ht="15.75" customHeight="1">
      <c r="A3714" s="1"/>
      <c r="B3714" s="1"/>
      <c r="C3714" s="1"/>
      <c r="D3714" s="1"/>
      <c r="E3714" s="1"/>
      <c r="F3714" s="1"/>
      <c r="G3714" s="1"/>
      <c r="H3714" s="1"/>
      <c r="I3714" s="1"/>
      <c r="J3714" s="1"/>
    </row>
    <row r="3715" ht="15.75" customHeight="1">
      <c r="A3715" s="1"/>
      <c r="B3715" s="1"/>
      <c r="C3715" s="1"/>
      <c r="D3715" s="1"/>
      <c r="E3715" s="1"/>
      <c r="F3715" s="1"/>
      <c r="G3715" s="1"/>
      <c r="H3715" s="1"/>
      <c r="I3715" s="1"/>
      <c r="J3715" s="1"/>
    </row>
    <row r="3716" ht="15.75" customHeight="1">
      <c r="A3716" s="1"/>
      <c r="B3716" s="1"/>
      <c r="C3716" s="1"/>
      <c r="D3716" s="1"/>
      <c r="E3716" s="1"/>
      <c r="F3716" s="1"/>
      <c r="G3716" s="1"/>
      <c r="H3716" s="1"/>
      <c r="I3716" s="1"/>
      <c r="J3716" s="1"/>
    </row>
    <row r="3717" ht="15.75" customHeight="1">
      <c r="A3717" s="1"/>
      <c r="B3717" s="1"/>
      <c r="C3717" s="1"/>
      <c r="D3717" s="1"/>
      <c r="E3717" s="1"/>
      <c r="F3717" s="1"/>
      <c r="G3717" s="1"/>
      <c r="H3717" s="1"/>
      <c r="I3717" s="1"/>
      <c r="J3717" s="1"/>
    </row>
    <row r="3718" ht="15.75" customHeight="1">
      <c r="A3718" s="1"/>
      <c r="B3718" s="1"/>
      <c r="C3718" s="1"/>
      <c r="D3718" s="1"/>
      <c r="E3718" s="1"/>
      <c r="F3718" s="1"/>
      <c r="G3718" s="1"/>
      <c r="H3718" s="1"/>
      <c r="I3718" s="1"/>
      <c r="J3718" s="1"/>
    </row>
    <row r="3719" ht="15.75" customHeight="1">
      <c r="A3719" s="1"/>
      <c r="B3719" s="1"/>
      <c r="C3719" s="1"/>
      <c r="D3719" s="1"/>
      <c r="E3719" s="1"/>
      <c r="F3719" s="1"/>
      <c r="G3719" s="1"/>
      <c r="H3719" s="1"/>
      <c r="I3719" s="1"/>
      <c r="J3719" s="1"/>
    </row>
    <row r="3720" ht="15.75" customHeight="1">
      <c r="A3720" s="1"/>
      <c r="B3720" s="1"/>
      <c r="C3720" s="1"/>
      <c r="D3720" s="1"/>
      <c r="E3720" s="1"/>
      <c r="F3720" s="1"/>
      <c r="G3720" s="1"/>
      <c r="H3720" s="1"/>
      <c r="I3720" s="1"/>
      <c r="J3720" s="1"/>
    </row>
    <row r="3721" ht="15.75" customHeight="1">
      <c r="A3721" s="1"/>
      <c r="B3721" s="1"/>
      <c r="C3721" s="1"/>
      <c r="D3721" s="1"/>
      <c r="E3721" s="1"/>
      <c r="F3721" s="1"/>
      <c r="G3721" s="1"/>
      <c r="H3721" s="1"/>
      <c r="I3721" s="1"/>
      <c r="J3721" s="1"/>
    </row>
    <row r="3722" ht="15.75" customHeight="1">
      <c r="A3722" s="1"/>
      <c r="B3722" s="1"/>
      <c r="C3722" s="1"/>
      <c r="D3722" s="1"/>
      <c r="E3722" s="1"/>
      <c r="F3722" s="1"/>
      <c r="G3722" s="1"/>
      <c r="H3722" s="1"/>
      <c r="I3722" s="1"/>
      <c r="J3722" s="1"/>
    </row>
    <row r="3723" ht="15.75" customHeight="1">
      <c r="A3723" s="1"/>
      <c r="B3723" s="1"/>
      <c r="C3723" s="1"/>
      <c r="D3723" s="1"/>
      <c r="E3723" s="1"/>
      <c r="F3723" s="1"/>
      <c r="G3723" s="1"/>
      <c r="H3723" s="1"/>
      <c r="I3723" s="1"/>
      <c r="J3723" s="1"/>
    </row>
    <row r="3724" ht="15.75" customHeight="1">
      <c r="A3724" s="1"/>
      <c r="B3724" s="1"/>
      <c r="C3724" s="1"/>
      <c r="D3724" s="1"/>
      <c r="E3724" s="1"/>
      <c r="F3724" s="1"/>
      <c r="G3724" s="1"/>
      <c r="H3724" s="1"/>
      <c r="I3724" s="1"/>
      <c r="J3724" s="1"/>
    </row>
    <row r="3725" ht="15.75" customHeight="1">
      <c r="A3725" s="1"/>
      <c r="B3725" s="1"/>
      <c r="C3725" s="1"/>
      <c r="D3725" s="1"/>
      <c r="E3725" s="1"/>
      <c r="F3725" s="1"/>
      <c r="G3725" s="1"/>
      <c r="H3725" s="1"/>
      <c r="I3725" s="1"/>
      <c r="J3725" s="1"/>
    </row>
    <row r="3726" ht="15.75" customHeight="1">
      <c r="A3726" s="1"/>
      <c r="B3726" s="1"/>
      <c r="C3726" s="1"/>
      <c r="D3726" s="1"/>
      <c r="E3726" s="1"/>
      <c r="F3726" s="1"/>
      <c r="G3726" s="1"/>
      <c r="H3726" s="1"/>
      <c r="I3726" s="1"/>
      <c r="J3726" s="1"/>
    </row>
    <row r="3727" ht="15.75" customHeight="1">
      <c r="A3727" s="1"/>
      <c r="B3727" s="1"/>
      <c r="C3727" s="1"/>
      <c r="D3727" s="1"/>
      <c r="E3727" s="1"/>
      <c r="F3727" s="1"/>
      <c r="G3727" s="1"/>
      <c r="H3727" s="1"/>
      <c r="I3727" s="1"/>
      <c r="J3727" s="1"/>
    </row>
    <row r="3728" ht="15.75" customHeight="1">
      <c r="A3728" s="1"/>
      <c r="B3728" s="1"/>
      <c r="C3728" s="1"/>
      <c r="D3728" s="1"/>
      <c r="E3728" s="1"/>
      <c r="F3728" s="1"/>
      <c r="G3728" s="1"/>
      <c r="H3728" s="1"/>
      <c r="I3728" s="1"/>
      <c r="J3728" s="1"/>
    </row>
    <row r="3729" ht="15.75" customHeight="1">
      <c r="A3729" s="1"/>
      <c r="B3729" s="1"/>
      <c r="C3729" s="1"/>
      <c r="D3729" s="1"/>
      <c r="E3729" s="1"/>
      <c r="F3729" s="1"/>
      <c r="G3729" s="1"/>
      <c r="H3729" s="1"/>
      <c r="I3729" s="1"/>
      <c r="J3729" s="1"/>
    </row>
    <row r="3730" ht="15.75" customHeight="1">
      <c r="A3730" s="1"/>
      <c r="B3730" s="1"/>
      <c r="C3730" s="1"/>
      <c r="D3730" s="1"/>
      <c r="E3730" s="1"/>
      <c r="F3730" s="1"/>
      <c r="G3730" s="1"/>
      <c r="H3730" s="1"/>
      <c r="I3730" s="1"/>
      <c r="J3730" s="1"/>
    </row>
    <row r="3731" ht="15.75" customHeight="1">
      <c r="A3731" s="1"/>
      <c r="B3731" s="1"/>
      <c r="C3731" s="1"/>
      <c r="D3731" s="1"/>
      <c r="E3731" s="1"/>
      <c r="F3731" s="1"/>
      <c r="G3731" s="1"/>
      <c r="H3731" s="1"/>
      <c r="I3731" s="1"/>
      <c r="J3731" s="1"/>
    </row>
    <row r="3732" ht="15.75" customHeight="1">
      <c r="A3732" s="1"/>
      <c r="B3732" s="1"/>
      <c r="C3732" s="1"/>
      <c r="D3732" s="1"/>
      <c r="E3732" s="1"/>
      <c r="F3732" s="1"/>
      <c r="G3732" s="1"/>
      <c r="H3732" s="1"/>
      <c r="I3732" s="1"/>
      <c r="J3732" s="1"/>
    </row>
    <row r="3733" ht="15.75" customHeight="1">
      <c r="A3733" s="1"/>
      <c r="B3733" s="1"/>
      <c r="C3733" s="1"/>
      <c r="D3733" s="1"/>
      <c r="E3733" s="1"/>
      <c r="F3733" s="1"/>
      <c r="G3733" s="1"/>
      <c r="H3733" s="1"/>
      <c r="I3733" s="1"/>
      <c r="J3733" s="1"/>
    </row>
    <row r="3734" ht="15.75" customHeight="1">
      <c r="A3734" s="1"/>
      <c r="B3734" s="1"/>
      <c r="C3734" s="1"/>
      <c r="D3734" s="1"/>
      <c r="E3734" s="1"/>
      <c r="F3734" s="1"/>
      <c r="G3734" s="1"/>
      <c r="H3734" s="1"/>
      <c r="I3734" s="1"/>
      <c r="J3734" s="1"/>
    </row>
    <row r="3735" ht="15.75" customHeight="1">
      <c r="A3735" s="1"/>
      <c r="B3735" s="1"/>
      <c r="C3735" s="1"/>
      <c r="D3735" s="1"/>
      <c r="E3735" s="1"/>
      <c r="F3735" s="1"/>
      <c r="G3735" s="1"/>
      <c r="H3735" s="1"/>
      <c r="I3735" s="1"/>
      <c r="J3735" s="1"/>
    </row>
    <row r="3736" ht="15.75" customHeight="1">
      <c r="A3736" s="1"/>
      <c r="B3736" s="1"/>
      <c r="C3736" s="1"/>
      <c r="D3736" s="1"/>
      <c r="E3736" s="1"/>
      <c r="F3736" s="1"/>
      <c r="G3736" s="1"/>
      <c r="H3736" s="1"/>
      <c r="I3736" s="1"/>
      <c r="J3736" s="1"/>
    </row>
    <row r="3737" ht="15.75" customHeight="1">
      <c r="A3737" s="1"/>
      <c r="B3737" s="1"/>
      <c r="C3737" s="1"/>
      <c r="D3737" s="1"/>
      <c r="E3737" s="1"/>
      <c r="F3737" s="1"/>
      <c r="G3737" s="1"/>
      <c r="H3737" s="1"/>
      <c r="I3737" s="1"/>
      <c r="J3737" s="1"/>
    </row>
    <row r="3738" ht="15.75" customHeight="1">
      <c r="A3738" s="1"/>
      <c r="B3738" s="1"/>
      <c r="C3738" s="1"/>
      <c r="D3738" s="1"/>
      <c r="E3738" s="1"/>
      <c r="F3738" s="1"/>
      <c r="G3738" s="1"/>
      <c r="H3738" s="1"/>
      <c r="I3738" s="1"/>
      <c r="J3738" s="1"/>
    </row>
    <row r="3739" ht="15.75" customHeight="1">
      <c r="A3739" s="1"/>
      <c r="B3739" s="1"/>
      <c r="C3739" s="1"/>
      <c r="D3739" s="1"/>
      <c r="E3739" s="1"/>
      <c r="F3739" s="1"/>
      <c r="G3739" s="1"/>
      <c r="H3739" s="1"/>
      <c r="I3739" s="1"/>
      <c r="J3739" s="1"/>
    </row>
    <row r="3740" ht="15.75" customHeight="1">
      <c r="A3740" s="1"/>
      <c r="B3740" s="1"/>
      <c r="C3740" s="1"/>
      <c r="D3740" s="1"/>
      <c r="E3740" s="1"/>
      <c r="F3740" s="1"/>
      <c r="G3740" s="1"/>
      <c r="H3740" s="1"/>
      <c r="I3740" s="1"/>
      <c r="J3740" s="1"/>
    </row>
    <row r="3741" ht="15.75" customHeight="1">
      <c r="A3741" s="1"/>
      <c r="B3741" s="1"/>
      <c r="C3741" s="1"/>
      <c r="D3741" s="1"/>
      <c r="E3741" s="1"/>
      <c r="F3741" s="1"/>
      <c r="G3741" s="1"/>
      <c r="H3741" s="1"/>
      <c r="I3741" s="1"/>
      <c r="J3741" s="1"/>
    </row>
    <row r="3742" ht="15.75" customHeight="1">
      <c r="A3742" s="1"/>
      <c r="B3742" s="1"/>
      <c r="C3742" s="1"/>
      <c r="D3742" s="1"/>
      <c r="E3742" s="1"/>
      <c r="F3742" s="1"/>
      <c r="G3742" s="1"/>
      <c r="H3742" s="1"/>
      <c r="I3742" s="1"/>
      <c r="J3742" s="1"/>
    </row>
    <row r="3743" ht="15.75" customHeight="1">
      <c r="A3743" s="1"/>
      <c r="B3743" s="1"/>
      <c r="C3743" s="1"/>
      <c r="D3743" s="1"/>
      <c r="E3743" s="1"/>
      <c r="F3743" s="1"/>
      <c r="G3743" s="1"/>
      <c r="H3743" s="1"/>
      <c r="I3743" s="1"/>
      <c r="J3743" s="1"/>
    </row>
    <row r="3744" ht="15.75" customHeight="1">
      <c r="A3744" s="1"/>
      <c r="B3744" s="1"/>
      <c r="C3744" s="1"/>
      <c r="D3744" s="1"/>
      <c r="E3744" s="1"/>
      <c r="F3744" s="1"/>
      <c r="G3744" s="1"/>
      <c r="H3744" s="1"/>
      <c r="I3744" s="1"/>
      <c r="J3744" s="1"/>
    </row>
    <row r="3745" ht="15.75" customHeight="1">
      <c r="A3745" s="1"/>
      <c r="B3745" s="1"/>
      <c r="C3745" s="1"/>
      <c r="D3745" s="1"/>
      <c r="E3745" s="1"/>
      <c r="F3745" s="1"/>
      <c r="G3745" s="1"/>
      <c r="H3745" s="1"/>
      <c r="I3745" s="1"/>
      <c r="J3745" s="1"/>
    </row>
    <row r="3746" ht="15.75" customHeight="1">
      <c r="A3746" s="1"/>
      <c r="B3746" s="1"/>
      <c r="C3746" s="1"/>
      <c r="D3746" s="1"/>
      <c r="E3746" s="1"/>
      <c r="F3746" s="1"/>
      <c r="G3746" s="1"/>
      <c r="H3746" s="1"/>
      <c r="I3746" s="1"/>
      <c r="J3746" s="1"/>
    </row>
    <row r="3747" ht="15.75" customHeight="1">
      <c r="A3747" s="1"/>
      <c r="B3747" s="1"/>
      <c r="C3747" s="1"/>
      <c r="D3747" s="1"/>
      <c r="E3747" s="1"/>
      <c r="F3747" s="1"/>
      <c r="G3747" s="1"/>
      <c r="H3747" s="1"/>
      <c r="I3747" s="1"/>
      <c r="J3747" s="1"/>
    </row>
    <row r="3748" ht="15.75" customHeight="1">
      <c r="A3748" s="1"/>
      <c r="B3748" s="1"/>
      <c r="C3748" s="1"/>
      <c r="D3748" s="1"/>
      <c r="E3748" s="1"/>
      <c r="F3748" s="1"/>
      <c r="G3748" s="1"/>
      <c r="H3748" s="1"/>
      <c r="I3748" s="1"/>
      <c r="J3748" s="1"/>
    </row>
    <row r="3749" ht="15.75" customHeight="1">
      <c r="A3749" s="1"/>
      <c r="B3749" s="1"/>
      <c r="C3749" s="1"/>
      <c r="D3749" s="1"/>
      <c r="E3749" s="1"/>
      <c r="F3749" s="1"/>
      <c r="G3749" s="1"/>
      <c r="H3749" s="1"/>
      <c r="I3749" s="1"/>
      <c r="J3749" s="1"/>
    </row>
    <row r="3750" ht="15.75" customHeight="1">
      <c r="A3750" s="1"/>
      <c r="B3750" s="1"/>
      <c r="C3750" s="1"/>
      <c r="D3750" s="1"/>
      <c r="E3750" s="1"/>
      <c r="F3750" s="1"/>
      <c r="G3750" s="1"/>
      <c r="H3750" s="1"/>
      <c r="I3750" s="1"/>
      <c r="J3750" s="1"/>
    </row>
    <row r="3751" ht="15.75" customHeight="1">
      <c r="A3751" s="1"/>
      <c r="B3751" s="1"/>
      <c r="C3751" s="1"/>
      <c r="D3751" s="1"/>
      <c r="E3751" s="1"/>
      <c r="F3751" s="1"/>
      <c r="G3751" s="1"/>
      <c r="H3751" s="1"/>
      <c r="I3751" s="1"/>
      <c r="J3751" s="1"/>
    </row>
    <row r="3752" ht="15.75" customHeight="1">
      <c r="A3752" s="1"/>
      <c r="B3752" s="1"/>
      <c r="C3752" s="1"/>
      <c r="D3752" s="1"/>
      <c r="E3752" s="1"/>
      <c r="F3752" s="1"/>
      <c r="G3752" s="1"/>
      <c r="H3752" s="1"/>
      <c r="I3752" s="1"/>
      <c r="J3752" s="1"/>
    </row>
    <row r="3753" ht="15.75" customHeight="1">
      <c r="A3753" s="1"/>
      <c r="B3753" s="1"/>
      <c r="C3753" s="1"/>
      <c r="D3753" s="1"/>
      <c r="E3753" s="1"/>
      <c r="F3753" s="1"/>
      <c r="G3753" s="1"/>
      <c r="H3753" s="1"/>
      <c r="I3753" s="1"/>
      <c r="J3753" s="1"/>
    </row>
    <row r="3754" ht="15.75" customHeight="1">
      <c r="A3754" s="1"/>
      <c r="B3754" s="1"/>
      <c r="C3754" s="1"/>
      <c r="D3754" s="1"/>
      <c r="E3754" s="1"/>
      <c r="F3754" s="1"/>
      <c r="G3754" s="1"/>
      <c r="H3754" s="1"/>
      <c r="I3754" s="1"/>
      <c r="J3754" s="1"/>
    </row>
    <row r="3755" ht="15.75" customHeight="1">
      <c r="A3755" s="1"/>
      <c r="B3755" s="1"/>
      <c r="C3755" s="1"/>
      <c r="D3755" s="1"/>
      <c r="E3755" s="1"/>
      <c r="F3755" s="1"/>
      <c r="G3755" s="1"/>
      <c r="H3755" s="1"/>
      <c r="I3755" s="1"/>
      <c r="J3755" s="1"/>
    </row>
    <row r="3756" ht="15.75" customHeight="1">
      <c r="A3756" s="1"/>
      <c r="B3756" s="1"/>
      <c r="C3756" s="1"/>
      <c r="D3756" s="1"/>
      <c r="E3756" s="1"/>
      <c r="F3756" s="1"/>
      <c r="G3756" s="1"/>
      <c r="H3756" s="1"/>
      <c r="I3756" s="1"/>
      <c r="J3756" s="1"/>
    </row>
    <row r="3757" ht="15.75" customHeight="1">
      <c r="A3757" s="1"/>
      <c r="B3757" s="1"/>
      <c r="C3757" s="1"/>
      <c r="D3757" s="1"/>
      <c r="E3757" s="1"/>
      <c r="F3757" s="1"/>
      <c r="G3757" s="1"/>
      <c r="H3757" s="1"/>
      <c r="I3757" s="1"/>
      <c r="J3757" s="1"/>
    </row>
    <row r="3758" ht="15.75" customHeight="1">
      <c r="A3758" s="1"/>
      <c r="B3758" s="1"/>
      <c r="C3758" s="1"/>
      <c r="D3758" s="1"/>
      <c r="E3758" s="1"/>
      <c r="F3758" s="1"/>
      <c r="G3758" s="1"/>
      <c r="H3758" s="1"/>
      <c r="I3758" s="1"/>
      <c r="J3758" s="1"/>
    </row>
    <row r="3759" ht="15.75" customHeight="1">
      <c r="A3759" s="1"/>
      <c r="B3759" s="1"/>
      <c r="C3759" s="1"/>
      <c r="D3759" s="1"/>
      <c r="E3759" s="1"/>
      <c r="F3759" s="1"/>
      <c r="G3759" s="1"/>
      <c r="H3759" s="1"/>
      <c r="I3759" s="1"/>
      <c r="J3759" s="1"/>
    </row>
    <row r="3760" ht="15.75" customHeight="1">
      <c r="A3760" s="1"/>
      <c r="B3760" s="1"/>
      <c r="C3760" s="1"/>
      <c r="D3760" s="1"/>
      <c r="E3760" s="1"/>
      <c r="F3760" s="1"/>
      <c r="G3760" s="1"/>
      <c r="H3760" s="1"/>
      <c r="I3760" s="1"/>
      <c r="J3760" s="1"/>
    </row>
    <row r="3761" ht="15.75" customHeight="1">
      <c r="A3761" s="1"/>
      <c r="B3761" s="1"/>
      <c r="C3761" s="1"/>
      <c r="D3761" s="1"/>
      <c r="E3761" s="1"/>
      <c r="F3761" s="1"/>
      <c r="G3761" s="1"/>
      <c r="H3761" s="1"/>
      <c r="I3761" s="1"/>
      <c r="J3761" s="1"/>
    </row>
    <row r="3762" ht="15.75" customHeight="1">
      <c r="A3762" s="1"/>
      <c r="B3762" s="1"/>
      <c r="C3762" s="1"/>
      <c r="D3762" s="1"/>
      <c r="E3762" s="1"/>
      <c r="F3762" s="1"/>
      <c r="G3762" s="1"/>
      <c r="H3762" s="1"/>
      <c r="I3762" s="1"/>
      <c r="J3762" s="1"/>
    </row>
    <row r="3763" ht="15.75" customHeight="1">
      <c r="A3763" s="1"/>
      <c r="B3763" s="1"/>
      <c r="C3763" s="1"/>
      <c r="D3763" s="1"/>
      <c r="E3763" s="1"/>
      <c r="F3763" s="1"/>
      <c r="G3763" s="1"/>
      <c r="H3763" s="1"/>
      <c r="I3763" s="1"/>
      <c r="J3763" s="1"/>
    </row>
    <row r="3764" ht="15.75" customHeight="1">
      <c r="A3764" s="1"/>
      <c r="B3764" s="1"/>
      <c r="C3764" s="1"/>
      <c r="D3764" s="1"/>
      <c r="E3764" s="1"/>
      <c r="F3764" s="1"/>
      <c r="G3764" s="1"/>
      <c r="H3764" s="1"/>
      <c r="I3764" s="1"/>
      <c r="J3764" s="1"/>
    </row>
    <row r="3765" ht="15.75" customHeight="1">
      <c r="A3765" s="1"/>
      <c r="B3765" s="1"/>
      <c r="C3765" s="1"/>
      <c r="D3765" s="1"/>
      <c r="E3765" s="1"/>
      <c r="F3765" s="1"/>
      <c r="G3765" s="1"/>
      <c r="H3765" s="1"/>
      <c r="I3765" s="1"/>
      <c r="J3765" s="1"/>
    </row>
    <row r="3766" ht="15.75" customHeight="1">
      <c r="A3766" s="1"/>
      <c r="B3766" s="1"/>
      <c r="C3766" s="1"/>
      <c r="D3766" s="1"/>
      <c r="E3766" s="1"/>
      <c r="F3766" s="1"/>
      <c r="G3766" s="1"/>
      <c r="H3766" s="1"/>
      <c r="I3766" s="1"/>
      <c r="J3766" s="1"/>
    </row>
    <row r="3767" ht="15.75" customHeight="1">
      <c r="A3767" s="1"/>
      <c r="B3767" s="1"/>
      <c r="C3767" s="1"/>
      <c r="D3767" s="1"/>
      <c r="E3767" s="1"/>
      <c r="F3767" s="1"/>
      <c r="G3767" s="1"/>
      <c r="H3767" s="1"/>
      <c r="I3767" s="1"/>
      <c r="J3767" s="1"/>
    </row>
    <row r="3768" ht="15.75" customHeight="1">
      <c r="A3768" s="1"/>
      <c r="B3768" s="1"/>
      <c r="C3768" s="1"/>
      <c r="D3768" s="1"/>
      <c r="E3768" s="1"/>
      <c r="F3768" s="1"/>
      <c r="G3768" s="1"/>
      <c r="H3768" s="1"/>
      <c r="I3768" s="1"/>
      <c r="J3768" s="1"/>
    </row>
    <row r="3769" ht="15.75" customHeight="1">
      <c r="A3769" s="1"/>
      <c r="B3769" s="1"/>
      <c r="C3769" s="1"/>
      <c r="D3769" s="1"/>
      <c r="E3769" s="1"/>
      <c r="F3769" s="1"/>
      <c r="G3769" s="1"/>
      <c r="H3769" s="1"/>
      <c r="I3769" s="1"/>
      <c r="J3769" s="1"/>
    </row>
    <row r="3770" ht="15.75" customHeight="1">
      <c r="A3770" s="1"/>
      <c r="B3770" s="1"/>
      <c r="C3770" s="1"/>
      <c r="D3770" s="1"/>
      <c r="E3770" s="1"/>
      <c r="F3770" s="1"/>
      <c r="G3770" s="1"/>
      <c r="H3770" s="1"/>
      <c r="I3770" s="1"/>
      <c r="J3770" s="1"/>
    </row>
    <row r="3771" ht="15.75" customHeight="1">
      <c r="A3771" s="1"/>
      <c r="B3771" s="1"/>
      <c r="C3771" s="1"/>
      <c r="D3771" s="1"/>
      <c r="E3771" s="1"/>
      <c r="F3771" s="1"/>
      <c r="G3771" s="1"/>
      <c r="H3771" s="1"/>
      <c r="I3771" s="1"/>
      <c r="J3771" s="1"/>
    </row>
    <row r="3772" ht="15.75" customHeight="1">
      <c r="A3772" s="1"/>
      <c r="B3772" s="1"/>
      <c r="C3772" s="1"/>
      <c r="D3772" s="1"/>
      <c r="E3772" s="1"/>
      <c r="F3772" s="1"/>
      <c r="G3772" s="1"/>
      <c r="H3772" s="1"/>
      <c r="I3772" s="1"/>
      <c r="J3772" s="1"/>
    </row>
    <row r="3773" ht="15.75" customHeight="1">
      <c r="A3773" s="1"/>
      <c r="B3773" s="1"/>
      <c r="C3773" s="1"/>
      <c r="D3773" s="1"/>
      <c r="E3773" s="1"/>
      <c r="F3773" s="1"/>
      <c r="G3773" s="1"/>
      <c r="H3773" s="1"/>
      <c r="I3773" s="1"/>
      <c r="J3773" s="1"/>
    </row>
    <row r="3774" ht="15.75" customHeight="1">
      <c r="A3774" s="1"/>
      <c r="B3774" s="1"/>
      <c r="C3774" s="1"/>
      <c r="D3774" s="1"/>
      <c r="E3774" s="1"/>
      <c r="F3774" s="1"/>
      <c r="G3774" s="1"/>
      <c r="H3774" s="1"/>
      <c r="I3774" s="1"/>
      <c r="J3774" s="1"/>
    </row>
    <row r="3775" ht="15.75" customHeight="1">
      <c r="A3775" s="1"/>
      <c r="B3775" s="1"/>
      <c r="C3775" s="1"/>
      <c r="D3775" s="1"/>
      <c r="E3775" s="1"/>
      <c r="F3775" s="1"/>
      <c r="G3775" s="1"/>
      <c r="H3775" s="1"/>
      <c r="I3775" s="1"/>
      <c r="J3775" s="1"/>
    </row>
    <row r="3776" ht="15.75" customHeight="1">
      <c r="A3776" s="1"/>
      <c r="B3776" s="1"/>
      <c r="C3776" s="1"/>
      <c r="D3776" s="1"/>
      <c r="E3776" s="1"/>
      <c r="F3776" s="1"/>
      <c r="G3776" s="1"/>
      <c r="H3776" s="1"/>
      <c r="I3776" s="1"/>
      <c r="J3776" s="1"/>
    </row>
    <row r="3777" ht="15.75" customHeight="1">
      <c r="A3777" s="1"/>
      <c r="B3777" s="1"/>
      <c r="C3777" s="1"/>
      <c r="D3777" s="1"/>
      <c r="E3777" s="1"/>
      <c r="F3777" s="1"/>
      <c r="G3777" s="1"/>
      <c r="H3777" s="1"/>
      <c r="I3777" s="1"/>
      <c r="J3777" s="1"/>
    </row>
    <row r="3778" ht="15.75" customHeight="1">
      <c r="A3778" s="1"/>
      <c r="B3778" s="1"/>
      <c r="C3778" s="1"/>
      <c r="D3778" s="1"/>
      <c r="E3778" s="1"/>
      <c r="F3778" s="1"/>
      <c r="G3778" s="1"/>
      <c r="H3778" s="1"/>
      <c r="I3778" s="1"/>
      <c r="J3778" s="1"/>
    </row>
    <row r="3779" ht="15.75" customHeight="1">
      <c r="A3779" s="1"/>
      <c r="B3779" s="1"/>
      <c r="C3779" s="1"/>
      <c r="D3779" s="1"/>
      <c r="E3779" s="1"/>
      <c r="F3779" s="1"/>
      <c r="G3779" s="1"/>
      <c r="H3779" s="1"/>
      <c r="I3779" s="1"/>
      <c r="J3779" s="1"/>
    </row>
    <row r="3780" ht="15.75" customHeight="1">
      <c r="A3780" s="1"/>
      <c r="B3780" s="1"/>
      <c r="C3780" s="1"/>
      <c r="D3780" s="1"/>
      <c r="E3780" s="1"/>
      <c r="F3780" s="1"/>
      <c r="G3780" s="1"/>
      <c r="H3780" s="1"/>
      <c r="I3780" s="1"/>
      <c r="J3780" s="1"/>
    </row>
    <row r="3781" ht="15.75" customHeight="1">
      <c r="A3781" s="1"/>
      <c r="B3781" s="1"/>
      <c r="C3781" s="1"/>
      <c r="D3781" s="1"/>
      <c r="E3781" s="1"/>
      <c r="F3781" s="1"/>
      <c r="G3781" s="1"/>
      <c r="H3781" s="1"/>
      <c r="I3781" s="1"/>
      <c r="J3781" s="1"/>
    </row>
    <row r="3782" ht="15.75" customHeight="1">
      <c r="A3782" s="1"/>
      <c r="B3782" s="1"/>
      <c r="C3782" s="1"/>
      <c r="D3782" s="1"/>
      <c r="E3782" s="1"/>
      <c r="F3782" s="1"/>
      <c r="G3782" s="1"/>
      <c r="H3782" s="1"/>
      <c r="I3782" s="1"/>
      <c r="J3782" s="1"/>
    </row>
    <row r="3783" ht="15.75" customHeight="1">
      <c r="A3783" s="1"/>
      <c r="B3783" s="1"/>
      <c r="C3783" s="1"/>
      <c r="D3783" s="1"/>
      <c r="E3783" s="1"/>
      <c r="F3783" s="1"/>
      <c r="G3783" s="1"/>
      <c r="H3783" s="1"/>
      <c r="I3783" s="1"/>
      <c r="J3783" s="1"/>
    </row>
    <row r="3784" ht="15.75" customHeight="1">
      <c r="A3784" s="1"/>
      <c r="B3784" s="1"/>
      <c r="C3784" s="1"/>
      <c r="D3784" s="1"/>
      <c r="E3784" s="1"/>
      <c r="F3784" s="1"/>
      <c r="G3784" s="1"/>
      <c r="H3784" s="1"/>
      <c r="I3784" s="1"/>
      <c r="J3784" s="1"/>
    </row>
    <row r="3785" ht="15.75" customHeight="1">
      <c r="A3785" s="1"/>
      <c r="B3785" s="1"/>
      <c r="C3785" s="1"/>
      <c r="D3785" s="1"/>
      <c r="E3785" s="1"/>
      <c r="F3785" s="1"/>
      <c r="G3785" s="1"/>
      <c r="H3785" s="1"/>
      <c r="I3785" s="1"/>
      <c r="J3785" s="1"/>
    </row>
    <row r="3786" ht="15.75" customHeight="1">
      <c r="A3786" s="1"/>
      <c r="B3786" s="1"/>
      <c r="C3786" s="1"/>
      <c r="D3786" s="1"/>
      <c r="E3786" s="1"/>
      <c r="F3786" s="1"/>
      <c r="G3786" s="1"/>
      <c r="H3786" s="1"/>
      <c r="I3786" s="1"/>
      <c r="J3786" s="1"/>
    </row>
    <row r="3787" ht="15.75" customHeight="1">
      <c r="A3787" s="1"/>
      <c r="B3787" s="1"/>
      <c r="C3787" s="1"/>
      <c r="D3787" s="1"/>
      <c r="E3787" s="1"/>
      <c r="F3787" s="1"/>
      <c r="G3787" s="1"/>
      <c r="H3787" s="1"/>
      <c r="I3787" s="1"/>
      <c r="J3787" s="1"/>
    </row>
    <row r="3788" ht="15.75" customHeight="1">
      <c r="A3788" s="1"/>
      <c r="B3788" s="1"/>
      <c r="C3788" s="1"/>
      <c r="D3788" s="1"/>
      <c r="E3788" s="1"/>
      <c r="F3788" s="1"/>
      <c r="G3788" s="1"/>
      <c r="H3788" s="1"/>
      <c r="I3788" s="1"/>
      <c r="J3788" s="1"/>
    </row>
    <row r="3789" ht="15.75" customHeight="1">
      <c r="A3789" s="1"/>
      <c r="B3789" s="1"/>
      <c r="C3789" s="1"/>
      <c r="D3789" s="1"/>
      <c r="E3789" s="1"/>
      <c r="F3789" s="1"/>
      <c r="G3789" s="1"/>
      <c r="H3789" s="1"/>
      <c r="I3789" s="1"/>
      <c r="J3789" s="1"/>
    </row>
    <row r="3790" ht="15.75" customHeight="1">
      <c r="A3790" s="1"/>
      <c r="B3790" s="1"/>
      <c r="C3790" s="1"/>
      <c r="D3790" s="1"/>
      <c r="E3790" s="1"/>
      <c r="F3790" s="1"/>
      <c r="G3790" s="1"/>
      <c r="H3790" s="1"/>
      <c r="I3790" s="1"/>
      <c r="J3790" s="1"/>
    </row>
    <row r="3791" ht="15.75" customHeight="1">
      <c r="A3791" s="1"/>
      <c r="B3791" s="1"/>
      <c r="C3791" s="1"/>
      <c r="D3791" s="1"/>
      <c r="E3791" s="1"/>
      <c r="F3791" s="1"/>
      <c r="G3791" s="1"/>
      <c r="H3791" s="1"/>
      <c r="I3791" s="1"/>
      <c r="J3791" s="1"/>
    </row>
    <row r="3792" ht="15.75" customHeight="1">
      <c r="A3792" s="1"/>
      <c r="B3792" s="1"/>
      <c r="C3792" s="1"/>
      <c r="D3792" s="1"/>
      <c r="E3792" s="1"/>
      <c r="F3792" s="1"/>
      <c r="G3792" s="1"/>
      <c r="H3792" s="1"/>
      <c r="I3792" s="1"/>
      <c r="J3792" s="1"/>
    </row>
    <row r="3793" ht="15.75" customHeight="1">
      <c r="A3793" s="1"/>
      <c r="B3793" s="1"/>
      <c r="C3793" s="1"/>
      <c r="D3793" s="1"/>
      <c r="E3793" s="1"/>
      <c r="F3793" s="1"/>
      <c r="G3793" s="1"/>
      <c r="H3793" s="1"/>
      <c r="I3793" s="1"/>
      <c r="J3793" s="1"/>
    </row>
    <row r="3794" ht="15.75" customHeight="1">
      <c r="A3794" s="1"/>
      <c r="B3794" s="1"/>
      <c r="C3794" s="1"/>
      <c r="D3794" s="1"/>
      <c r="E3794" s="1"/>
      <c r="F3794" s="1"/>
      <c r="G3794" s="1"/>
      <c r="H3794" s="1"/>
      <c r="I3794" s="1"/>
      <c r="J3794" s="1"/>
    </row>
    <row r="3795" ht="15.75" customHeight="1">
      <c r="A3795" s="1"/>
      <c r="B3795" s="1"/>
      <c r="C3795" s="1"/>
      <c r="D3795" s="1"/>
      <c r="E3795" s="1"/>
      <c r="F3795" s="1"/>
      <c r="G3795" s="1"/>
      <c r="H3795" s="1"/>
      <c r="I3795" s="1"/>
      <c r="J3795" s="1"/>
    </row>
    <row r="3796" ht="15.75" customHeight="1">
      <c r="A3796" s="1"/>
      <c r="B3796" s="1"/>
      <c r="C3796" s="1"/>
      <c r="D3796" s="1"/>
      <c r="E3796" s="1"/>
      <c r="F3796" s="1"/>
      <c r="G3796" s="1"/>
      <c r="H3796" s="1"/>
      <c r="I3796" s="1"/>
      <c r="J3796" s="1"/>
    </row>
    <row r="3797" ht="15.75" customHeight="1">
      <c r="A3797" s="1"/>
      <c r="B3797" s="1"/>
      <c r="C3797" s="1"/>
      <c r="D3797" s="1"/>
      <c r="E3797" s="1"/>
      <c r="F3797" s="1"/>
      <c r="G3797" s="1"/>
      <c r="H3797" s="1"/>
      <c r="I3797" s="1"/>
      <c r="J3797" s="1"/>
    </row>
    <row r="3798" ht="15.75" customHeight="1">
      <c r="A3798" s="1"/>
      <c r="B3798" s="1"/>
      <c r="C3798" s="1"/>
      <c r="D3798" s="1"/>
      <c r="E3798" s="1"/>
      <c r="F3798" s="1"/>
      <c r="G3798" s="1"/>
      <c r="H3798" s="1"/>
      <c r="I3798" s="1"/>
      <c r="J3798" s="1"/>
    </row>
    <row r="3799" ht="15.75" customHeight="1">
      <c r="A3799" s="1"/>
      <c r="B3799" s="1"/>
      <c r="C3799" s="1"/>
      <c r="D3799" s="1"/>
      <c r="E3799" s="1"/>
      <c r="F3799" s="1"/>
      <c r="G3799" s="1"/>
      <c r="H3799" s="1"/>
      <c r="I3799" s="1"/>
      <c r="J3799" s="1"/>
    </row>
    <row r="3800" ht="15.75" customHeight="1">
      <c r="A3800" s="1"/>
      <c r="B3800" s="1"/>
      <c r="C3800" s="1"/>
      <c r="D3800" s="1"/>
      <c r="E3800" s="1"/>
      <c r="F3800" s="1"/>
      <c r="G3800" s="1"/>
      <c r="H3800" s="1"/>
      <c r="I3800" s="1"/>
      <c r="J3800" s="1"/>
    </row>
    <row r="3801" ht="15.75" customHeight="1">
      <c r="A3801" s="1"/>
      <c r="B3801" s="1"/>
      <c r="C3801" s="1"/>
      <c r="D3801" s="1"/>
      <c r="E3801" s="1"/>
      <c r="F3801" s="1"/>
      <c r="G3801" s="1"/>
      <c r="H3801" s="1"/>
      <c r="I3801" s="1"/>
      <c r="J3801" s="1"/>
    </row>
    <row r="3802" ht="15.75" customHeight="1">
      <c r="A3802" s="1"/>
      <c r="B3802" s="1"/>
      <c r="C3802" s="1"/>
      <c r="D3802" s="1"/>
      <c r="E3802" s="1"/>
      <c r="F3802" s="1"/>
      <c r="G3802" s="1"/>
      <c r="H3802" s="1"/>
      <c r="I3802" s="1"/>
      <c r="J3802" s="1"/>
    </row>
    <row r="3803" ht="15.75" customHeight="1">
      <c r="A3803" s="1"/>
      <c r="B3803" s="1"/>
      <c r="C3803" s="1"/>
      <c r="D3803" s="1"/>
      <c r="E3803" s="1"/>
      <c r="F3803" s="1"/>
      <c r="G3803" s="1"/>
      <c r="H3803" s="1"/>
      <c r="I3803" s="1"/>
      <c r="J3803" s="1"/>
    </row>
    <row r="3804" ht="15.75" customHeight="1">
      <c r="A3804" s="1"/>
      <c r="B3804" s="1"/>
      <c r="C3804" s="1"/>
      <c r="D3804" s="1"/>
      <c r="E3804" s="1"/>
      <c r="F3804" s="1"/>
      <c r="G3804" s="1"/>
      <c r="H3804" s="1"/>
      <c r="I3804" s="1"/>
      <c r="J3804" s="1"/>
    </row>
    <row r="3805" ht="15.75" customHeight="1">
      <c r="A3805" s="1"/>
      <c r="B3805" s="1"/>
      <c r="C3805" s="1"/>
      <c r="D3805" s="1"/>
      <c r="E3805" s="1"/>
      <c r="F3805" s="1"/>
      <c r="G3805" s="1"/>
      <c r="H3805" s="1"/>
      <c r="I3805" s="1"/>
      <c r="J3805" s="1"/>
    </row>
    <row r="3806" ht="15.75" customHeight="1">
      <c r="A3806" s="1"/>
      <c r="B3806" s="1"/>
      <c r="C3806" s="1"/>
      <c r="D3806" s="1"/>
      <c r="E3806" s="1"/>
      <c r="F3806" s="1"/>
      <c r="G3806" s="1"/>
      <c r="H3806" s="1"/>
      <c r="I3806" s="1"/>
      <c r="J3806" s="1"/>
    </row>
    <row r="3807" ht="15.75" customHeight="1">
      <c r="A3807" s="1"/>
      <c r="B3807" s="1"/>
      <c r="C3807" s="1"/>
      <c r="D3807" s="1"/>
      <c r="E3807" s="1"/>
      <c r="F3807" s="1"/>
      <c r="G3807" s="1"/>
      <c r="H3807" s="1"/>
      <c r="I3807" s="1"/>
      <c r="J3807" s="1"/>
    </row>
    <row r="3808" ht="15.75" customHeight="1">
      <c r="A3808" s="1"/>
      <c r="B3808" s="1"/>
      <c r="C3808" s="1"/>
      <c r="D3808" s="1"/>
      <c r="E3808" s="1"/>
      <c r="F3808" s="1"/>
      <c r="G3808" s="1"/>
      <c r="H3808" s="1"/>
      <c r="I3808" s="1"/>
      <c r="J3808" s="1"/>
    </row>
    <row r="3809" ht="15.75" customHeight="1">
      <c r="A3809" s="1"/>
      <c r="B3809" s="1"/>
      <c r="C3809" s="1"/>
      <c r="D3809" s="1"/>
      <c r="E3809" s="1"/>
      <c r="F3809" s="1"/>
      <c r="G3809" s="1"/>
      <c r="H3809" s="1"/>
      <c r="I3809" s="1"/>
      <c r="J3809" s="1"/>
    </row>
    <row r="3810" ht="15.75" customHeight="1">
      <c r="A3810" s="1"/>
      <c r="B3810" s="1"/>
      <c r="C3810" s="1"/>
      <c r="D3810" s="1"/>
      <c r="E3810" s="1"/>
      <c r="F3810" s="1"/>
      <c r="G3810" s="1"/>
      <c r="H3810" s="1"/>
      <c r="I3810" s="1"/>
      <c r="J3810" s="1"/>
    </row>
    <row r="3811" ht="15.75" customHeight="1">
      <c r="A3811" s="1"/>
      <c r="B3811" s="1"/>
      <c r="C3811" s="1"/>
      <c r="D3811" s="1"/>
      <c r="E3811" s="1"/>
      <c r="F3811" s="1"/>
      <c r="G3811" s="1"/>
      <c r="H3811" s="1"/>
      <c r="I3811" s="1"/>
      <c r="J3811" s="1"/>
    </row>
    <row r="3812" ht="15.75" customHeight="1">
      <c r="A3812" s="1"/>
      <c r="B3812" s="1"/>
      <c r="C3812" s="1"/>
      <c r="D3812" s="1"/>
      <c r="E3812" s="1"/>
      <c r="F3812" s="1"/>
      <c r="G3812" s="1"/>
      <c r="H3812" s="1"/>
      <c r="I3812" s="1"/>
      <c r="J3812" s="1"/>
    </row>
    <row r="3813" ht="15.75" customHeight="1">
      <c r="A3813" s="1"/>
      <c r="B3813" s="1"/>
      <c r="C3813" s="1"/>
      <c r="D3813" s="1"/>
      <c r="E3813" s="1"/>
      <c r="F3813" s="1"/>
      <c r="G3813" s="1"/>
      <c r="H3813" s="1"/>
      <c r="I3813" s="1"/>
      <c r="J3813" s="1"/>
    </row>
    <row r="3814" ht="15.75" customHeight="1">
      <c r="A3814" s="1"/>
      <c r="B3814" s="1"/>
      <c r="C3814" s="1"/>
      <c r="D3814" s="1"/>
      <c r="E3814" s="1"/>
      <c r="F3814" s="1"/>
      <c r="G3814" s="1"/>
      <c r="H3814" s="1"/>
      <c r="I3814" s="1"/>
      <c r="J3814" s="1"/>
    </row>
    <row r="3815" ht="15.75" customHeight="1">
      <c r="A3815" s="1"/>
      <c r="B3815" s="1"/>
      <c r="C3815" s="1"/>
      <c r="D3815" s="1"/>
      <c r="E3815" s="1"/>
      <c r="F3815" s="1"/>
      <c r="G3815" s="1"/>
      <c r="H3815" s="1"/>
      <c r="I3815" s="1"/>
      <c r="J3815" s="1"/>
    </row>
    <row r="3816" ht="15.75" customHeight="1">
      <c r="A3816" s="1"/>
      <c r="B3816" s="1"/>
      <c r="C3816" s="1"/>
      <c r="D3816" s="1"/>
      <c r="E3816" s="1"/>
      <c r="F3816" s="1"/>
      <c r="G3816" s="1"/>
      <c r="H3816" s="1"/>
      <c r="I3816" s="1"/>
      <c r="J3816" s="1"/>
    </row>
    <row r="3817" ht="15.75" customHeight="1">
      <c r="A3817" s="1"/>
      <c r="B3817" s="1"/>
      <c r="C3817" s="1"/>
      <c r="D3817" s="1"/>
      <c r="E3817" s="1"/>
      <c r="F3817" s="1"/>
      <c r="G3817" s="1"/>
      <c r="H3817" s="1"/>
      <c r="I3817" s="1"/>
      <c r="J3817" s="1"/>
    </row>
    <row r="3818" ht="15.75" customHeight="1">
      <c r="A3818" s="1"/>
      <c r="B3818" s="1"/>
      <c r="C3818" s="1"/>
      <c r="D3818" s="1"/>
      <c r="E3818" s="1"/>
      <c r="F3818" s="1"/>
      <c r="G3818" s="1"/>
      <c r="H3818" s="1"/>
      <c r="I3818" s="1"/>
      <c r="J3818" s="1"/>
    </row>
    <row r="3819" ht="15.75" customHeight="1">
      <c r="A3819" s="1"/>
      <c r="B3819" s="1"/>
      <c r="C3819" s="1"/>
      <c r="D3819" s="1"/>
      <c r="E3819" s="1"/>
      <c r="F3819" s="1"/>
      <c r="G3819" s="1"/>
      <c r="H3819" s="1"/>
      <c r="I3819" s="1"/>
      <c r="J3819" s="1"/>
    </row>
    <row r="3820" ht="15.75" customHeight="1">
      <c r="A3820" s="1"/>
      <c r="B3820" s="1"/>
      <c r="C3820" s="1"/>
      <c r="D3820" s="1"/>
      <c r="E3820" s="1"/>
      <c r="F3820" s="1"/>
      <c r="G3820" s="1"/>
      <c r="H3820" s="1"/>
      <c r="I3820" s="1"/>
      <c r="J3820" s="1"/>
    </row>
    <row r="3821" ht="15.75" customHeight="1">
      <c r="A3821" s="1"/>
      <c r="B3821" s="1"/>
      <c r="C3821" s="1"/>
      <c r="D3821" s="1"/>
      <c r="E3821" s="1"/>
      <c r="F3821" s="1"/>
      <c r="G3821" s="1"/>
      <c r="H3821" s="1"/>
      <c r="I3821" s="1"/>
      <c r="J3821" s="1"/>
    </row>
    <row r="3822" ht="15.75" customHeight="1">
      <c r="A3822" s="1"/>
      <c r="B3822" s="1"/>
      <c r="C3822" s="1"/>
      <c r="D3822" s="1"/>
      <c r="E3822" s="1"/>
      <c r="F3822" s="1"/>
      <c r="G3822" s="1"/>
      <c r="H3822" s="1"/>
      <c r="I3822" s="1"/>
      <c r="J3822" s="1"/>
    </row>
    <row r="3823" ht="15.75" customHeight="1">
      <c r="A3823" s="1"/>
      <c r="B3823" s="1"/>
      <c r="C3823" s="1"/>
      <c r="D3823" s="1"/>
      <c r="E3823" s="1"/>
      <c r="F3823" s="1"/>
      <c r="G3823" s="1"/>
      <c r="H3823" s="1"/>
      <c r="I3823" s="1"/>
      <c r="J3823" s="1"/>
    </row>
    <row r="3824" ht="15.75" customHeight="1">
      <c r="A3824" s="1"/>
      <c r="B3824" s="1"/>
      <c r="C3824" s="1"/>
      <c r="D3824" s="1"/>
      <c r="E3824" s="1"/>
      <c r="F3824" s="1"/>
      <c r="G3824" s="1"/>
      <c r="H3824" s="1"/>
      <c r="I3824" s="1"/>
      <c r="J3824" s="1"/>
    </row>
    <row r="3825" ht="15.75" customHeight="1">
      <c r="A3825" s="1"/>
      <c r="B3825" s="1"/>
      <c r="C3825" s="1"/>
      <c r="D3825" s="1"/>
      <c r="E3825" s="1"/>
      <c r="F3825" s="1"/>
      <c r="G3825" s="1"/>
      <c r="H3825" s="1"/>
      <c r="I3825" s="1"/>
      <c r="J3825" s="1"/>
    </row>
    <row r="3826" ht="15.75" customHeight="1">
      <c r="A3826" s="1"/>
      <c r="B3826" s="1"/>
      <c r="C3826" s="1"/>
      <c r="D3826" s="1"/>
      <c r="E3826" s="1"/>
      <c r="F3826" s="1"/>
      <c r="G3826" s="1"/>
      <c r="H3826" s="1"/>
      <c r="I3826" s="1"/>
      <c r="J3826" s="1"/>
    </row>
    <row r="3827" ht="15.75" customHeight="1">
      <c r="A3827" s="1"/>
      <c r="B3827" s="1"/>
      <c r="C3827" s="1"/>
      <c r="D3827" s="1"/>
      <c r="E3827" s="1"/>
      <c r="F3827" s="1"/>
      <c r="G3827" s="1"/>
      <c r="H3827" s="1"/>
      <c r="I3827" s="1"/>
      <c r="J3827" s="1"/>
    </row>
    <row r="3828" ht="15.75" customHeight="1">
      <c r="A3828" s="1"/>
      <c r="B3828" s="1"/>
      <c r="C3828" s="1"/>
      <c r="D3828" s="1"/>
      <c r="E3828" s="1"/>
      <c r="F3828" s="1"/>
      <c r="G3828" s="1"/>
      <c r="H3828" s="1"/>
      <c r="I3828" s="1"/>
      <c r="J3828" s="1"/>
    </row>
    <row r="3829" ht="15.75" customHeight="1">
      <c r="A3829" s="1"/>
      <c r="B3829" s="1"/>
      <c r="C3829" s="1"/>
      <c r="D3829" s="1"/>
      <c r="E3829" s="1"/>
      <c r="F3829" s="1"/>
      <c r="G3829" s="1"/>
      <c r="H3829" s="1"/>
      <c r="I3829" s="1"/>
      <c r="J3829" s="1"/>
    </row>
    <row r="3830" ht="15.75" customHeight="1">
      <c r="A3830" s="1"/>
      <c r="B3830" s="1"/>
      <c r="C3830" s="1"/>
      <c r="D3830" s="1"/>
      <c r="E3830" s="1"/>
      <c r="F3830" s="1"/>
      <c r="G3830" s="1"/>
      <c r="H3830" s="1"/>
      <c r="I3830" s="1"/>
      <c r="J3830" s="1"/>
    </row>
    <row r="3831" ht="15.75" customHeight="1">
      <c r="A3831" s="1"/>
      <c r="B3831" s="1"/>
      <c r="C3831" s="1"/>
      <c r="D3831" s="1"/>
      <c r="E3831" s="1"/>
      <c r="F3831" s="1"/>
      <c r="G3831" s="1"/>
      <c r="H3831" s="1"/>
      <c r="I3831" s="1"/>
      <c r="J3831" s="1"/>
    </row>
    <row r="3832" ht="15.75" customHeight="1">
      <c r="A3832" s="1"/>
      <c r="B3832" s="1"/>
      <c r="C3832" s="1"/>
      <c r="D3832" s="1"/>
      <c r="E3832" s="1"/>
      <c r="F3832" s="1"/>
      <c r="G3832" s="1"/>
      <c r="H3832" s="1"/>
      <c r="I3832" s="1"/>
      <c r="J3832" s="1"/>
    </row>
    <row r="3833" ht="15.75" customHeight="1">
      <c r="A3833" s="1"/>
      <c r="B3833" s="1"/>
      <c r="C3833" s="1"/>
      <c r="D3833" s="1"/>
      <c r="E3833" s="1"/>
      <c r="F3833" s="1"/>
      <c r="G3833" s="1"/>
      <c r="H3833" s="1"/>
      <c r="I3833" s="1"/>
      <c r="J3833" s="1"/>
    </row>
    <row r="3834" ht="15.75" customHeight="1">
      <c r="A3834" s="1"/>
      <c r="B3834" s="1"/>
      <c r="C3834" s="1"/>
      <c r="D3834" s="1"/>
      <c r="E3834" s="1"/>
      <c r="F3834" s="1"/>
      <c r="G3834" s="1"/>
      <c r="H3834" s="1"/>
      <c r="I3834" s="1"/>
      <c r="J3834" s="1"/>
    </row>
    <row r="3835" ht="15.75" customHeight="1">
      <c r="A3835" s="1"/>
      <c r="B3835" s="1"/>
      <c r="C3835" s="1"/>
      <c r="D3835" s="1"/>
      <c r="E3835" s="1"/>
      <c r="F3835" s="1"/>
      <c r="G3835" s="1"/>
      <c r="H3835" s="1"/>
      <c r="I3835" s="1"/>
      <c r="J3835" s="1"/>
    </row>
    <row r="3836" ht="15.75" customHeight="1">
      <c r="A3836" s="1"/>
      <c r="B3836" s="1"/>
      <c r="C3836" s="1"/>
      <c r="D3836" s="1"/>
      <c r="E3836" s="1"/>
      <c r="F3836" s="1"/>
      <c r="G3836" s="1"/>
      <c r="H3836" s="1"/>
      <c r="I3836" s="1"/>
      <c r="J3836" s="1"/>
    </row>
    <row r="3837" ht="15.75" customHeight="1">
      <c r="A3837" s="1"/>
      <c r="B3837" s="1"/>
      <c r="C3837" s="1"/>
      <c r="D3837" s="1"/>
      <c r="E3837" s="1"/>
      <c r="F3837" s="1"/>
      <c r="G3837" s="1"/>
      <c r="H3837" s="1"/>
      <c r="I3837" s="1"/>
      <c r="J3837" s="1"/>
    </row>
    <row r="3838" ht="15.75" customHeight="1">
      <c r="A3838" s="1"/>
      <c r="B3838" s="1"/>
      <c r="C3838" s="1"/>
      <c r="D3838" s="1"/>
      <c r="E3838" s="1"/>
      <c r="F3838" s="1"/>
      <c r="G3838" s="1"/>
      <c r="H3838" s="1"/>
      <c r="I3838" s="1"/>
      <c r="J3838" s="1"/>
    </row>
    <row r="3839" ht="15.75" customHeight="1">
      <c r="A3839" s="1"/>
      <c r="B3839" s="1"/>
      <c r="C3839" s="1"/>
      <c r="D3839" s="1"/>
      <c r="E3839" s="1"/>
      <c r="F3839" s="1"/>
      <c r="G3839" s="1"/>
      <c r="H3839" s="1"/>
      <c r="I3839" s="1"/>
      <c r="J3839" s="1"/>
    </row>
    <row r="3840" ht="15.75" customHeight="1">
      <c r="A3840" s="1"/>
      <c r="B3840" s="1"/>
      <c r="C3840" s="1"/>
      <c r="D3840" s="1"/>
      <c r="E3840" s="1"/>
      <c r="F3840" s="1"/>
      <c r="G3840" s="1"/>
      <c r="H3840" s="1"/>
      <c r="I3840" s="1"/>
      <c r="J3840" s="1"/>
    </row>
    <row r="3841" ht="15.75" customHeight="1">
      <c r="A3841" s="1"/>
      <c r="B3841" s="1"/>
      <c r="C3841" s="1"/>
      <c r="D3841" s="1"/>
      <c r="E3841" s="1"/>
      <c r="F3841" s="1"/>
      <c r="G3841" s="1"/>
      <c r="H3841" s="1"/>
      <c r="I3841" s="1"/>
      <c r="J3841" s="1"/>
    </row>
    <row r="3842" ht="15.75" customHeight="1">
      <c r="A3842" s="1"/>
      <c r="B3842" s="1"/>
      <c r="C3842" s="1"/>
      <c r="D3842" s="1"/>
      <c r="E3842" s="1"/>
      <c r="F3842" s="1"/>
      <c r="G3842" s="1"/>
      <c r="H3842" s="1"/>
      <c r="I3842" s="1"/>
      <c r="J3842" s="1"/>
    </row>
    <row r="3843" ht="15.75" customHeight="1">
      <c r="A3843" s="1"/>
      <c r="B3843" s="1"/>
      <c r="C3843" s="1"/>
      <c r="D3843" s="1"/>
      <c r="E3843" s="1"/>
      <c r="F3843" s="1"/>
      <c r="G3843" s="1"/>
      <c r="H3843" s="1"/>
      <c r="I3843" s="1"/>
      <c r="J3843" s="1"/>
    </row>
    <row r="3844" ht="15.75" customHeight="1">
      <c r="A3844" s="1"/>
      <c r="B3844" s="1"/>
      <c r="C3844" s="1"/>
      <c r="D3844" s="1"/>
      <c r="E3844" s="1"/>
      <c r="F3844" s="1"/>
      <c r="G3844" s="1"/>
      <c r="H3844" s="1"/>
      <c r="I3844" s="1"/>
      <c r="J3844" s="1"/>
    </row>
    <row r="3845" ht="15.75" customHeight="1">
      <c r="A3845" s="1"/>
      <c r="B3845" s="1"/>
      <c r="C3845" s="1"/>
      <c r="D3845" s="1"/>
      <c r="E3845" s="1"/>
      <c r="F3845" s="1"/>
      <c r="G3845" s="1"/>
      <c r="H3845" s="1"/>
      <c r="I3845" s="1"/>
      <c r="J3845" s="1"/>
    </row>
    <row r="3846" ht="15.75" customHeight="1">
      <c r="A3846" s="1"/>
      <c r="B3846" s="1"/>
      <c r="C3846" s="1"/>
      <c r="D3846" s="1"/>
      <c r="E3846" s="1"/>
      <c r="F3846" s="1"/>
      <c r="G3846" s="1"/>
      <c r="H3846" s="1"/>
      <c r="I3846" s="1"/>
      <c r="J3846" s="1"/>
    </row>
    <row r="3847" ht="15.75" customHeight="1">
      <c r="A3847" s="1"/>
      <c r="B3847" s="1"/>
      <c r="C3847" s="1"/>
      <c r="D3847" s="1"/>
      <c r="E3847" s="1"/>
      <c r="F3847" s="1"/>
      <c r="G3847" s="1"/>
      <c r="H3847" s="1"/>
      <c r="I3847" s="1"/>
      <c r="J3847" s="1"/>
    </row>
    <row r="3848" ht="15.75" customHeight="1">
      <c r="A3848" s="1"/>
      <c r="B3848" s="1"/>
      <c r="C3848" s="1"/>
      <c r="D3848" s="1"/>
      <c r="E3848" s="1"/>
      <c r="F3848" s="1"/>
      <c r="G3848" s="1"/>
      <c r="H3848" s="1"/>
      <c r="I3848" s="1"/>
      <c r="J3848" s="1"/>
    </row>
    <row r="3849" ht="15.75" customHeight="1">
      <c r="A3849" s="1"/>
      <c r="B3849" s="1"/>
      <c r="C3849" s="1"/>
      <c r="D3849" s="1"/>
      <c r="E3849" s="1"/>
      <c r="F3849" s="1"/>
      <c r="G3849" s="1"/>
      <c r="H3849" s="1"/>
      <c r="I3849" s="1"/>
      <c r="J3849" s="1"/>
    </row>
    <row r="3850" ht="15.75" customHeight="1">
      <c r="A3850" s="1"/>
      <c r="B3850" s="1"/>
      <c r="C3850" s="1"/>
      <c r="D3850" s="1"/>
      <c r="E3850" s="1"/>
      <c r="F3850" s="1"/>
      <c r="G3850" s="1"/>
      <c r="H3850" s="1"/>
      <c r="I3850" s="1"/>
      <c r="J3850" s="1"/>
    </row>
    <row r="3851" ht="15.75" customHeight="1">
      <c r="A3851" s="1"/>
      <c r="B3851" s="1"/>
      <c r="C3851" s="1"/>
      <c r="D3851" s="1"/>
      <c r="E3851" s="1"/>
      <c r="F3851" s="1"/>
      <c r="G3851" s="1"/>
      <c r="H3851" s="1"/>
      <c r="I3851" s="1"/>
      <c r="J3851" s="1"/>
    </row>
    <row r="3852" ht="15.75" customHeight="1">
      <c r="A3852" s="1"/>
      <c r="B3852" s="1"/>
      <c r="C3852" s="1"/>
      <c r="D3852" s="1"/>
      <c r="E3852" s="1"/>
      <c r="F3852" s="1"/>
      <c r="G3852" s="1"/>
      <c r="H3852" s="1"/>
      <c r="I3852" s="1"/>
      <c r="J3852" s="1"/>
    </row>
    <row r="3853" ht="15.75" customHeight="1">
      <c r="A3853" s="1"/>
      <c r="B3853" s="1"/>
      <c r="C3853" s="1"/>
      <c r="D3853" s="1"/>
      <c r="E3853" s="1"/>
      <c r="F3853" s="1"/>
      <c r="G3853" s="1"/>
      <c r="H3853" s="1"/>
      <c r="I3853" s="1"/>
      <c r="J3853" s="1"/>
    </row>
    <row r="3854" ht="15.75" customHeight="1">
      <c r="A3854" s="1"/>
      <c r="B3854" s="1"/>
      <c r="C3854" s="1"/>
      <c r="D3854" s="1"/>
      <c r="E3854" s="1"/>
      <c r="F3854" s="1"/>
      <c r="G3854" s="1"/>
      <c r="H3854" s="1"/>
      <c r="I3854" s="1"/>
      <c r="J3854" s="1"/>
    </row>
    <row r="3855" ht="15.75" customHeight="1">
      <c r="A3855" s="1"/>
      <c r="B3855" s="1"/>
      <c r="C3855" s="1"/>
      <c r="D3855" s="1"/>
      <c r="E3855" s="1"/>
      <c r="F3855" s="1"/>
      <c r="G3855" s="1"/>
      <c r="H3855" s="1"/>
      <c r="I3855" s="1"/>
      <c r="J3855" s="1"/>
    </row>
    <row r="3856" ht="15.75" customHeight="1">
      <c r="A3856" s="1"/>
      <c r="B3856" s="1"/>
      <c r="C3856" s="1"/>
      <c r="D3856" s="1"/>
      <c r="E3856" s="1"/>
      <c r="F3856" s="1"/>
      <c r="G3856" s="1"/>
      <c r="H3856" s="1"/>
      <c r="I3856" s="1"/>
      <c r="J3856" s="1"/>
    </row>
    <row r="3857" ht="15.75" customHeight="1">
      <c r="A3857" s="1"/>
      <c r="B3857" s="1"/>
      <c r="C3857" s="1"/>
      <c r="D3857" s="1"/>
      <c r="E3857" s="1"/>
      <c r="F3857" s="1"/>
      <c r="G3857" s="1"/>
      <c r="H3857" s="1"/>
      <c r="I3857" s="1"/>
      <c r="J3857" s="1"/>
    </row>
    <row r="3858" ht="15.75" customHeight="1">
      <c r="A3858" s="1"/>
      <c r="B3858" s="1"/>
      <c r="C3858" s="1"/>
      <c r="D3858" s="1"/>
      <c r="E3858" s="1"/>
      <c r="F3858" s="1"/>
      <c r="G3858" s="1"/>
      <c r="H3858" s="1"/>
      <c r="I3858" s="1"/>
      <c r="J3858" s="1"/>
    </row>
    <row r="3859" ht="15.75" customHeight="1">
      <c r="A3859" s="1"/>
      <c r="B3859" s="1"/>
      <c r="C3859" s="1"/>
      <c r="D3859" s="1"/>
      <c r="E3859" s="1"/>
      <c r="F3859" s="1"/>
      <c r="G3859" s="1"/>
      <c r="H3859" s="1"/>
      <c r="I3859" s="1"/>
      <c r="J3859" s="1"/>
    </row>
    <row r="3860" ht="15.75" customHeight="1">
      <c r="A3860" s="1"/>
      <c r="B3860" s="1"/>
      <c r="C3860" s="1"/>
      <c r="D3860" s="1"/>
      <c r="E3860" s="1"/>
      <c r="F3860" s="1"/>
      <c r="G3860" s="1"/>
      <c r="H3860" s="1"/>
      <c r="I3860" s="1"/>
      <c r="J3860" s="1"/>
    </row>
    <row r="3861" ht="15.75" customHeight="1">
      <c r="A3861" s="1"/>
      <c r="B3861" s="1"/>
      <c r="C3861" s="1"/>
      <c r="D3861" s="1"/>
      <c r="E3861" s="1"/>
      <c r="F3861" s="1"/>
      <c r="G3861" s="1"/>
      <c r="H3861" s="1"/>
      <c r="I3861" s="1"/>
      <c r="J3861" s="1"/>
    </row>
    <row r="3862" ht="15.75" customHeight="1">
      <c r="A3862" s="1"/>
      <c r="B3862" s="1"/>
      <c r="C3862" s="1"/>
      <c r="D3862" s="1"/>
      <c r="E3862" s="1"/>
      <c r="F3862" s="1"/>
      <c r="G3862" s="1"/>
      <c r="H3862" s="1"/>
      <c r="I3862" s="1"/>
      <c r="J3862" s="1"/>
    </row>
    <row r="3863" ht="15.75" customHeight="1">
      <c r="A3863" s="1"/>
      <c r="B3863" s="1"/>
      <c r="C3863" s="1"/>
      <c r="D3863" s="1"/>
      <c r="E3863" s="1"/>
      <c r="F3863" s="1"/>
      <c r="G3863" s="1"/>
      <c r="H3863" s="1"/>
      <c r="I3863" s="1"/>
      <c r="J3863" s="1"/>
    </row>
    <row r="3864" ht="15.75" customHeight="1">
      <c r="A3864" s="1"/>
      <c r="B3864" s="1"/>
      <c r="C3864" s="1"/>
      <c r="D3864" s="1"/>
      <c r="E3864" s="1"/>
      <c r="F3864" s="1"/>
      <c r="G3864" s="1"/>
      <c r="H3864" s="1"/>
      <c r="I3864" s="1"/>
      <c r="J3864" s="1"/>
    </row>
    <row r="3865" ht="15.75" customHeight="1">
      <c r="A3865" s="1"/>
      <c r="B3865" s="1"/>
      <c r="C3865" s="1"/>
      <c r="D3865" s="1"/>
      <c r="E3865" s="1"/>
      <c r="F3865" s="1"/>
      <c r="G3865" s="1"/>
      <c r="H3865" s="1"/>
      <c r="I3865" s="1"/>
      <c r="J3865" s="1"/>
    </row>
    <row r="3866" ht="15.75" customHeight="1">
      <c r="A3866" s="1"/>
      <c r="B3866" s="1"/>
      <c r="C3866" s="1"/>
      <c r="D3866" s="1"/>
      <c r="E3866" s="1"/>
      <c r="F3866" s="1"/>
      <c r="G3866" s="1"/>
      <c r="H3866" s="1"/>
      <c r="I3866" s="1"/>
      <c r="J3866" s="1"/>
    </row>
    <row r="3867" ht="15.75" customHeight="1">
      <c r="A3867" s="1"/>
      <c r="B3867" s="1"/>
      <c r="C3867" s="1"/>
      <c r="D3867" s="1"/>
      <c r="E3867" s="1"/>
      <c r="F3867" s="1"/>
      <c r="G3867" s="1"/>
      <c r="H3867" s="1"/>
      <c r="I3867" s="1"/>
      <c r="J3867" s="1"/>
    </row>
    <row r="3868" ht="15.75" customHeight="1">
      <c r="A3868" s="1"/>
      <c r="B3868" s="1"/>
      <c r="C3868" s="1"/>
      <c r="D3868" s="1"/>
      <c r="E3868" s="1"/>
      <c r="F3868" s="1"/>
      <c r="G3868" s="1"/>
      <c r="H3868" s="1"/>
      <c r="I3868" s="1"/>
      <c r="J3868" s="1"/>
    </row>
    <row r="3869" ht="15.75" customHeight="1">
      <c r="A3869" s="1"/>
      <c r="B3869" s="1"/>
      <c r="C3869" s="1"/>
      <c r="D3869" s="1"/>
      <c r="E3869" s="1"/>
      <c r="F3869" s="1"/>
      <c r="G3869" s="1"/>
      <c r="H3869" s="1"/>
      <c r="I3869" s="1"/>
      <c r="J3869" s="1"/>
    </row>
    <row r="3870" ht="15.75" customHeight="1">
      <c r="A3870" s="1"/>
      <c r="B3870" s="1"/>
      <c r="C3870" s="1"/>
      <c r="D3870" s="1"/>
      <c r="E3870" s="1"/>
      <c r="F3870" s="1"/>
      <c r="G3870" s="1"/>
      <c r="H3870" s="1"/>
      <c r="I3870" s="1"/>
      <c r="J3870" s="1"/>
    </row>
    <row r="3871" ht="15.75" customHeight="1">
      <c r="A3871" s="1"/>
      <c r="B3871" s="1"/>
      <c r="C3871" s="1"/>
      <c r="D3871" s="1"/>
      <c r="E3871" s="1"/>
      <c r="F3871" s="1"/>
      <c r="G3871" s="1"/>
      <c r="H3871" s="1"/>
      <c r="I3871" s="1"/>
      <c r="J3871" s="1"/>
    </row>
    <row r="3872" ht="15.75" customHeight="1">
      <c r="A3872" s="1"/>
      <c r="B3872" s="1"/>
      <c r="C3872" s="1"/>
      <c r="D3872" s="1"/>
      <c r="E3872" s="1"/>
      <c r="F3872" s="1"/>
      <c r="G3872" s="1"/>
      <c r="H3872" s="1"/>
      <c r="I3872" s="1"/>
      <c r="J3872" s="1"/>
    </row>
    <row r="3873" ht="15.75" customHeight="1">
      <c r="A3873" s="1"/>
      <c r="B3873" s="1"/>
      <c r="C3873" s="1"/>
      <c r="D3873" s="1"/>
      <c r="E3873" s="1"/>
      <c r="F3873" s="1"/>
      <c r="G3873" s="1"/>
      <c r="H3873" s="1"/>
      <c r="I3873" s="1"/>
      <c r="J3873" s="1"/>
    </row>
    <row r="3874" ht="15.75" customHeight="1">
      <c r="A3874" s="1"/>
      <c r="B3874" s="1"/>
      <c r="C3874" s="1"/>
      <c r="D3874" s="1"/>
      <c r="E3874" s="1"/>
      <c r="F3874" s="1"/>
      <c r="G3874" s="1"/>
      <c r="H3874" s="1"/>
      <c r="I3874" s="1"/>
      <c r="J3874" s="1"/>
    </row>
    <row r="3875" ht="15.75" customHeight="1">
      <c r="A3875" s="1"/>
      <c r="B3875" s="1"/>
      <c r="C3875" s="1"/>
      <c r="D3875" s="1"/>
      <c r="E3875" s="1"/>
      <c r="F3875" s="1"/>
      <c r="G3875" s="1"/>
      <c r="H3875" s="1"/>
      <c r="I3875" s="1"/>
      <c r="J3875" s="1"/>
    </row>
    <row r="3876" ht="15.75" customHeight="1">
      <c r="A3876" s="1"/>
      <c r="B3876" s="1"/>
      <c r="C3876" s="1"/>
      <c r="D3876" s="1"/>
      <c r="E3876" s="1"/>
      <c r="F3876" s="1"/>
      <c r="G3876" s="1"/>
      <c r="H3876" s="1"/>
      <c r="I3876" s="1"/>
      <c r="J3876" s="1"/>
    </row>
    <row r="3877" ht="15.75" customHeight="1">
      <c r="A3877" s="1"/>
      <c r="B3877" s="1"/>
      <c r="C3877" s="1"/>
      <c r="D3877" s="1"/>
      <c r="E3877" s="1"/>
      <c r="F3877" s="1"/>
      <c r="G3877" s="1"/>
      <c r="H3877" s="1"/>
      <c r="I3877" s="1"/>
      <c r="J3877" s="1"/>
    </row>
    <row r="3878" ht="15.75" customHeight="1">
      <c r="A3878" s="1"/>
      <c r="B3878" s="1"/>
      <c r="C3878" s="1"/>
      <c r="D3878" s="1"/>
      <c r="E3878" s="1"/>
      <c r="F3878" s="1"/>
      <c r="G3878" s="1"/>
      <c r="H3878" s="1"/>
      <c r="I3878" s="1"/>
      <c r="J3878" s="1"/>
    </row>
    <row r="3879" ht="15.75" customHeight="1">
      <c r="A3879" s="1"/>
      <c r="B3879" s="1"/>
      <c r="C3879" s="1"/>
      <c r="D3879" s="1"/>
      <c r="E3879" s="1"/>
      <c r="F3879" s="1"/>
      <c r="G3879" s="1"/>
      <c r="H3879" s="1"/>
      <c r="I3879" s="1"/>
      <c r="J3879" s="1"/>
    </row>
    <row r="3880" ht="15.75" customHeight="1">
      <c r="A3880" s="1"/>
      <c r="B3880" s="1"/>
      <c r="C3880" s="1"/>
      <c r="D3880" s="1"/>
      <c r="E3880" s="1"/>
      <c r="F3880" s="1"/>
      <c r="G3880" s="1"/>
      <c r="H3880" s="1"/>
      <c r="I3880" s="1"/>
      <c r="J3880" s="1"/>
    </row>
    <row r="3881" ht="15.75" customHeight="1">
      <c r="A3881" s="1"/>
      <c r="B3881" s="1"/>
      <c r="C3881" s="1"/>
      <c r="D3881" s="1"/>
      <c r="E3881" s="1"/>
      <c r="F3881" s="1"/>
      <c r="G3881" s="1"/>
      <c r="H3881" s="1"/>
      <c r="I3881" s="1"/>
      <c r="J3881" s="1"/>
    </row>
    <row r="3882" ht="15.75" customHeight="1">
      <c r="A3882" s="1"/>
      <c r="B3882" s="1"/>
      <c r="C3882" s="1"/>
      <c r="D3882" s="1"/>
      <c r="E3882" s="1"/>
      <c r="F3882" s="1"/>
      <c r="G3882" s="1"/>
      <c r="H3882" s="1"/>
      <c r="I3882" s="1"/>
      <c r="J3882" s="1"/>
    </row>
    <row r="3883" ht="15.75" customHeight="1">
      <c r="A3883" s="1"/>
      <c r="B3883" s="1"/>
      <c r="C3883" s="1"/>
      <c r="D3883" s="1"/>
      <c r="E3883" s="1"/>
      <c r="F3883" s="1"/>
      <c r="G3883" s="1"/>
      <c r="H3883" s="1"/>
      <c r="I3883" s="1"/>
      <c r="J3883" s="1"/>
    </row>
    <row r="3884" ht="15.75" customHeight="1">
      <c r="A3884" s="1"/>
      <c r="B3884" s="1"/>
      <c r="C3884" s="1"/>
      <c r="D3884" s="1"/>
      <c r="E3884" s="1"/>
      <c r="F3884" s="1"/>
      <c r="G3884" s="1"/>
      <c r="H3884" s="1"/>
      <c r="I3884" s="1"/>
      <c r="J3884" s="1"/>
    </row>
    <row r="3885" ht="15.75" customHeight="1">
      <c r="A3885" s="1"/>
      <c r="B3885" s="1"/>
      <c r="C3885" s="1"/>
      <c r="D3885" s="1"/>
      <c r="E3885" s="1"/>
      <c r="F3885" s="1"/>
      <c r="G3885" s="1"/>
      <c r="H3885" s="1"/>
      <c r="I3885" s="1"/>
      <c r="J3885" s="1"/>
    </row>
    <row r="3886" ht="15.75" customHeight="1">
      <c r="A3886" s="1"/>
      <c r="B3886" s="1"/>
      <c r="C3886" s="1"/>
      <c r="D3886" s="1"/>
      <c r="E3886" s="1"/>
      <c r="F3886" s="1"/>
      <c r="G3886" s="1"/>
      <c r="H3886" s="1"/>
      <c r="I3886" s="1"/>
      <c r="J3886" s="1"/>
    </row>
    <row r="3887" ht="15.75" customHeight="1">
      <c r="A3887" s="1"/>
      <c r="B3887" s="1"/>
      <c r="C3887" s="1"/>
      <c r="D3887" s="1"/>
      <c r="E3887" s="1"/>
      <c r="F3887" s="1"/>
      <c r="G3887" s="1"/>
      <c r="H3887" s="1"/>
      <c r="I3887" s="1"/>
      <c r="J3887" s="1"/>
    </row>
    <row r="3888" ht="15.75" customHeight="1">
      <c r="A3888" s="1"/>
      <c r="B3888" s="1"/>
      <c r="C3888" s="1"/>
      <c r="D3888" s="1"/>
      <c r="E3888" s="1"/>
      <c r="F3888" s="1"/>
      <c r="G3888" s="1"/>
      <c r="H3888" s="1"/>
      <c r="I3888" s="1"/>
      <c r="J3888" s="1"/>
    </row>
    <row r="3889" ht="15.75" customHeight="1">
      <c r="A3889" s="1"/>
      <c r="B3889" s="1"/>
      <c r="C3889" s="1"/>
      <c r="D3889" s="1"/>
      <c r="E3889" s="1"/>
      <c r="F3889" s="1"/>
      <c r="G3889" s="1"/>
      <c r="H3889" s="1"/>
      <c r="I3889" s="1"/>
      <c r="J3889" s="1"/>
    </row>
    <row r="3890" ht="15.75" customHeight="1">
      <c r="A3890" s="1"/>
      <c r="B3890" s="1"/>
      <c r="C3890" s="1"/>
      <c r="D3890" s="1"/>
      <c r="E3890" s="1"/>
      <c r="F3890" s="1"/>
      <c r="G3890" s="1"/>
      <c r="H3890" s="1"/>
      <c r="I3890" s="1"/>
      <c r="J3890" s="1"/>
    </row>
    <row r="3891" ht="15.75" customHeight="1">
      <c r="A3891" s="1"/>
      <c r="B3891" s="1"/>
      <c r="C3891" s="1"/>
      <c r="D3891" s="1"/>
      <c r="E3891" s="1"/>
      <c r="F3891" s="1"/>
      <c r="G3891" s="1"/>
      <c r="H3891" s="1"/>
      <c r="I3891" s="1"/>
      <c r="J3891" s="1"/>
    </row>
    <row r="3892" ht="15.75" customHeight="1">
      <c r="A3892" s="1"/>
      <c r="B3892" s="1"/>
      <c r="C3892" s="1"/>
      <c r="D3892" s="1"/>
      <c r="E3892" s="1"/>
      <c r="F3892" s="1"/>
      <c r="G3892" s="1"/>
      <c r="H3892" s="1"/>
      <c r="I3892" s="1"/>
      <c r="J3892" s="1"/>
    </row>
    <row r="3893" ht="15.75" customHeight="1">
      <c r="A3893" s="1"/>
      <c r="B3893" s="1"/>
      <c r="C3893" s="1"/>
      <c r="D3893" s="1"/>
      <c r="E3893" s="1"/>
      <c r="F3893" s="1"/>
      <c r="G3893" s="1"/>
      <c r="H3893" s="1"/>
      <c r="I3893" s="1"/>
      <c r="J3893" s="1"/>
    </row>
    <row r="3894" ht="15.75" customHeight="1">
      <c r="A3894" s="1"/>
      <c r="B3894" s="1"/>
      <c r="C3894" s="1"/>
      <c r="D3894" s="1"/>
      <c r="E3894" s="1"/>
      <c r="F3894" s="1"/>
      <c r="G3894" s="1"/>
      <c r="H3894" s="1"/>
      <c r="I3894" s="1"/>
      <c r="J3894" s="1"/>
    </row>
    <row r="3895" ht="15.75" customHeight="1">
      <c r="A3895" s="1"/>
      <c r="B3895" s="1"/>
      <c r="C3895" s="1"/>
      <c r="D3895" s="1"/>
      <c r="E3895" s="1"/>
      <c r="F3895" s="1"/>
      <c r="G3895" s="1"/>
      <c r="H3895" s="1"/>
      <c r="I3895" s="1"/>
      <c r="J3895" s="1"/>
    </row>
    <row r="3896" ht="15.75" customHeight="1">
      <c r="A3896" s="1"/>
      <c r="B3896" s="1"/>
      <c r="C3896" s="1"/>
      <c r="D3896" s="1"/>
      <c r="E3896" s="1"/>
      <c r="F3896" s="1"/>
      <c r="G3896" s="1"/>
      <c r="H3896" s="1"/>
      <c r="I3896" s="1"/>
      <c r="J3896" s="1"/>
    </row>
    <row r="3897" ht="15.75" customHeight="1">
      <c r="A3897" s="1"/>
      <c r="B3897" s="1"/>
      <c r="C3897" s="1"/>
      <c r="D3897" s="1"/>
      <c r="E3897" s="1"/>
      <c r="F3897" s="1"/>
      <c r="G3897" s="1"/>
      <c r="H3897" s="1"/>
      <c r="I3897" s="1"/>
      <c r="J3897" s="1"/>
    </row>
    <row r="3898" ht="15.75" customHeight="1">
      <c r="A3898" s="1"/>
      <c r="B3898" s="1"/>
      <c r="C3898" s="1"/>
      <c r="D3898" s="1"/>
      <c r="E3898" s="1"/>
      <c r="F3898" s="1"/>
      <c r="G3898" s="1"/>
      <c r="H3898" s="1"/>
      <c r="I3898" s="1"/>
      <c r="J3898" s="1"/>
    </row>
    <row r="3899" ht="15.75" customHeight="1">
      <c r="A3899" s="1"/>
      <c r="B3899" s="1"/>
      <c r="C3899" s="1"/>
      <c r="D3899" s="1"/>
      <c r="E3899" s="1"/>
      <c r="F3899" s="1"/>
      <c r="G3899" s="1"/>
      <c r="H3899" s="1"/>
      <c r="I3899" s="1"/>
      <c r="J3899" s="1"/>
    </row>
    <row r="3900" ht="15.75" customHeight="1">
      <c r="A3900" s="1"/>
      <c r="B3900" s="1"/>
      <c r="C3900" s="1"/>
      <c r="D3900" s="1"/>
      <c r="E3900" s="1"/>
      <c r="F3900" s="1"/>
      <c r="G3900" s="1"/>
      <c r="H3900" s="1"/>
      <c r="I3900" s="1"/>
      <c r="J3900" s="1"/>
    </row>
    <row r="3901" ht="15.75" customHeight="1">
      <c r="A3901" s="1"/>
      <c r="B3901" s="1"/>
      <c r="C3901" s="1"/>
      <c r="D3901" s="1"/>
      <c r="E3901" s="1"/>
      <c r="F3901" s="1"/>
      <c r="G3901" s="1"/>
      <c r="H3901" s="1"/>
      <c r="I3901" s="1"/>
      <c r="J3901" s="1"/>
    </row>
    <row r="3902" ht="15.75" customHeight="1">
      <c r="A3902" s="1"/>
      <c r="B3902" s="1"/>
      <c r="C3902" s="1"/>
      <c r="D3902" s="1"/>
      <c r="E3902" s="1"/>
      <c r="F3902" s="1"/>
      <c r="G3902" s="1"/>
      <c r="H3902" s="1"/>
      <c r="I3902" s="1"/>
      <c r="J3902" s="1"/>
    </row>
    <row r="3903" ht="15.75" customHeight="1">
      <c r="A3903" s="1"/>
      <c r="B3903" s="1"/>
      <c r="C3903" s="1"/>
      <c r="D3903" s="1"/>
      <c r="E3903" s="1"/>
      <c r="F3903" s="1"/>
      <c r="G3903" s="1"/>
      <c r="H3903" s="1"/>
      <c r="I3903" s="1"/>
      <c r="J3903" s="1"/>
    </row>
    <row r="3904" ht="15.75" customHeight="1">
      <c r="A3904" s="1"/>
      <c r="B3904" s="1"/>
      <c r="C3904" s="1"/>
      <c r="D3904" s="1"/>
      <c r="E3904" s="1"/>
      <c r="F3904" s="1"/>
      <c r="G3904" s="1"/>
      <c r="H3904" s="1"/>
      <c r="I3904" s="1"/>
      <c r="J3904" s="1"/>
    </row>
    <row r="3905" ht="15.75" customHeight="1">
      <c r="A3905" s="1"/>
      <c r="B3905" s="1"/>
      <c r="C3905" s="1"/>
      <c r="D3905" s="1"/>
      <c r="E3905" s="1"/>
      <c r="F3905" s="1"/>
      <c r="G3905" s="1"/>
      <c r="H3905" s="1"/>
      <c r="I3905" s="1"/>
      <c r="J3905" s="1"/>
    </row>
    <row r="3906" ht="15.75" customHeight="1">
      <c r="A3906" s="1"/>
      <c r="B3906" s="1"/>
      <c r="C3906" s="1"/>
      <c r="D3906" s="1"/>
      <c r="E3906" s="1"/>
      <c r="F3906" s="1"/>
      <c r="G3906" s="1"/>
      <c r="H3906" s="1"/>
      <c r="I3906" s="1"/>
      <c r="J3906" s="1"/>
    </row>
    <row r="3907" ht="15.75" customHeight="1">
      <c r="A3907" s="1"/>
      <c r="B3907" s="1"/>
      <c r="C3907" s="1"/>
      <c r="D3907" s="1"/>
      <c r="E3907" s="1"/>
      <c r="F3907" s="1"/>
      <c r="G3907" s="1"/>
      <c r="H3907" s="1"/>
      <c r="I3907" s="1"/>
      <c r="J3907" s="1"/>
    </row>
    <row r="3908" ht="15.75" customHeight="1">
      <c r="A3908" s="1"/>
      <c r="B3908" s="1"/>
      <c r="C3908" s="1"/>
      <c r="D3908" s="1"/>
      <c r="E3908" s="1"/>
      <c r="F3908" s="1"/>
      <c r="G3908" s="1"/>
      <c r="H3908" s="1"/>
      <c r="I3908" s="1"/>
      <c r="J3908" s="1"/>
    </row>
    <row r="3909" ht="15.75" customHeight="1">
      <c r="A3909" s="1"/>
      <c r="B3909" s="1"/>
      <c r="C3909" s="1"/>
      <c r="D3909" s="1"/>
      <c r="E3909" s="1"/>
      <c r="F3909" s="1"/>
      <c r="G3909" s="1"/>
      <c r="H3909" s="1"/>
      <c r="I3909" s="1"/>
      <c r="J3909" s="1"/>
    </row>
    <row r="3910" ht="15.75" customHeight="1">
      <c r="A3910" s="1"/>
      <c r="B3910" s="1"/>
      <c r="C3910" s="1"/>
      <c r="D3910" s="1"/>
      <c r="E3910" s="1"/>
      <c r="F3910" s="1"/>
      <c r="G3910" s="1"/>
      <c r="H3910" s="1"/>
      <c r="I3910" s="1"/>
      <c r="J3910" s="1"/>
    </row>
    <row r="3911" ht="15.75" customHeight="1">
      <c r="A3911" s="1"/>
      <c r="B3911" s="1"/>
      <c r="C3911" s="1"/>
      <c r="D3911" s="1"/>
      <c r="E3911" s="1"/>
      <c r="F3911" s="1"/>
      <c r="G3911" s="1"/>
      <c r="H3911" s="1"/>
      <c r="I3911" s="1"/>
      <c r="J3911" s="1"/>
    </row>
    <row r="3912" ht="15.75" customHeight="1">
      <c r="A3912" s="1"/>
      <c r="B3912" s="1"/>
      <c r="C3912" s="1"/>
      <c r="D3912" s="1"/>
      <c r="E3912" s="1"/>
      <c r="F3912" s="1"/>
      <c r="G3912" s="1"/>
      <c r="H3912" s="1"/>
      <c r="I3912" s="1"/>
      <c r="J3912" s="1"/>
    </row>
    <row r="3913" ht="15.75" customHeight="1">
      <c r="A3913" s="1"/>
      <c r="B3913" s="1"/>
      <c r="C3913" s="1"/>
      <c r="D3913" s="1"/>
      <c r="E3913" s="1"/>
      <c r="F3913" s="1"/>
      <c r="G3913" s="1"/>
      <c r="H3913" s="1"/>
      <c r="I3913" s="1"/>
      <c r="J3913" s="1"/>
    </row>
    <row r="3914" ht="15.75" customHeight="1">
      <c r="A3914" s="1"/>
      <c r="B3914" s="1"/>
      <c r="C3914" s="1"/>
      <c r="D3914" s="1"/>
      <c r="E3914" s="1"/>
      <c r="F3914" s="1"/>
      <c r="G3914" s="1"/>
      <c r="H3914" s="1"/>
      <c r="I3914" s="1"/>
      <c r="J3914" s="1"/>
    </row>
    <row r="3915" ht="15.75" customHeight="1">
      <c r="A3915" s="1"/>
      <c r="B3915" s="1"/>
      <c r="C3915" s="1"/>
      <c r="D3915" s="1"/>
      <c r="E3915" s="1"/>
      <c r="F3915" s="1"/>
      <c r="G3915" s="1"/>
      <c r="H3915" s="1"/>
      <c r="I3915" s="1"/>
      <c r="J3915" s="1"/>
    </row>
    <row r="3916" ht="15.75" customHeight="1">
      <c r="A3916" s="1"/>
      <c r="B3916" s="1"/>
      <c r="C3916" s="1"/>
      <c r="D3916" s="1"/>
      <c r="E3916" s="1"/>
      <c r="F3916" s="1"/>
      <c r="G3916" s="1"/>
      <c r="H3916" s="1"/>
      <c r="I3916" s="1"/>
      <c r="J3916" s="1"/>
    </row>
    <row r="3917" ht="15.75" customHeight="1">
      <c r="A3917" s="1"/>
      <c r="B3917" s="1"/>
      <c r="C3917" s="1"/>
      <c r="D3917" s="1"/>
      <c r="E3917" s="1"/>
      <c r="F3917" s="1"/>
      <c r="G3917" s="1"/>
      <c r="H3917" s="1"/>
      <c r="I3917" s="1"/>
      <c r="J3917" s="1"/>
    </row>
    <row r="3918" ht="15.75" customHeight="1">
      <c r="A3918" s="1"/>
      <c r="B3918" s="1"/>
      <c r="C3918" s="1"/>
      <c r="D3918" s="1"/>
      <c r="E3918" s="1"/>
      <c r="F3918" s="1"/>
      <c r="G3918" s="1"/>
      <c r="H3918" s="1"/>
      <c r="I3918" s="1"/>
      <c r="J3918" s="1"/>
    </row>
    <row r="3919" ht="15.75" customHeight="1">
      <c r="A3919" s="1"/>
      <c r="B3919" s="1"/>
      <c r="C3919" s="1"/>
      <c r="D3919" s="1"/>
      <c r="E3919" s="1"/>
      <c r="F3919" s="1"/>
      <c r="G3919" s="1"/>
      <c r="H3919" s="1"/>
      <c r="I3919" s="1"/>
      <c r="J3919" s="1"/>
    </row>
    <row r="3920" ht="15.75" customHeight="1">
      <c r="A3920" s="1"/>
      <c r="B3920" s="1"/>
      <c r="C3920" s="1"/>
      <c r="D3920" s="1"/>
      <c r="E3920" s="1"/>
      <c r="F3920" s="1"/>
      <c r="G3920" s="1"/>
      <c r="H3920" s="1"/>
      <c r="I3920" s="1"/>
      <c r="J3920" s="1"/>
    </row>
    <row r="3921" ht="15.75" customHeight="1">
      <c r="A3921" s="1"/>
      <c r="B3921" s="1"/>
      <c r="C3921" s="1"/>
      <c r="D3921" s="1"/>
      <c r="E3921" s="1"/>
      <c r="F3921" s="1"/>
      <c r="G3921" s="1"/>
      <c r="H3921" s="1"/>
      <c r="I3921" s="1"/>
      <c r="J3921" s="1"/>
    </row>
    <row r="3922" ht="15.75" customHeight="1">
      <c r="A3922" s="1"/>
      <c r="B3922" s="1"/>
      <c r="C3922" s="1"/>
      <c r="D3922" s="1"/>
      <c r="E3922" s="1"/>
      <c r="F3922" s="1"/>
      <c r="G3922" s="1"/>
      <c r="H3922" s="1"/>
      <c r="I3922" s="1"/>
      <c r="J3922" s="1"/>
    </row>
    <row r="3923" ht="15.75" customHeight="1">
      <c r="A3923" s="1"/>
      <c r="B3923" s="1"/>
      <c r="C3923" s="1"/>
      <c r="D3923" s="1"/>
      <c r="E3923" s="1"/>
      <c r="F3923" s="1"/>
      <c r="G3923" s="1"/>
      <c r="H3923" s="1"/>
      <c r="I3923" s="1"/>
      <c r="J3923" s="1"/>
    </row>
    <row r="3924" ht="15.75" customHeight="1">
      <c r="A3924" s="1"/>
      <c r="B3924" s="1"/>
      <c r="C3924" s="1"/>
      <c r="D3924" s="1"/>
      <c r="E3924" s="1"/>
      <c r="F3924" s="1"/>
      <c r="G3924" s="1"/>
      <c r="H3924" s="1"/>
      <c r="I3924" s="1"/>
      <c r="J3924" s="1"/>
    </row>
    <row r="3925" ht="15.75" customHeight="1">
      <c r="A3925" s="1"/>
      <c r="B3925" s="1"/>
      <c r="C3925" s="1"/>
      <c r="D3925" s="1"/>
      <c r="E3925" s="1"/>
      <c r="F3925" s="1"/>
      <c r="G3925" s="1"/>
      <c r="H3925" s="1"/>
      <c r="I3925" s="1"/>
      <c r="J3925" s="1"/>
    </row>
    <row r="3926" ht="15.75" customHeight="1">
      <c r="A3926" s="1"/>
      <c r="B3926" s="1"/>
      <c r="C3926" s="1"/>
      <c r="D3926" s="1"/>
      <c r="E3926" s="1"/>
      <c r="F3926" s="1"/>
      <c r="G3926" s="1"/>
      <c r="H3926" s="1"/>
      <c r="I3926" s="1"/>
      <c r="J3926" s="1"/>
    </row>
    <row r="3927" ht="15.75" customHeight="1">
      <c r="A3927" s="1"/>
      <c r="B3927" s="1"/>
      <c r="C3927" s="1"/>
      <c r="D3927" s="1"/>
      <c r="E3927" s="1"/>
      <c r="F3927" s="1"/>
      <c r="G3927" s="1"/>
      <c r="H3927" s="1"/>
      <c r="I3927" s="1"/>
      <c r="J3927" s="1"/>
    </row>
    <row r="3928" ht="15.75" customHeight="1">
      <c r="A3928" s="1"/>
      <c r="B3928" s="1"/>
      <c r="C3928" s="1"/>
      <c r="D3928" s="1"/>
      <c r="E3928" s="1"/>
      <c r="F3928" s="1"/>
      <c r="G3928" s="1"/>
      <c r="H3928" s="1"/>
      <c r="I3928" s="1"/>
      <c r="J3928" s="1"/>
    </row>
    <row r="3929" ht="15.75" customHeight="1">
      <c r="A3929" s="1"/>
      <c r="B3929" s="1"/>
      <c r="C3929" s="1"/>
      <c r="D3929" s="1"/>
      <c r="E3929" s="1"/>
      <c r="F3929" s="1"/>
      <c r="G3929" s="1"/>
      <c r="H3929" s="1"/>
      <c r="I3929" s="1"/>
      <c r="J3929" s="1"/>
    </row>
    <row r="3930" ht="15.75" customHeight="1">
      <c r="A3930" s="1"/>
      <c r="B3930" s="1"/>
      <c r="C3930" s="1"/>
      <c r="D3930" s="1"/>
      <c r="E3930" s="1"/>
      <c r="F3930" s="1"/>
      <c r="G3930" s="1"/>
      <c r="H3930" s="1"/>
      <c r="I3930" s="1"/>
      <c r="J3930" s="1"/>
    </row>
    <row r="3931" ht="15.75" customHeight="1">
      <c r="A3931" s="1"/>
      <c r="B3931" s="1"/>
      <c r="C3931" s="1"/>
      <c r="D3931" s="1"/>
      <c r="E3931" s="1"/>
      <c r="F3931" s="1"/>
      <c r="G3931" s="1"/>
      <c r="H3931" s="1"/>
      <c r="I3931" s="1"/>
      <c r="J3931" s="1"/>
    </row>
    <row r="3932" ht="15.75" customHeight="1">
      <c r="A3932" s="1"/>
      <c r="B3932" s="1"/>
      <c r="C3932" s="1"/>
      <c r="D3932" s="1"/>
      <c r="E3932" s="1"/>
      <c r="F3932" s="1"/>
      <c r="G3932" s="1"/>
      <c r="H3932" s="1"/>
      <c r="I3932" s="1"/>
      <c r="J3932" s="1"/>
    </row>
    <row r="3933" ht="15.75" customHeight="1">
      <c r="A3933" s="1"/>
      <c r="B3933" s="1"/>
      <c r="C3933" s="1"/>
      <c r="D3933" s="1"/>
      <c r="E3933" s="1"/>
      <c r="F3933" s="1"/>
      <c r="G3933" s="1"/>
      <c r="H3933" s="1"/>
      <c r="I3933" s="1"/>
      <c r="J3933" s="1"/>
    </row>
    <row r="3934" ht="15.75" customHeight="1">
      <c r="A3934" s="1"/>
      <c r="B3934" s="1"/>
      <c r="C3934" s="1"/>
      <c r="D3934" s="1"/>
      <c r="E3934" s="1"/>
      <c r="F3934" s="1"/>
      <c r="G3934" s="1"/>
      <c r="H3934" s="1"/>
      <c r="I3934" s="1"/>
      <c r="J3934" s="1"/>
    </row>
    <row r="3935" ht="15.75" customHeight="1">
      <c r="A3935" s="1"/>
      <c r="B3935" s="1"/>
      <c r="C3935" s="1"/>
      <c r="D3935" s="1"/>
      <c r="E3935" s="1"/>
      <c r="F3935" s="1"/>
      <c r="G3935" s="1"/>
      <c r="H3935" s="1"/>
      <c r="I3935" s="1"/>
      <c r="J3935" s="1"/>
    </row>
    <row r="3936" ht="15.75" customHeight="1">
      <c r="A3936" s="1"/>
      <c r="B3936" s="1"/>
      <c r="C3936" s="1"/>
      <c r="D3936" s="1"/>
      <c r="E3936" s="1"/>
      <c r="F3936" s="1"/>
      <c r="G3936" s="1"/>
      <c r="H3936" s="1"/>
      <c r="I3936" s="1"/>
      <c r="J3936" s="1"/>
    </row>
    <row r="3937" ht="15.75" customHeight="1">
      <c r="A3937" s="1"/>
      <c r="B3937" s="1"/>
      <c r="C3937" s="1"/>
      <c r="D3937" s="1"/>
      <c r="E3937" s="1"/>
      <c r="F3937" s="1"/>
      <c r="G3937" s="1"/>
      <c r="H3937" s="1"/>
      <c r="I3937" s="1"/>
      <c r="J3937" s="1"/>
    </row>
    <row r="3938" ht="15.75" customHeight="1">
      <c r="A3938" s="1"/>
      <c r="B3938" s="1"/>
      <c r="C3938" s="1"/>
      <c r="D3938" s="1"/>
      <c r="E3938" s="1"/>
      <c r="F3938" s="1"/>
      <c r="G3938" s="1"/>
      <c r="H3938" s="1"/>
      <c r="I3938" s="1"/>
      <c r="J3938" s="1"/>
    </row>
    <row r="3939" ht="15.75" customHeight="1">
      <c r="A3939" s="1"/>
      <c r="B3939" s="1"/>
      <c r="C3939" s="1"/>
      <c r="D3939" s="1"/>
      <c r="E3939" s="1"/>
      <c r="F3939" s="1"/>
      <c r="G3939" s="1"/>
      <c r="H3939" s="1"/>
      <c r="I3939" s="1"/>
      <c r="J3939" s="1"/>
    </row>
    <row r="3940" ht="15.75" customHeight="1">
      <c r="A3940" s="1"/>
      <c r="B3940" s="1"/>
      <c r="C3940" s="1"/>
      <c r="D3940" s="1"/>
      <c r="E3940" s="1"/>
      <c r="F3940" s="1"/>
      <c r="G3940" s="1"/>
      <c r="H3940" s="1"/>
      <c r="I3940" s="1"/>
      <c r="J3940" s="1"/>
    </row>
    <row r="3941" ht="15.75" customHeight="1">
      <c r="A3941" s="1"/>
      <c r="B3941" s="1"/>
      <c r="C3941" s="1"/>
      <c r="D3941" s="1"/>
      <c r="E3941" s="1"/>
      <c r="F3941" s="1"/>
      <c r="G3941" s="1"/>
      <c r="H3941" s="1"/>
      <c r="I3941" s="1"/>
      <c r="J3941" s="1"/>
    </row>
    <row r="3942" ht="15.75" customHeight="1">
      <c r="A3942" s="1"/>
      <c r="B3942" s="1"/>
      <c r="C3942" s="1"/>
      <c r="D3942" s="1"/>
      <c r="E3942" s="1"/>
      <c r="F3942" s="1"/>
      <c r="G3942" s="1"/>
      <c r="H3942" s="1"/>
      <c r="I3942" s="1"/>
      <c r="J3942" s="1"/>
    </row>
    <row r="3943" ht="15.75" customHeight="1">
      <c r="A3943" s="1"/>
      <c r="B3943" s="1"/>
      <c r="C3943" s="1"/>
      <c r="D3943" s="1"/>
      <c r="E3943" s="1"/>
      <c r="F3943" s="1"/>
      <c r="G3943" s="1"/>
      <c r="H3943" s="1"/>
      <c r="I3943" s="1"/>
      <c r="J3943" s="1"/>
    </row>
    <row r="3944" ht="15.75" customHeight="1">
      <c r="A3944" s="1"/>
      <c r="B3944" s="1"/>
      <c r="C3944" s="1"/>
      <c r="D3944" s="1"/>
      <c r="E3944" s="1"/>
      <c r="F3944" s="1"/>
      <c r="G3944" s="1"/>
      <c r="H3944" s="1"/>
      <c r="I3944" s="1"/>
      <c r="J3944" s="1"/>
    </row>
    <row r="3945" ht="15.75" customHeight="1">
      <c r="A3945" s="1"/>
      <c r="B3945" s="1"/>
      <c r="C3945" s="1"/>
      <c r="D3945" s="1"/>
      <c r="E3945" s="1"/>
      <c r="F3945" s="1"/>
      <c r="G3945" s="1"/>
      <c r="H3945" s="1"/>
      <c r="I3945" s="1"/>
      <c r="J3945" s="1"/>
    </row>
    <row r="3946" ht="15.75" customHeight="1">
      <c r="A3946" s="1"/>
      <c r="B3946" s="1"/>
      <c r="C3946" s="1"/>
      <c r="D3946" s="1"/>
      <c r="E3946" s="1"/>
      <c r="F3946" s="1"/>
      <c r="G3946" s="1"/>
      <c r="H3946" s="1"/>
      <c r="I3946" s="1"/>
      <c r="J3946" s="1"/>
    </row>
    <row r="3947" ht="15.75" customHeight="1">
      <c r="A3947" s="1"/>
      <c r="B3947" s="1"/>
      <c r="C3947" s="1"/>
      <c r="D3947" s="1"/>
      <c r="E3947" s="1"/>
      <c r="F3947" s="1"/>
      <c r="G3947" s="1"/>
      <c r="H3947" s="1"/>
      <c r="I3947" s="1"/>
      <c r="J3947" s="1"/>
    </row>
    <row r="3948" ht="15.75" customHeight="1">
      <c r="A3948" s="1"/>
      <c r="B3948" s="1"/>
      <c r="C3948" s="1"/>
      <c r="D3948" s="1"/>
      <c r="E3948" s="1"/>
      <c r="F3948" s="1"/>
      <c r="G3948" s="1"/>
      <c r="H3948" s="1"/>
      <c r="I3948" s="1"/>
      <c r="J3948" s="1"/>
    </row>
    <row r="3949" ht="15.75" customHeight="1">
      <c r="A3949" s="1"/>
      <c r="B3949" s="1"/>
      <c r="C3949" s="1"/>
      <c r="D3949" s="1"/>
      <c r="E3949" s="1"/>
      <c r="F3949" s="1"/>
      <c r="G3949" s="1"/>
      <c r="H3949" s="1"/>
      <c r="I3949" s="1"/>
      <c r="J3949" s="1"/>
    </row>
    <row r="3950" ht="15.75" customHeight="1">
      <c r="A3950" s="1"/>
      <c r="B3950" s="1"/>
      <c r="C3950" s="1"/>
      <c r="D3950" s="1"/>
      <c r="E3950" s="1"/>
      <c r="F3950" s="1"/>
      <c r="G3950" s="1"/>
      <c r="H3950" s="1"/>
      <c r="I3950" s="1"/>
      <c r="J3950" s="1"/>
    </row>
    <row r="3951" ht="15.75" customHeight="1">
      <c r="A3951" s="1"/>
      <c r="B3951" s="1"/>
      <c r="C3951" s="1"/>
      <c r="D3951" s="1"/>
      <c r="E3951" s="1"/>
      <c r="F3951" s="1"/>
      <c r="G3951" s="1"/>
      <c r="H3951" s="1"/>
      <c r="I3951" s="1"/>
      <c r="J3951" s="1"/>
    </row>
    <row r="3952" ht="15.75" customHeight="1">
      <c r="A3952" s="1"/>
      <c r="B3952" s="1"/>
      <c r="C3952" s="1"/>
      <c r="D3952" s="1"/>
      <c r="E3952" s="1"/>
      <c r="F3952" s="1"/>
      <c r="G3952" s="1"/>
      <c r="H3952" s="1"/>
      <c r="I3952" s="1"/>
      <c r="J3952" s="1"/>
    </row>
    <row r="3953" ht="15.75" customHeight="1">
      <c r="A3953" s="1"/>
      <c r="B3953" s="1"/>
      <c r="C3953" s="1"/>
      <c r="D3953" s="1"/>
      <c r="E3953" s="1"/>
      <c r="F3953" s="1"/>
      <c r="G3953" s="1"/>
      <c r="H3953" s="1"/>
      <c r="I3953" s="1"/>
      <c r="J3953" s="1"/>
    </row>
    <row r="3954" ht="15.75" customHeight="1">
      <c r="A3954" s="1"/>
      <c r="B3954" s="1"/>
      <c r="C3954" s="1"/>
      <c r="D3954" s="1"/>
      <c r="E3954" s="1"/>
      <c r="F3954" s="1"/>
      <c r="G3954" s="1"/>
      <c r="H3954" s="1"/>
      <c r="I3954" s="1"/>
      <c r="J3954" s="1"/>
    </row>
    <row r="3955" ht="15.75" customHeight="1">
      <c r="A3955" s="1"/>
      <c r="B3955" s="1"/>
      <c r="C3955" s="1"/>
      <c r="D3955" s="1"/>
      <c r="E3955" s="1"/>
      <c r="F3955" s="1"/>
      <c r="G3955" s="1"/>
      <c r="H3955" s="1"/>
      <c r="I3955" s="1"/>
      <c r="J3955" s="1"/>
    </row>
    <row r="3956" ht="15.75" customHeight="1">
      <c r="A3956" s="1"/>
      <c r="B3956" s="1"/>
      <c r="C3956" s="1"/>
      <c r="D3956" s="1"/>
      <c r="E3956" s="1"/>
      <c r="F3956" s="1"/>
      <c r="G3956" s="1"/>
      <c r="H3956" s="1"/>
      <c r="I3956" s="1"/>
      <c r="J3956" s="1"/>
    </row>
    <row r="3957" ht="15.75" customHeight="1">
      <c r="A3957" s="1"/>
      <c r="B3957" s="1"/>
      <c r="C3957" s="1"/>
      <c r="D3957" s="1"/>
      <c r="E3957" s="1"/>
      <c r="F3957" s="1"/>
      <c r="G3957" s="1"/>
      <c r="H3957" s="1"/>
      <c r="I3957" s="1"/>
      <c r="J3957" s="1"/>
    </row>
    <row r="3958" ht="15.75" customHeight="1">
      <c r="A3958" s="1"/>
      <c r="B3958" s="1"/>
      <c r="C3958" s="1"/>
      <c r="D3958" s="1"/>
      <c r="E3958" s="1"/>
      <c r="F3958" s="1"/>
      <c r="G3958" s="1"/>
      <c r="H3958" s="1"/>
      <c r="I3958" s="1"/>
      <c r="J3958" s="1"/>
    </row>
    <row r="3959" ht="15.75" customHeight="1">
      <c r="A3959" s="1"/>
      <c r="B3959" s="1"/>
      <c r="C3959" s="1"/>
      <c r="D3959" s="1"/>
      <c r="E3959" s="1"/>
      <c r="F3959" s="1"/>
      <c r="G3959" s="1"/>
      <c r="H3959" s="1"/>
      <c r="I3959" s="1"/>
      <c r="J3959" s="1"/>
    </row>
    <row r="3960" ht="15.75" customHeight="1">
      <c r="A3960" s="1"/>
      <c r="B3960" s="1"/>
      <c r="C3960" s="1"/>
      <c r="D3960" s="1"/>
      <c r="E3960" s="1"/>
      <c r="F3960" s="1"/>
      <c r="G3960" s="1"/>
      <c r="H3960" s="1"/>
      <c r="I3960" s="1"/>
      <c r="J3960" s="1"/>
    </row>
    <row r="3961" ht="15.75" customHeight="1">
      <c r="A3961" s="1"/>
      <c r="B3961" s="1"/>
      <c r="C3961" s="1"/>
      <c r="D3961" s="1"/>
      <c r="E3961" s="1"/>
      <c r="F3961" s="1"/>
      <c r="G3961" s="1"/>
      <c r="H3961" s="1"/>
      <c r="I3961" s="1"/>
      <c r="J3961" s="1"/>
    </row>
    <row r="3962" ht="15.75" customHeight="1">
      <c r="A3962" s="1"/>
      <c r="B3962" s="1"/>
      <c r="C3962" s="1"/>
      <c r="D3962" s="1"/>
      <c r="E3962" s="1"/>
      <c r="F3962" s="1"/>
      <c r="G3962" s="1"/>
      <c r="H3962" s="1"/>
      <c r="I3962" s="1"/>
      <c r="J3962" s="1"/>
    </row>
    <row r="3963" ht="15.75" customHeight="1">
      <c r="A3963" s="1"/>
      <c r="B3963" s="1"/>
      <c r="C3963" s="1"/>
      <c r="D3963" s="1"/>
      <c r="E3963" s="1"/>
      <c r="F3963" s="1"/>
      <c r="G3963" s="1"/>
      <c r="H3963" s="1"/>
      <c r="I3963" s="1"/>
      <c r="J3963" s="1"/>
    </row>
    <row r="3964" ht="15.75" customHeight="1">
      <c r="A3964" s="1"/>
      <c r="B3964" s="1"/>
      <c r="C3964" s="1"/>
      <c r="D3964" s="1"/>
      <c r="E3964" s="1"/>
      <c r="F3964" s="1"/>
      <c r="G3964" s="1"/>
      <c r="H3964" s="1"/>
      <c r="I3964" s="1"/>
      <c r="J3964" s="1"/>
    </row>
    <row r="3965" ht="15.75" customHeight="1">
      <c r="A3965" s="1"/>
      <c r="B3965" s="1"/>
      <c r="C3965" s="1"/>
      <c r="D3965" s="1"/>
      <c r="E3965" s="1"/>
      <c r="F3965" s="1"/>
      <c r="G3965" s="1"/>
      <c r="H3965" s="1"/>
      <c r="I3965" s="1"/>
      <c r="J3965" s="1"/>
    </row>
    <row r="3966" ht="15.75" customHeight="1">
      <c r="A3966" s="1"/>
      <c r="B3966" s="1"/>
      <c r="C3966" s="1"/>
      <c r="D3966" s="1"/>
      <c r="E3966" s="1"/>
      <c r="F3966" s="1"/>
      <c r="G3966" s="1"/>
      <c r="H3966" s="1"/>
      <c r="I3966" s="1"/>
      <c r="J3966" s="1"/>
    </row>
    <row r="3967" ht="15.75" customHeight="1">
      <c r="A3967" s="1"/>
      <c r="B3967" s="1"/>
      <c r="C3967" s="1"/>
      <c r="D3967" s="1"/>
      <c r="E3967" s="1"/>
      <c r="F3967" s="1"/>
      <c r="G3967" s="1"/>
      <c r="H3967" s="1"/>
      <c r="I3967" s="1"/>
      <c r="J3967" s="1"/>
    </row>
    <row r="3968" ht="15.75" customHeight="1">
      <c r="A3968" s="1"/>
      <c r="B3968" s="1"/>
      <c r="C3968" s="1"/>
      <c r="D3968" s="1"/>
      <c r="E3968" s="1"/>
      <c r="F3968" s="1"/>
      <c r="G3968" s="1"/>
      <c r="H3968" s="1"/>
      <c r="I3968" s="1"/>
      <c r="J3968" s="1"/>
    </row>
    <row r="3969" ht="15.75" customHeight="1">
      <c r="A3969" s="1"/>
      <c r="B3969" s="1"/>
      <c r="C3969" s="1"/>
      <c r="D3969" s="1"/>
      <c r="E3969" s="1"/>
      <c r="F3969" s="1"/>
      <c r="G3969" s="1"/>
      <c r="H3969" s="1"/>
      <c r="I3969" s="1"/>
      <c r="J3969" s="1"/>
    </row>
    <row r="3970" ht="15.75" customHeight="1">
      <c r="A3970" s="1"/>
      <c r="B3970" s="1"/>
      <c r="C3970" s="1"/>
      <c r="D3970" s="1"/>
      <c r="E3970" s="1"/>
      <c r="F3970" s="1"/>
      <c r="G3970" s="1"/>
      <c r="H3970" s="1"/>
      <c r="I3970" s="1"/>
      <c r="J3970" s="1"/>
    </row>
    <row r="3971" ht="15.75" customHeight="1">
      <c r="A3971" s="1"/>
      <c r="B3971" s="1"/>
      <c r="C3971" s="1"/>
      <c r="D3971" s="1"/>
      <c r="E3971" s="1"/>
      <c r="F3971" s="1"/>
      <c r="G3971" s="1"/>
      <c r="H3971" s="1"/>
      <c r="I3971" s="1"/>
      <c r="J3971" s="1"/>
    </row>
    <row r="3972" ht="15.75" customHeight="1">
      <c r="A3972" s="1"/>
      <c r="B3972" s="1"/>
      <c r="C3972" s="1"/>
      <c r="D3972" s="1"/>
      <c r="E3972" s="1"/>
      <c r="F3972" s="1"/>
      <c r="G3972" s="1"/>
      <c r="H3972" s="1"/>
      <c r="I3972" s="1"/>
      <c r="J3972" s="1"/>
    </row>
    <row r="3973" ht="15.75" customHeight="1">
      <c r="A3973" s="1"/>
      <c r="B3973" s="1"/>
      <c r="C3973" s="1"/>
      <c r="D3973" s="1"/>
      <c r="E3973" s="1"/>
      <c r="F3973" s="1"/>
      <c r="G3973" s="1"/>
      <c r="H3973" s="1"/>
      <c r="I3973" s="1"/>
      <c r="J3973" s="1"/>
    </row>
    <row r="3974" ht="15.75" customHeight="1">
      <c r="A3974" s="1"/>
      <c r="B3974" s="1"/>
      <c r="C3974" s="1"/>
      <c r="D3974" s="1"/>
      <c r="E3974" s="1"/>
      <c r="F3974" s="1"/>
      <c r="G3974" s="1"/>
      <c r="H3974" s="1"/>
      <c r="I3974" s="1"/>
      <c r="J3974" s="1"/>
    </row>
    <row r="3975" ht="15.75" customHeight="1">
      <c r="A3975" s="1"/>
      <c r="B3975" s="1"/>
      <c r="C3975" s="1"/>
      <c r="D3975" s="1"/>
      <c r="E3975" s="1"/>
      <c r="F3975" s="1"/>
      <c r="G3975" s="1"/>
      <c r="H3975" s="1"/>
      <c r="I3975" s="1"/>
      <c r="J3975" s="1"/>
    </row>
    <row r="3976" ht="15.75" customHeight="1">
      <c r="A3976" s="1"/>
      <c r="B3976" s="1"/>
      <c r="C3976" s="1"/>
      <c r="D3976" s="1"/>
      <c r="E3976" s="1"/>
      <c r="F3976" s="1"/>
      <c r="G3976" s="1"/>
      <c r="H3976" s="1"/>
      <c r="I3976" s="1"/>
      <c r="J3976" s="1"/>
    </row>
    <row r="3977" ht="15.75" customHeight="1">
      <c r="A3977" s="1"/>
      <c r="B3977" s="1"/>
      <c r="C3977" s="1"/>
      <c r="D3977" s="1"/>
      <c r="E3977" s="1"/>
      <c r="F3977" s="1"/>
      <c r="G3977" s="1"/>
      <c r="H3977" s="1"/>
      <c r="I3977" s="1"/>
      <c r="J3977" s="1"/>
    </row>
    <row r="3978" ht="15.75" customHeight="1">
      <c r="A3978" s="1"/>
      <c r="B3978" s="1"/>
      <c r="C3978" s="1"/>
      <c r="D3978" s="1"/>
      <c r="E3978" s="1"/>
      <c r="F3978" s="1"/>
      <c r="G3978" s="1"/>
      <c r="H3978" s="1"/>
      <c r="I3978" s="1"/>
      <c r="J3978" s="1"/>
    </row>
    <row r="3979" ht="15.75" customHeight="1">
      <c r="A3979" s="1"/>
      <c r="B3979" s="1"/>
      <c r="C3979" s="1"/>
      <c r="D3979" s="1"/>
      <c r="E3979" s="1"/>
      <c r="F3979" s="1"/>
      <c r="G3979" s="1"/>
      <c r="H3979" s="1"/>
      <c r="I3979" s="1"/>
      <c r="J3979" s="1"/>
    </row>
    <row r="3980" ht="15.75" customHeight="1">
      <c r="A3980" s="1"/>
      <c r="B3980" s="1"/>
      <c r="C3980" s="1"/>
      <c r="D3980" s="1"/>
      <c r="E3980" s="1"/>
      <c r="F3980" s="1"/>
      <c r="G3980" s="1"/>
      <c r="H3980" s="1"/>
      <c r="I3980" s="1"/>
      <c r="J3980" s="1"/>
    </row>
    <row r="3981" ht="15.75" customHeight="1">
      <c r="A3981" s="1"/>
      <c r="B3981" s="1"/>
      <c r="C3981" s="1"/>
      <c r="D3981" s="1"/>
      <c r="E3981" s="1"/>
      <c r="F3981" s="1"/>
      <c r="G3981" s="1"/>
      <c r="H3981" s="1"/>
      <c r="I3981" s="1"/>
      <c r="J3981" s="1"/>
    </row>
    <row r="3982" ht="15.75" customHeight="1">
      <c r="A3982" s="1"/>
      <c r="B3982" s="1"/>
      <c r="C3982" s="1"/>
      <c r="D3982" s="1"/>
      <c r="E3982" s="1"/>
      <c r="F3982" s="1"/>
      <c r="G3982" s="1"/>
      <c r="H3982" s="1"/>
      <c r="I3982" s="1"/>
      <c r="J3982" s="1"/>
    </row>
    <row r="3983" ht="15.75" customHeight="1">
      <c r="A3983" s="1"/>
      <c r="B3983" s="1"/>
      <c r="C3983" s="1"/>
      <c r="D3983" s="1"/>
      <c r="E3983" s="1"/>
      <c r="F3983" s="1"/>
      <c r="G3983" s="1"/>
      <c r="H3983" s="1"/>
      <c r="I3983" s="1"/>
      <c r="J3983" s="1"/>
    </row>
    <row r="3984" ht="15.75" customHeight="1">
      <c r="A3984" s="1"/>
      <c r="B3984" s="1"/>
      <c r="C3984" s="1"/>
      <c r="D3984" s="1"/>
      <c r="E3984" s="1"/>
      <c r="F3984" s="1"/>
      <c r="G3984" s="1"/>
      <c r="H3984" s="1"/>
      <c r="I3984" s="1"/>
      <c r="J3984" s="1"/>
    </row>
    <row r="3985" ht="15.75" customHeight="1">
      <c r="A3985" s="1"/>
      <c r="B3985" s="1"/>
      <c r="C3985" s="1"/>
      <c r="D3985" s="1"/>
      <c r="E3985" s="1"/>
      <c r="F3985" s="1"/>
      <c r="G3985" s="1"/>
      <c r="H3985" s="1"/>
      <c r="I3985" s="1"/>
      <c r="J3985" s="1"/>
    </row>
    <row r="3986" ht="15.75" customHeight="1">
      <c r="A3986" s="1"/>
      <c r="B3986" s="1"/>
      <c r="C3986" s="1"/>
      <c r="D3986" s="1"/>
      <c r="E3986" s="1"/>
      <c r="F3986" s="1"/>
      <c r="G3986" s="1"/>
      <c r="H3986" s="1"/>
      <c r="I3986" s="1"/>
      <c r="J3986" s="1"/>
    </row>
    <row r="3987" ht="15.75" customHeight="1">
      <c r="A3987" s="1"/>
      <c r="B3987" s="1"/>
      <c r="C3987" s="1"/>
      <c r="D3987" s="1"/>
      <c r="E3987" s="1"/>
      <c r="F3987" s="1"/>
      <c r="G3987" s="1"/>
      <c r="H3987" s="1"/>
      <c r="I3987" s="1"/>
      <c r="J3987" s="1"/>
    </row>
    <row r="3988" ht="15.75" customHeight="1">
      <c r="A3988" s="1"/>
      <c r="B3988" s="1"/>
      <c r="C3988" s="1"/>
      <c r="D3988" s="1"/>
      <c r="E3988" s="1"/>
      <c r="F3988" s="1"/>
      <c r="G3988" s="1"/>
      <c r="H3988" s="1"/>
      <c r="I3988" s="1"/>
      <c r="J3988" s="1"/>
    </row>
    <row r="3989" ht="15.75" customHeight="1">
      <c r="A3989" s="1"/>
      <c r="B3989" s="1"/>
      <c r="C3989" s="1"/>
      <c r="D3989" s="1"/>
      <c r="E3989" s="1"/>
      <c r="F3989" s="1"/>
      <c r="G3989" s="1"/>
      <c r="H3989" s="1"/>
      <c r="I3989" s="1"/>
      <c r="J3989" s="1"/>
    </row>
    <row r="3990" ht="15.75" customHeight="1">
      <c r="A3990" s="1"/>
      <c r="B3990" s="1"/>
      <c r="C3990" s="1"/>
      <c r="D3990" s="1"/>
      <c r="E3990" s="1"/>
      <c r="F3990" s="1"/>
      <c r="G3990" s="1"/>
      <c r="H3990" s="1"/>
      <c r="I3990" s="1"/>
      <c r="J3990" s="1"/>
    </row>
    <row r="3991" ht="15.75" customHeight="1">
      <c r="A3991" s="1"/>
      <c r="B3991" s="1"/>
      <c r="C3991" s="1"/>
      <c r="D3991" s="1"/>
      <c r="E3991" s="1"/>
      <c r="F3991" s="1"/>
      <c r="G3991" s="1"/>
      <c r="H3991" s="1"/>
      <c r="I3991" s="1"/>
      <c r="J3991" s="1"/>
    </row>
    <row r="3992" ht="15.75" customHeight="1">
      <c r="A3992" s="1"/>
      <c r="B3992" s="1"/>
      <c r="C3992" s="1"/>
      <c r="D3992" s="1"/>
      <c r="E3992" s="1"/>
      <c r="F3992" s="1"/>
      <c r="G3992" s="1"/>
      <c r="H3992" s="1"/>
      <c r="I3992" s="1"/>
      <c r="J3992" s="1"/>
    </row>
    <row r="3993" ht="15.75" customHeight="1">
      <c r="A3993" s="1"/>
      <c r="B3993" s="1"/>
      <c r="C3993" s="1"/>
      <c r="D3993" s="1"/>
      <c r="E3993" s="1"/>
      <c r="F3993" s="1"/>
      <c r="G3993" s="1"/>
      <c r="H3993" s="1"/>
      <c r="I3993" s="1"/>
      <c r="J3993" s="1"/>
    </row>
    <row r="3994" ht="15.75" customHeight="1">
      <c r="A3994" s="1"/>
      <c r="B3994" s="1"/>
      <c r="C3994" s="1"/>
      <c r="D3994" s="1"/>
      <c r="E3994" s="1"/>
      <c r="F3994" s="1"/>
      <c r="G3994" s="1"/>
      <c r="H3994" s="1"/>
      <c r="I3994" s="1"/>
      <c r="J3994" s="1"/>
    </row>
    <row r="3995" ht="15.75" customHeight="1">
      <c r="A3995" s="1"/>
      <c r="B3995" s="1"/>
      <c r="C3995" s="1"/>
      <c r="D3995" s="1"/>
      <c r="E3995" s="1"/>
      <c r="F3995" s="1"/>
      <c r="G3995" s="1"/>
      <c r="H3995" s="1"/>
      <c r="I3995" s="1"/>
      <c r="J3995" s="1"/>
    </row>
    <row r="3996" ht="15.75" customHeight="1">
      <c r="A3996" s="1"/>
      <c r="B3996" s="1"/>
      <c r="C3996" s="1"/>
      <c r="D3996" s="1"/>
      <c r="E3996" s="1"/>
      <c r="F3996" s="1"/>
      <c r="G3996" s="1"/>
      <c r="H3996" s="1"/>
      <c r="I3996" s="1"/>
      <c r="J3996" s="1"/>
    </row>
    <row r="3997" ht="15.75" customHeight="1">
      <c r="A3997" s="1"/>
      <c r="B3997" s="1"/>
      <c r="C3997" s="1"/>
      <c r="D3997" s="1"/>
      <c r="E3997" s="1"/>
      <c r="F3997" s="1"/>
      <c r="G3997" s="1"/>
      <c r="H3997" s="1"/>
      <c r="I3997" s="1"/>
      <c r="J3997" s="1"/>
    </row>
    <row r="3998" ht="15.75" customHeight="1">
      <c r="A3998" s="1"/>
      <c r="B3998" s="1"/>
      <c r="C3998" s="1"/>
      <c r="D3998" s="1"/>
      <c r="E3998" s="1"/>
      <c r="F3998" s="1"/>
      <c r="G3998" s="1"/>
      <c r="H3998" s="1"/>
      <c r="I3998" s="1"/>
      <c r="J3998" s="1"/>
    </row>
    <row r="3999" ht="15.75" customHeight="1">
      <c r="A3999" s="1"/>
      <c r="B3999" s="1"/>
      <c r="C3999" s="1"/>
      <c r="D3999" s="1"/>
      <c r="E3999" s="1"/>
      <c r="F3999" s="1"/>
      <c r="G3999" s="1"/>
      <c r="H3999" s="1"/>
      <c r="I3999" s="1"/>
      <c r="J3999" s="1"/>
    </row>
    <row r="4000" ht="15.75" customHeight="1">
      <c r="A4000" s="1"/>
      <c r="B4000" s="1"/>
      <c r="C4000" s="1"/>
      <c r="D4000" s="1"/>
      <c r="E4000" s="1"/>
      <c r="F4000" s="1"/>
      <c r="G4000" s="1"/>
      <c r="H4000" s="1"/>
      <c r="I4000" s="1"/>
      <c r="J4000" s="1"/>
    </row>
    <row r="4001" ht="15.75" customHeight="1">
      <c r="A4001" s="1"/>
      <c r="B4001" s="1"/>
      <c r="C4001" s="1"/>
      <c r="D4001" s="1"/>
      <c r="E4001" s="1"/>
      <c r="F4001" s="1"/>
      <c r="G4001" s="1"/>
      <c r="H4001" s="1"/>
      <c r="I4001" s="1"/>
      <c r="J4001" s="1"/>
    </row>
    <row r="4002" ht="15.75" customHeight="1">
      <c r="A4002" s="1"/>
      <c r="B4002" s="1"/>
      <c r="C4002" s="1"/>
      <c r="D4002" s="1"/>
      <c r="E4002" s="1"/>
      <c r="F4002" s="1"/>
      <c r="G4002" s="1"/>
      <c r="H4002" s="1"/>
      <c r="I4002" s="1"/>
      <c r="J4002" s="1"/>
    </row>
    <row r="4003" ht="15.75" customHeight="1">
      <c r="A4003" s="1"/>
      <c r="B4003" s="1"/>
      <c r="C4003" s="1"/>
      <c r="D4003" s="1"/>
      <c r="E4003" s="1"/>
      <c r="F4003" s="1"/>
      <c r="G4003" s="1"/>
      <c r="H4003" s="1"/>
      <c r="I4003" s="1"/>
      <c r="J4003" s="1"/>
    </row>
    <row r="4004" ht="15.75" customHeight="1">
      <c r="A4004" s="1"/>
      <c r="B4004" s="1"/>
      <c r="C4004" s="1"/>
      <c r="D4004" s="1"/>
      <c r="E4004" s="1"/>
      <c r="F4004" s="1"/>
      <c r="G4004" s="1"/>
      <c r="H4004" s="1"/>
      <c r="I4004" s="1"/>
      <c r="J4004" s="1"/>
    </row>
    <row r="4005" ht="15.75" customHeight="1">
      <c r="A4005" s="1"/>
      <c r="B4005" s="1"/>
      <c r="C4005" s="1"/>
      <c r="D4005" s="1"/>
      <c r="E4005" s="1"/>
      <c r="F4005" s="1"/>
      <c r="G4005" s="1"/>
      <c r="H4005" s="1"/>
      <c r="I4005" s="1"/>
      <c r="J4005" s="1"/>
    </row>
    <row r="4006" ht="15.75" customHeight="1">
      <c r="A4006" s="1"/>
      <c r="B4006" s="1"/>
      <c r="C4006" s="1"/>
      <c r="D4006" s="1"/>
      <c r="E4006" s="1"/>
      <c r="F4006" s="1"/>
      <c r="G4006" s="1"/>
      <c r="H4006" s="1"/>
      <c r="I4006" s="1"/>
      <c r="J4006" s="1"/>
    </row>
    <row r="4007" ht="15.75" customHeight="1">
      <c r="A4007" s="1"/>
      <c r="B4007" s="1"/>
      <c r="C4007" s="1"/>
      <c r="D4007" s="1"/>
      <c r="E4007" s="1"/>
      <c r="F4007" s="1"/>
      <c r="G4007" s="1"/>
      <c r="H4007" s="1"/>
      <c r="I4007" s="1"/>
      <c r="J4007" s="1"/>
    </row>
    <row r="4008" ht="15.75" customHeight="1">
      <c r="A4008" s="1"/>
      <c r="B4008" s="1"/>
      <c r="C4008" s="1"/>
      <c r="D4008" s="1"/>
      <c r="E4008" s="1"/>
      <c r="F4008" s="1"/>
      <c r="G4008" s="1"/>
      <c r="H4008" s="1"/>
      <c r="I4008" s="1"/>
      <c r="J4008" s="1"/>
    </row>
    <row r="4009" ht="15.75" customHeight="1">
      <c r="A4009" s="1"/>
      <c r="B4009" s="1"/>
      <c r="C4009" s="1"/>
      <c r="D4009" s="1"/>
      <c r="E4009" s="1"/>
      <c r="F4009" s="1"/>
      <c r="G4009" s="1"/>
      <c r="H4009" s="1"/>
      <c r="I4009" s="1"/>
      <c r="J4009" s="1"/>
    </row>
    <row r="4010" ht="15.75" customHeight="1">
      <c r="A4010" s="1"/>
      <c r="B4010" s="1"/>
      <c r="C4010" s="1"/>
      <c r="D4010" s="1"/>
      <c r="E4010" s="1"/>
      <c r="F4010" s="1"/>
      <c r="G4010" s="1"/>
      <c r="H4010" s="1"/>
      <c r="I4010" s="1"/>
      <c r="J4010" s="1"/>
    </row>
    <row r="4011" ht="15.75" customHeight="1">
      <c r="A4011" s="1"/>
      <c r="B4011" s="1"/>
      <c r="C4011" s="1"/>
      <c r="D4011" s="1"/>
      <c r="E4011" s="1"/>
      <c r="F4011" s="1"/>
      <c r="G4011" s="1"/>
      <c r="H4011" s="1"/>
      <c r="I4011" s="1"/>
      <c r="J4011" s="1"/>
    </row>
    <row r="4012" ht="15.75" customHeight="1">
      <c r="A4012" s="1"/>
      <c r="B4012" s="1"/>
      <c r="C4012" s="1"/>
      <c r="D4012" s="1"/>
      <c r="E4012" s="1"/>
      <c r="F4012" s="1"/>
      <c r="G4012" s="1"/>
      <c r="H4012" s="1"/>
      <c r="I4012" s="1"/>
      <c r="J4012" s="1"/>
    </row>
    <row r="4013" ht="15.75" customHeight="1">
      <c r="A4013" s="1"/>
      <c r="B4013" s="1"/>
      <c r="C4013" s="1"/>
      <c r="D4013" s="1"/>
      <c r="E4013" s="1"/>
      <c r="F4013" s="1"/>
      <c r="G4013" s="1"/>
      <c r="H4013" s="1"/>
      <c r="I4013" s="1"/>
      <c r="J4013" s="1"/>
    </row>
    <row r="4014" ht="15.75" customHeight="1">
      <c r="A4014" s="1"/>
      <c r="B4014" s="1"/>
      <c r="C4014" s="1"/>
      <c r="D4014" s="1"/>
      <c r="E4014" s="1"/>
      <c r="F4014" s="1"/>
      <c r="G4014" s="1"/>
      <c r="H4014" s="1"/>
      <c r="I4014" s="1"/>
      <c r="J4014" s="1"/>
    </row>
    <row r="4015" ht="15.75" customHeight="1">
      <c r="A4015" s="1"/>
      <c r="B4015" s="1"/>
      <c r="C4015" s="1"/>
      <c r="D4015" s="1"/>
      <c r="E4015" s="1"/>
      <c r="F4015" s="1"/>
      <c r="G4015" s="1"/>
      <c r="H4015" s="1"/>
      <c r="I4015" s="1"/>
      <c r="J4015" s="1"/>
    </row>
    <row r="4016" ht="15.75" customHeight="1">
      <c r="A4016" s="1"/>
      <c r="B4016" s="1"/>
      <c r="C4016" s="1"/>
      <c r="D4016" s="1"/>
      <c r="E4016" s="1"/>
      <c r="F4016" s="1"/>
      <c r="G4016" s="1"/>
      <c r="H4016" s="1"/>
      <c r="I4016" s="1"/>
      <c r="J4016" s="1"/>
    </row>
    <row r="4017" ht="15.75" customHeight="1">
      <c r="A4017" s="1"/>
      <c r="B4017" s="1"/>
      <c r="C4017" s="1"/>
      <c r="D4017" s="1"/>
      <c r="E4017" s="1"/>
      <c r="F4017" s="1"/>
      <c r="G4017" s="1"/>
      <c r="H4017" s="1"/>
      <c r="I4017" s="1"/>
      <c r="J4017" s="1"/>
    </row>
    <row r="4018" ht="15.75" customHeight="1">
      <c r="A4018" s="1"/>
      <c r="B4018" s="1"/>
      <c r="C4018" s="1"/>
      <c r="D4018" s="1"/>
      <c r="E4018" s="1"/>
      <c r="F4018" s="1"/>
      <c r="G4018" s="1"/>
      <c r="H4018" s="1"/>
      <c r="I4018" s="1"/>
      <c r="J4018" s="1"/>
    </row>
    <row r="4019" ht="15.75" customHeight="1">
      <c r="A4019" s="1"/>
      <c r="B4019" s="1"/>
      <c r="C4019" s="1"/>
      <c r="D4019" s="1"/>
      <c r="E4019" s="1"/>
      <c r="F4019" s="1"/>
      <c r="G4019" s="1"/>
      <c r="H4019" s="1"/>
      <c r="I4019" s="1"/>
      <c r="J4019" s="1"/>
    </row>
    <row r="4020" ht="15.75" customHeight="1">
      <c r="A4020" s="1"/>
      <c r="B4020" s="1"/>
      <c r="C4020" s="1"/>
      <c r="D4020" s="1"/>
      <c r="E4020" s="1"/>
      <c r="F4020" s="1"/>
      <c r="G4020" s="1"/>
      <c r="H4020" s="1"/>
      <c r="I4020" s="1"/>
      <c r="J4020" s="1"/>
    </row>
    <row r="4021" ht="15.75" customHeight="1">
      <c r="A4021" s="1"/>
      <c r="B4021" s="1"/>
      <c r="C4021" s="1"/>
      <c r="D4021" s="1"/>
      <c r="E4021" s="1"/>
      <c r="F4021" s="1"/>
      <c r="G4021" s="1"/>
      <c r="H4021" s="1"/>
      <c r="I4021" s="1"/>
      <c r="J4021" s="1"/>
    </row>
    <row r="4022" ht="15.75" customHeight="1">
      <c r="A4022" s="1"/>
      <c r="B4022" s="1"/>
      <c r="C4022" s="1"/>
      <c r="D4022" s="1"/>
      <c r="E4022" s="1"/>
      <c r="F4022" s="1"/>
      <c r="G4022" s="1"/>
      <c r="H4022" s="1"/>
      <c r="I4022" s="1"/>
      <c r="J4022" s="1"/>
    </row>
    <row r="4023" ht="15.75" customHeight="1">
      <c r="A4023" s="1"/>
      <c r="B4023" s="1"/>
      <c r="C4023" s="1"/>
      <c r="D4023" s="1"/>
      <c r="E4023" s="1"/>
      <c r="F4023" s="1"/>
      <c r="G4023" s="1"/>
      <c r="H4023" s="1"/>
      <c r="I4023" s="1"/>
      <c r="J4023" s="1"/>
    </row>
    <row r="4024" ht="15.75" customHeight="1">
      <c r="A4024" s="1"/>
      <c r="B4024" s="1"/>
      <c r="C4024" s="1"/>
      <c r="D4024" s="1"/>
      <c r="E4024" s="1"/>
      <c r="F4024" s="1"/>
      <c r="G4024" s="1"/>
      <c r="H4024" s="1"/>
      <c r="I4024" s="1"/>
      <c r="J4024" s="1"/>
    </row>
    <row r="4025" ht="15.75" customHeight="1">
      <c r="A4025" s="1"/>
      <c r="B4025" s="1"/>
      <c r="C4025" s="1"/>
      <c r="D4025" s="1"/>
      <c r="E4025" s="1"/>
      <c r="F4025" s="1"/>
      <c r="G4025" s="1"/>
      <c r="H4025" s="1"/>
      <c r="I4025" s="1"/>
      <c r="J4025" s="1"/>
    </row>
    <row r="4026" ht="15.75" customHeight="1">
      <c r="A4026" s="1"/>
      <c r="B4026" s="1"/>
      <c r="C4026" s="1"/>
      <c r="D4026" s="1"/>
      <c r="E4026" s="1"/>
      <c r="F4026" s="1"/>
      <c r="G4026" s="1"/>
      <c r="H4026" s="1"/>
      <c r="I4026" s="1"/>
      <c r="J4026" s="1"/>
    </row>
    <row r="4027" ht="15.75" customHeight="1">
      <c r="A4027" s="1"/>
      <c r="B4027" s="1"/>
      <c r="C4027" s="1"/>
      <c r="D4027" s="1"/>
      <c r="E4027" s="1"/>
      <c r="F4027" s="1"/>
      <c r="G4027" s="1"/>
      <c r="H4027" s="1"/>
      <c r="I4027" s="1"/>
      <c r="J4027" s="1"/>
    </row>
    <row r="4028" ht="15.75" customHeight="1">
      <c r="A4028" s="1"/>
      <c r="B4028" s="1"/>
      <c r="C4028" s="1"/>
      <c r="D4028" s="1"/>
      <c r="E4028" s="1"/>
      <c r="F4028" s="1"/>
      <c r="G4028" s="1"/>
      <c r="H4028" s="1"/>
      <c r="I4028" s="1"/>
      <c r="J4028" s="1"/>
    </row>
    <row r="4029" ht="15.75" customHeight="1">
      <c r="A4029" s="1"/>
      <c r="B4029" s="1"/>
      <c r="C4029" s="1"/>
      <c r="D4029" s="1"/>
      <c r="E4029" s="1"/>
      <c r="F4029" s="1"/>
      <c r="G4029" s="1"/>
      <c r="H4029" s="1"/>
      <c r="I4029" s="1"/>
      <c r="J4029" s="1"/>
    </row>
    <row r="4030" ht="15.75" customHeight="1">
      <c r="A4030" s="1"/>
      <c r="B4030" s="1"/>
      <c r="C4030" s="1"/>
      <c r="D4030" s="1"/>
      <c r="E4030" s="1"/>
      <c r="F4030" s="1"/>
      <c r="G4030" s="1"/>
      <c r="H4030" s="1"/>
      <c r="I4030" s="1"/>
      <c r="J4030" s="1"/>
    </row>
    <row r="4031" ht="15.75" customHeight="1">
      <c r="A4031" s="1"/>
      <c r="B4031" s="1"/>
      <c r="C4031" s="1"/>
      <c r="D4031" s="1"/>
      <c r="E4031" s="1"/>
      <c r="F4031" s="1"/>
      <c r="G4031" s="1"/>
      <c r="H4031" s="1"/>
      <c r="I4031" s="1"/>
      <c r="J4031" s="1"/>
    </row>
    <row r="4032" ht="15.75" customHeight="1">
      <c r="A4032" s="1"/>
      <c r="B4032" s="1"/>
      <c r="C4032" s="1"/>
      <c r="D4032" s="1"/>
      <c r="E4032" s="1"/>
      <c r="F4032" s="1"/>
      <c r="G4032" s="1"/>
      <c r="H4032" s="1"/>
      <c r="I4032" s="1"/>
      <c r="J4032" s="1"/>
    </row>
    <row r="4033" ht="15.75" customHeight="1">
      <c r="A4033" s="1"/>
      <c r="B4033" s="1"/>
      <c r="C4033" s="1"/>
      <c r="D4033" s="1"/>
      <c r="E4033" s="1"/>
      <c r="F4033" s="1"/>
      <c r="G4033" s="1"/>
      <c r="H4033" s="1"/>
      <c r="I4033" s="1"/>
      <c r="J4033" s="1"/>
    </row>
    <row r="4034" ht="15.75" customHeight="1">
      <c r="A4034" s="1"/>
      <c r="B4034" s="1"/>
      <c r="C4034" s="1"/>
      <c r="D4034" s="1"/>
      <c r="E4034" s="1"/>
      <c r="F4034" s="1"/>
      <c r="G4034" s="1"/>
      <c r="H4034" s="1"/>
      <c r="I4034" s="1"/>
      <c r="J4034" s="1"/>
    </row>
    <row r="4035" ht="15.75" customHeight="1">
      <c r="A4035" s="1"/>
      <c r="B4035" s="1"/>
      <c r="C4035" s="1"/>
      <c r="D4035" s="1"/>
      <c r="E4035" s="1"/>
      <c r="F4035" s="1"/>
      <c r="G4035" s="1"/>
      <c r="H4035" s="1"/>
      <c r="I4035" s="1"/>
      <c r="J4035" s="1"/>
    </row>
    <row r="4036" ht="15.75" customHeight="1">
      <c r="A4036" s="1"/>
      <c r="B4036" s="1"/>
      <c r="C4036" s="1"/>
      <c r="D4036" s="1"/>
      <c r="E4036" s="1"/>
      <c r="F4036" s="1"/>
      <c r="G4036" s="1"/>
      <c r="H4036" s="1"/>
      <c r="I4036" s="1"/>
      <c r="J4036" s="1"/>
    </row>
    <row r="4037" ht="15.75" customHeight="1">
      <c r="A4037" s="1"/>
      <c r="B4037" s="1"/>
      <c r="C4037" s="1"/>
      <c r="D4037" s="1"/>
      <c r="E4037" s="1"/>
      <c r="F4037" s="1"/>
      <c r="G4037" s="1"/>
      <c r="H4037" s="1"/>
      <c r="I4037" s="1"/>
      <c r="J4037" s="1"/>
    </row>
    <row r="4038" ht="15.75" customHeight="1">
      <c r="A4038" s="1"/>
      <c r="B4038" s="1"/>
      <c r="C4038" s="1"/>
      <c r="D4038" s="1"/>
      <c r="E4038" s="1"/>
      <c r="F4038" s="1"/>
      <c r="G4038" s="1"/>
      <c r="H4038" s="1"/>
      <c r="I4038" s="1"/>
      <c r="J4038" s="1"/>
    </row>
    <row r="4039" ht="15.75" customHeight="1">
      <c r="A4039" s="1"/>
      <c r="B4039" s="1"/>
      <c r="C4039" s="1"/>
      <c r="D4039" s="1"/>
      <c r="E4039" s="1"/>
      <c r="F4039" s="1"/>
      <c r="G4039" s="1"/>
      <c r="H4039" s="1"/>
      <c r="I4039" s="1"/>
      <c r="J4039" s="1"/>
    </row>
    <row r="4040" ht="15.75" customHeight="1">
      <c r="A4040" s="1"/>
      <c r="B4040" s="1"/>
      <c r="C4040" s="1"/>
      <c r="D4040" s="1"/>
      <c r="E4040" s="1"/>
      <c r="F4040" s="1"/>
      <c r="G4040" s="1"/>
      <c r="H4040" s="1"/>
      <c r="I4040" s="1"/>
      <c r="J4040" s="1"/>
    </row>
    <row r="4041" ht="15.75" customHeight="1">
      <c r="A4041" s="1"/>
      <c r="B4041" s="1"/>
      <c r="C4041" s="1"/>
      <c r="D4041" s="1"/>
      <c r="E4041" s="1"/>
      <c r="F4041" s="1"/>
      <c r="G4041" s="1"/>
      <c r="H4041" s="1"/>
      <c r="I4041" s="1"/>
      <c r="J4041" s="1"/>
    </row>
    <row r="4042" ht="15.75" customHeight="1">
      <c r="A4042" s="1"/>
      <c r="B4042" s="1"/>
      <c r="C4042" s="1"/>
      <c r="D4042" s="1"/>
      <c r="E4042" s="1"/>
      <c r="F4042" s="1"/>
      <c r="G4042" s="1"/>
      <c r="H4042" s="1"/>
      <c r="I4042" s="1"/>
      <c r="J4042" s="1"/>
    </row>
    <row r="4043" ht="15.75" customHeight="1">
      <c r="A4043" s="1"/>
      <c r="B4043" s="1"/>
      <c r="C4043" s="1"/>
      <c r="D4043" s="1"/>
      <c r="E4043" s="1"/>
      <c r="F4043" s="1"/>
      <c r="G4043" s="1"/>
      <c r="H4043" s="1"/>
      <c r="I4043" s="1"/>
      <c r="J4043" s="1"/>
    </row>
    <row r="4044" ht="15.75" customHeight="1">
      <c r="A4044" s="1"/>
      <c r="B4044" s="1"/>
      <c r="C4044" s="1"/>
      <c r="D4044" s="1"/>
      <c r="E4044" s="1"/>
      <c r="F4044" s="1"/>
      <c r="G4044" s="1"/>
      <c r="H4044" s="1"/>
      <c r="I4044" s="1"/>
      <c r="J4044" s="1"/>
    </row>
    <row r="4045" ht="15.75" customHeight="1">
      <c r="A4045" s="1"/>
      <c r="B4045" s="1"/>
      <c r="C4045" s="1"/>
      <c r="D4045" s="1"/>
      <c r="E4045" s="1"/>
      <c r="F4045" s="1"/>
      <c r="G4045" s="1"/>
      <c r="H4045" s="1"/>
      <c r="I4045" s="1"/>
      <c r="J4045" s="1"/>
    </row>
    <row r="4046" ht="15.75" customHeight="1">
      <c r="A4046" s="1"/>
      <c r="B4046" s="1"/>
      <c r="C4046" s="1"/>
      <c r="D4046" s="1"/>
      <c r="E4046" s="1"/>
      <c r="F4046" s="1"/>
      <c r="G4046" s="1"/>
      <c r="H4046" s="1"/>
      <c r="I4046" s="1"/>
      <c r="J4046" s="1"/>
    </row>
    <row r="4047" ht="15.75" customHeight="1">
      <c r="A4047" s="1"/>
      <c r="B4047" s="1"/>
      <c r="C4047" s="1"/>
      <c r="D4047" s="1"/>
      <c r="E4047" s="1"/>
      <c r="F4047" s="1"/>
      <c r="G4047" s="1"/>
      <c r="H4047" s="1"/>
      <c r="I4047" s="1"/>
      <c r="J4047" s="1"/>
    </row>
    <row r="4048" ht="15.75" customHeight="1">
      <c r="A4048" s="1"/>
      <c r="B4048" s="1"/>
      <c r="C4048" s="1"/>
      <c r="D4048" s="1"/>
      <c r="E4048" s="1"/>
      <c r="F4048" s="1"/>
      <c r="G4048" s="1"/>
      <c r="H4048" s="1"/>
      <c r="I4048" s="1"/>
      <c r="J4048" s="1"/>
    </row>
    <row r="4049" ht="15.75" customHeight="1">
      <c r="A4049" s="1"/>
      <c r="B4049" s="1"/>
      <c r="C4049" s="1"/>
      <c r="D4049" s="1"/>
      <c r="E4049" s="1"/>
      <c r="F4049" s="1"/>
      <c r="G4049" s="1"/>
      <c r="H4049" s="1"/>
      <c r="I4049" s="1"/>
      <c r="J4049" s="1"/>
    </row>
    <row r="4050" ht="15.75" customHeight="1">
      <c r="A4050" s="1"/>
      <c r="B4050" s="1"/>
      <c r="C4050" s="1"/>
      <c r="D4050" s="1"/>
      <c r="E4050" s="1"/>
      <c r="F4050" s="1"/>
      <c r="G4050" s="1"/>
      <c r="H4050" s="1"/>
      <c r="I4050" s="1"/>
      <c r="J4050" s="1"/>
    </row>
    <row r="4051" ht="15.75" customHeight="1">
      <c r="A4051" s="1"/>
      <c r="B4051" s="1"/>
      <c r="C4051" s="1"/>
      <c r="D4051" s="1"/>
      <c r="E4051" s="1"/>
      <c r="F4051" s="1"/>
      <c r="G4051" s="1"/>
      <c r="H4051" s="1"/>
      <c r="I4051" s="1"/>
      <c r="J4051" s="1"/>
    </row>
    <row r="4052" ht="15.75" customHeight="1">
      <c r="A4052" s="1"/>
      <c r="B4052" s="1"/>
      <c r="C4052" s="1"/>
      <c r="D4052" s="1"/>
      <c r="E4052" s="1"/>
      <c r="F4052" s="1"/>
      <c r="G4052" s="1"/>
      <c r="H4052" s="1"/>
      <c r="I4052" s="1"/>
      <c r="J4052" s="1"/>
    </row>
    <row r="4053" ht="15.75" customHeight="1">
      <c r="A4053" s="1"/>
      <c r="B4053" s="1"/>
      <c r="C4053" s="1"/>
      <c r="D4053" s="1"/>
      <c r="E4053" s="1"/>
      <c r="F4053" s="1"/>
      <c r="G4053" s="1"/>
      <c r="H4053" s="1"/>
      <c r="I4053" s="1"/>
      <c r="J4053" s="1"/>
    </row>
    <row r="4054" ht="15.75" customHeight="1">
      <c r="A4054" s="1"/>
      <c r="B4054" s="1"/>
      <c r="C4054" s="1"/>
      <c r="D4054" s="1"/>
      <c r="E4054" s="1"/>
      <c r="F4054" s="1"/>
      <c r="G4054" s="1"/>
      <c r="H4054" s="1"/>
      <c r="I4054" s="1"/>
      <c r="J4054" s="1"/>
    </row>
    <row r="4055" ht="15.75" customHeight="1">
      <c r="A4055" s="1"/>
      <c r="B4055" s="1"/>
      <c r="C4055" s="1"/>
      <c r="D4055" s="1"/>
      <c r="E4055" s="1"/>
      <c r="F4055" s="1"/>
      <c r="G4055" s="1"/>
      <c r="H4055" s="1"/>
      <c r="I4055" s="1"/>
      <c r="J4055" s="1"/>
    </row>
    <row r="4056" ht="15.75" customHeight="1">
      <c r="A4056" s="1"/>
      <c r="B4056" s="1"/>
      <c r="C4056" s="1"/>
      <c r="D4056" s="1"/>
      <c r="E4056" s="1"/>
      <c r="F4056" s="1"/>
      <c r="G4056" s="1"/>
      <c r="H4056" s="1"/>
      <c r="I4056" s="1"/>
      <c r="J4056" s="1"/>
    </row>
    <row r="4057" ht="15.75" customHeight="1">
      <c r="A4057" s="1"/>
      <c r="B4057" s="1"/>
      <c r="C4057" s="1"/>
      <c r="D4057" s="1"/>
      <c r="E4057" s="1"/>
      <c r="F4057" s="1"/>
      <c r="G4057" s="1"/>
      <c r="H4057" s="1"/>
      <c r="I4057" s="1"/>
      <c r="J4057" s="1"/>
    </row>
    <row r="4058" ht="15.75" customHeight="1">
      <c r="A4058" s="1"/>
      <c r="B4058" s="1"/>
      <c r="C4058" s="1"/>
      <c r="D4058" s="1"/>
      <c r="E4058" s="1"/>
      <c r="F4058" s="1"/>
      <c r="G4058" s="1"/>
      <c r="H4058" s="1"/>
      <c r="I4058" s="1"/>
      <c r="J4058" s="1"/>
    </row>
    <row r="4059" ht="15.75" customHeight="1">
      <c r="A4059" s="1"/>
      <c r="B4059" s="1"/>
      <c r="C4059" s="1"/>
      <c r="D4059" s="1"/>
      <c r="E4059" s="1"/>
      <c r="F4059" s="1"/>
      <c r="G4059" s="1"/>
      <c r="H4059" s="1"/>
      <c r="I4059" s="1"/>
      <c r="J4059" s="1"/>
    </row>
    <row r="4060" ht="15.75" customHeight="1">
      <c r="A4060" s="1"/>
      <c r="B4060" s="1"/>
      <c r="C4060" s="1"/>
      <c r="D4060" s="1"/>
      <c r="E4060" s="1"/>
      <c r="F4060" s="1"/>
      <c r="G4060" s="1"/>
      <c r="H4060" s="1"/>
      <c r="I4060" s="1"/>
      <c r="J4060" s="1"/>
    </row>
    <row r="4061" ht="15.75" customHeight="1">
      <c r="A4061" s="1"/>
      <c r="B4061" s="1"/>
      <c r="C4061" s="1"/>
      <c r="D4061" s="1"/>
      <c r="E4061" s="1"/>
      <c r="F4061" s="1"/>
      <c r="G4061" s="1"/>
      <c r="H4061" s="1"/>
      <c r="I4061" s="1"/>
      <c r="J4061" s="1"/>
    </row>
    <row r="4062" ht="15.75" customHeight="1">
      <c r="A4062" s="1"/>
      <c r="B4062" s="1"/>
      <c r="C4062" s="1"/>
      <c r="D4062" s="1"/>
      <c r="E4062" s="1"/>
      <c r="F4062" s="1"/>
      <c r="G4062" s="1"/>
      <c r="H4062" s="1"/>
      <c r="I4062" s="1"/>
      <c r="J4062" s="1"/>
    </row>
    <row r="4063" ht="15.75" customHeight="1">
      <c r="A4063" s="1"/>
      <c r="B4063" s="1"/>
      <c r="C4063" s="1"/>
      <c r="D4063" s="1"/>
      <c r="E4063" s="1"/>
      <c r="F4063" s="1"/>
      <c r="G4063" s="1"/>
      <c r="H4063" s="1"/>
      <c r="I4063" s="1"/>
      <c r="J4063" s="1"/>
    </row>
    <row r="4064" ht="15.75" customHeight="1">
      <c r="A4064" s="1"/>
      <c r="B4064" s="1"/>
      <c r="C4064" s="1"/>
      <c r="D4064" s="1"/>
      <c r="E4064" s="1"/>
      <c r="F4064" s="1"/>
      <c r="G4064" s="1"/>
      <c r="H4064" s="1"/>
      <c r="I4064" s="1"/>
      <c r="J4064" s="1"/>
    </row>
    <row r="4065" ht="15.75" customHeight="1">
      <c r="A4065" s="1"/>
      <c r="B4065" s="1"/>
      <c r="C4065" s="1"/>
      <c r="D4065" s="1"/>
      <c r="E4065" s="1"/>
      <c r="F4065" s="1"/>
      <c r="G4065" s="1"/>
      <c r="H4065" s="1"/>
      <c r="I4065" s="1"/>
      <c r="J4065" s="1"/>
    </row>
    <row r="4066" ht="15.75" customHeight="1">
      <c r="A4066" s="1"/>
      <c r="B4066" s="1"/>
      <c r="C4066" s="1"/>
      <c r="D4066" s="1"/>
      <c r="E4066" s="1"/>
      <c r="F4066" s="1"/>
      <c r="G4066" s="1"/>
      <c r="H4066" s="1"/>
      <c r="I4066" s="1"/>
      <c r="J4066" s="1"/>
    </row>
    <row r="4067" ht="15.75" customHeight="1">
      <c r="A4067" s="1"/>
      <c r="B4067" s="1"/>
      <c r="C4067" s="1"/>
      <c r="D4067" s="1"/>
      <c r="E4067" s="1"/>
      <c r="F4067" s="1"/>
      <c r="G4067" s="1"/>
      <c r="H4067" s="1"/>
      <c r="I4067" s="1"/>
      <c r="J4067" s="1"/>
    </row>
    <row r="4068" ht="15.75" customHeight="1">
      <c r="A4068" s="1"/>
      <c r="B4068" s="1"/>
      <c r="C4068" s="1"/>
      <c r="D4068" s="1"/>
      <c r="E4068" s="1"/>
      <c r="F4068" s="1"/>
      <c r="G4068" s="1"/>
      <c r="H4068" s="1"/>
      <c r="I4068" s="1"/>
      <c r="J4068" s="1"/>
    </row>
    <row r="4069" ht="15.75" customHeight="1">
      <c r="A4069" s="1"/>
      <c r="B4069" s="1"/>
      <c r="C4069" s="1"/>
      <c r="D4069" s="1"/>
      <c r="E4069" s="1"/>
      <c r="F4069" s="1"/>
      <c r="G4069" s="1"/>
      <c r="H4069" s="1"/>
      <c r="I4069" s="1"/>
      <c r="J4069" s="1"/>
    </row>
    <row r="4070" ht="15.75" customHeight="1">
      <c r="A4070" s="1"/>
      <c r="B4070" s="1"/>
      <c r="C4070" s="1"/>
      <c r="D4070" s="1"/>
      <c r="E4070" s="1"/>
      <c r="F4070" s="1"/>
      <c r="G4070" s="1"/>
      <c r="H4070" s="1"/>
      <c r="I4070" s="1"/>
      <c r="J4070" s="1"/>
    </row>
    <row r="4071" ht="15.75" customHeight="1">
      <c r="A4071" s="1"/>
      <c r="B4071" s="1"/>
      <c r="C4071" s="1"/>
      <c r="D4071" s="1"/>
      <c r="E4071" s="1"/>
      <c r="F4071" s="1"/>
      <c r="G4071" s="1"/>
      <c r="H4071" s="1"/>
      <c r="I4071" s="1"/>
      <c r="J4071" s="1"/>
    </row>
    <row r="4072" ht="15.75" customHeight="1">
      <c r="A4072" s="1"/>
      <c r="B4072" s="1"/>
      <c r="C4072" s="1"/>
      <c r="D4072" s="1"/>
      <c r="E4072" s="1"/>
      <c r="F4072" s="1"/>
      <c r="G4072" s="1"/>
      <c r="H4072" s="1"/>
      <c r="I4072" s="1"/>
      <c r="J4072" s="1"/>
    </row>
    <row r="4073" ht="15.75" customHeight="1">
      <c r="A4073" s="1"/>
      <c r="B4073" s="1"/>
      <c r="C4073" s="1"/>
      <c r="D4073" s="1"/>
      <c r="E4073" s="1"/>
      <c r="F4073" s="1"/>
      <c r="G4073" s="1"/>
      <c r="H4073" s="1"/>
      <c r="I4073" s="1"/>
      <c r="J4073" s="1"/>
    </row>
    <row r="4074" ht="15.75" customHeight="1">
      <c r="A4074" s="1"/>
      <c r="B4074" s="1"/>
      <c r="C4074" s="1"/>
      <c r="D4074" s="1"/>
      <c r="E4074" s="1"/>
      <c r="F4074" s="1"/>
      <c r="G4074" s="1"/>
      <c r="H4074" s="1"/>
      <c r="I4074" s="1"/>
      <c r="J4074" s="1"/>
    </row>
    <row r="4075" ht="15.75" customHeight="1">
      <c r="A4075" s="1"/>
      <c r="B4075" s="1"/>
      <c r="C4075" s="1"/>
      <c r="D4075" s="1"/>
      <c r="E4075" s="1"/>
      <c r="F4075" s="1"/>
      <c r="G4075" s="1"/>
      <c r="H4075" s="1"/>
      <c r="I4075" s="1"/>
      <c r="J4075" s="1"/>
    </row>
    <row r="4076" ht="15.75" customHeight="1">
      <c r="A4076" s="1"/>
      <c r="B4076" s="1"/>
      <c r="C4076" s="1"/>
      <c r="D4076" s="1"/>
      <c r="E4076" s="1"/>
      <c r="F4076" s="1"/>
      <c r="G4076" s="1"/>
      <c r="H4076" s="1"/>
      <c r="I4076" s="1"/>
      <c r="J4076" s="1"/>
    </row>
    <row r="4077" ht="15.75" customHeight="1">
      <c r="A4077" s="1"/>
      <c r="B4077" s="1"/>
      <c r="C4077" s="1"/>
      <c r="D4077" s="1"/>
      <c r="E4077" s="1"/>
      <c r="F4077" s="1"/>
      <c r="G4077" s="1"/>
      <c r="H4077" s="1"/>
      <c r="I4077" s="1"/>
      <c r="J4077" s="1"/>
    </row>
    <row r="4078" ht="15.75" customHeight="1">
      <c r="A4078" s="1"/>
      <c r="B4078" s="1"/>
      <c r="C4078" s="1"/>
      <c r="D4078" s="1"/>
      <c r="E4078" s="1"/>
      <c r="F4078" s="1"/>
      <c r="G4078" s="1"/>
      <c r="H4078" s="1"/>
      <c r="I4078" s="1"/>
      <c r="J4078" s="1"/>
    </row>
    <row r="4079" ht="15.75" customHeight="1">
      <c r="A4079" s="1"/>
      <c r="B4079" s="1"/>
      <c r="C4079" s="1"/>
      <c r="D4079" s="1"/>
      <c r="E4079" s="1"/>
      <c r="F4079" s="1"/>
      <c r="G4079" s="1"/>
      <c r="H4079" s="1"/>
      <c r="I4079" s="1"/>
      <c r="J4079" s="1"/>
    </row>
    <row r="4080" ht="15.75" customHeight="1">
      <c r="A4080" s="1"/>
      <c r="B4080" s="1"/>
      <c r="C4080" s="1"/>
      <c r="D4080" s="1"/>
      <c r="E4080" s="1"/>
      <c r="F4080" s="1"/>
      <c r="G4080" s="1"/>
      <c r="H4080" s="1"/>
      <c r="I4080" s="1"/>
      <c r="J4080" s="1"/>
    </row>
    <row r="4081" ht="15.75" customHeight="1">
      <c r="A4081" s="1"/>
      <c r="B4081" s="1"/>
      <c r="C4081" s="1"/>
      <c r="D4081" s="1"/>
      <c r="E4081" s="1"/>
      <c r="F4081" s="1"/>
      <c r="G4081" s="1"/>
      <c r="H4081" s="1"/>
      <c r="I4081" s="1"/>
      <c r="J4081" s="1"/>
    </row>
    <row r="4082" ht="15.75" customHeight="1">
      <c r="A4082" s="1"/>
      <c r="B4082" s="1"/>
      <c r="C4082" s="1"/>
      <c r="D4082" s="1"/>
      <c r="E4082" s="1"/>
      <c r="F4082" s="1"/>
      <c r="G4082" s="1"/>
      <c r="H4082" s="1"/>
      <c r="I4082" s="1"/>
      <c r="J4082" s="1"/>
    </row>
    <row r="4083" ht="15.75" customHeight="1">
      <c r="A4083" s="1"/>
      <c r="B4083" s="1"/>
      <c r="C4083" s="1"/>
      <c r="D4083" s="1"/>
      <c r="E4083" s="1"/>
      <c r="F4083" s="1"/>
      <c r="G4083" s="1"/>
      <c r="H4083" s="1"/>
      <c r="I4083" s="1"/>
      <c r="J4083" s="1"/>
    </row>
    <row r="4084" ht="15.75" customHeight="1">
      <c r="A4084" s="1"/>
      <c r="B4084" s="1"/>
      <c r="C4084" s="1"/>
      <c r="D4084" s="1"/>
      <c r="E4084" s="1"/>
      <c r="F4084" s="1"/>
      <c r="G4084" s="1"/>
      <c r="H4084" s="1"/>
      <c r="I4084" s="1"/>
      <c r="J4084" s="1"/>
    </row>
    <row r="4085" ht="15.75" customHeight="1">
      <c r="A4085" s="1"/>
      <c r="B4085" s="1"/>
      <c r="C4085" s="1"/>
      <c r="D4085" s="1"/>
      <c r="E4085" s="1"/>
      <c r="F4085" s="1"/>
      <c r="G4085" s="1"/>
      <c r="H4085" s="1"/>
      <c r="I4085" s="1"/>
      <c r="J4085" s="1"/>
    </row>
    <row r="4086" ht="15.75" customHeight="1">
      <c r="A4086" s="1"/>
      <c r="B4086" s="1"/>
      <c r="C4086" s="1"/>
      <c r="D4086" s="1"/>
      <c r="E4086" s="1"/>
      <c r="F4086" s="1"/>
      <c r="G4086" s="1"/>
      <c r="H4086" s="1"/>
      <c r="I4086" s="1"/>
      <c r="J4086" s="1"/>
    </row>
    <row r="4087" ht="15.75" customHeight="1">
      <c r="A4087" s="1"/>
      <c r="B4087" s="1"/>
      <c r="C4087" s="1"/>
      <c r="D4087" s="1"/>
      <c r="E4087" s="1"/>
      <c r="F4087" s="1"/>
      <c r="G4087" s="1"/>
      <c r="H4087" s="1"/>
      <c r="I4087" s="1"/>
      <c r="J4087" s="1"/>
    </row>
    <row r="4088" ht="15.75" customHeight="1">
      <c r="A4088" s="1"/>
      <c r="B4088" s="1"/>
      <c r="C4088" s="1"/>
      <c r="D4088" s="1"/>
      <c r="E4088" s="1"/>
      <c r="F4088" s="1"/>
      <c r="G4088" s="1"/>
      <c r="H4088" s="1"/>
      <c r="I4088" s="1"/>
      <c r="J4088" s="1"/>
    </row>
    <row r="4089" ht="15.75" customHeight="1">
      <c r="A4089" s="1"/>
      <c r="B4089" s="1"/>
      <c r="C4089" s="1"/>
      <c r="D4089" s="1"/>
      <c r="E4089" s="1"/>
      <c r="F4089" s="1"/>
      <c r="G4089" s="1"/>
      <c r="H4089" s="1"/>
      <c r="I4089" s="1"/>
      <c r="J4089" s="1"/>
    </row>
    <row r="4090" ht="15.75" customHeight="1">
      <c r="A4090" s="1"/>
      <c r="B4090" s="1"/>
      <c r="C4090" s="1"/>
      <c r="D4090" s="1"/>
      <c r="E4090" s="1"/>
      <c r="F4090" s="1"/>
      <c r="G4090" s="1"/>
      <c r="H4090" s="1"/>
      <c r="I4090" s="1"/>
      <c r="J4090" s="1"/>
    </row>
    <row r="4091" ht="15.75" customHeight="1">
      <c r="A4091" s="1"/>
      <c r="B4091" s="1"/>
      <c r="C4091" s="1"/>
      <c r="D4091" s="1"/>
      <c r="E4091" s="1"/>
      <c r="F4091" s="1"/>
      <c r="G4091" s="1"/>
      <c r="H4091" s="1"/>
      <c r="I4091" s="1"/>
      <c r="J4091" s="1"/>
    </row>
    <row r="4092" ht="15.75" customHeight="1">
      <c r="A4092" s="1"/>
      <c r="B4092" s="1"/>
      <c r="C4092" s="1"/>
      <c r="D4092" s="1"/>
      <c r="E4092" s="1"/>
      <c r="F4092" s="1"/>
      <c r="G4092" s="1"/>
      <c r="H4092" s="1"/>
      <c r="I4092" s="1"/>
      <c r="J4092" s="1"/>
    </row>
    <row r="4093" ht="15.75" customHeight="1">
      <c r="A4093" s="1"/>
      <c r="B4093" s="1"/>
      <c r="C4093" s="1"/>
      <c r="D4093" s="1"/>
      <c r="E4093" s="1"/>
      <c r="F4093" s="1"/>
      <c r="G4093" s="1"/>
      <c r="H4093" s="1"/>
      <c r="I4093" s="1"/>
      <c r="J4093" s="1"/>
    </row>
    <row r="4094" ht="15.75" customHeight="1">
      <c r="A4094" s="1"/>
      <c r="B4094" s="1"/>
      <c r="C4094" s="1"/>
      <c r="D4094" s="1"/>
      <c r="E4094" s="1"/>
      <c r="F4094" s="1"/>
      <c r="G4094" s="1"/>
      <c r="H4094" s="1"/>
      <c r="I4094" s="1"/>
      <c r="J4094" s="1"/>
    </row>
    <row r="4095" ht="15.75" customHeight="1">
      <c r="A4095" s="1"/>
      <c r="B4095" s="1"/>
      <c r="C4095" s="1"/>
      <c r="D4095" s="1"/>
      <c r="E4095" s="1"/>
      <c r="F4095" s="1"/>
      <c r="G4095" s="1"/>
      <c r="H4095" s="1"/>
      <c r="I4095" s="1"/>
      <c r="J4095" s="1"/>
    </row>
    <row r="4096" ht="15.75" customHeight="1">
      <c r="A4096" s="1"/>
      <c r="B4096" s="1"/>
      <c r="C4096" s="1"/>
      <c r="D4096" s="1"/>
      <c r="E4096" s="1"/>
      <c r="F4096" s="1"/>
      <c r="G4096" s="1"/>
      <c r="H4096" s="1"/>
      <c r="I4096" s="1"/>
      <c r="J4096" s="1"/>
    </row>
    <row r="4097" ht="15.75" customHeight="1">
      <c r="A4097" s="1"/>
      <c r="B4097" s="1"/>
      <c r="C4097" s="1"/>
      <c r="D4097" s="1"/>
      <c r="E4097" s="1"/>
      <c r="F4097" s="1"/>
      <c r="G4097" s="1"/>
      <c r="H4097" s="1"/>
      <c r="I4097" s="1"/>
      <c r="J4097" s="1"/>
    </row>
    <row r="4098" ht="15.75" customHeight="1">
      <c r="A4098" s="1"/>
      <c r="B4098" s="1"/>
      <c r="C4098" s="1"/>
      <c r="D4098" s="1"/>
      <c r="E4098" s="1"/>
      <c r="F4098" s="1"/>
      <c r="G4098" s="1"/>
      <c r="H4098" s="1"/>
      <c r="I4098" s="1"/>
      <c r="J4098" s="1"/>
    </row>
    <row r="4099" ht="15.75" customHeight="1">
      <c r="A4099" s="1"/>
      <c r="B4099" s="1"/>
      <c r="C4099" s="1"/>
      <c r="D4099" s="1"/>
      <c r="E4099" s="1"/>
      <c r="F4099" s="1"/>
      <c r="G4099" s="1"/>
      <c r="H4099" s="1"/>
      <c r="I4099" s="1"/>
      <c r="J4099" s="1"/>
    </row>
    <row r="4100" ht="15.75" customHeight="1">
      <c r="A4100" s="1"/>
      <c r="B4100" s="1"/>
      <c r="C4100" s="1"/>
      <c r="D4100" s="1"/>
      <c r="E4100" s="1"/>
      <c r="F4100" s="1"/>
      <c r="G4100" s="1"/>
      <c r="H4100" s="1"/>
      <c r="I4100" s="1"/>
      <c r="J4100" s="1"/>
    </row>
    <row r="4101" ht="15.75" customHeight="1">
      <c r="A4101" s="1"/>
      <c r="B4101" s="1"/>
      <c r="C4101" s="1"/>
      <c r="D4101" s="1"/>
      <c r="E4101" s="1"/>
      <c r="F4101" s="1"/>
      <c r="G4101" s="1"/>
      <c r="H4101" s="1"/>
      <c r="I4101" s="1"/>
      <c r="J4101" s="1"/>
    </row>
    <row r="4102" ht="15.75" customHeight="1">
      <c r="A4102" s="1"/>
      <c r="B4102" s="1"/>
      <c r="C4102" s="1"/>
      <c r="D4102" s="1"/>
      <c r="E4102" s="1"/>
      <c r="F4102" s="1"/>
      <c r="G4102" s="1"/>
      <c r="H4102" s="1"/>
      <c r="I4102" s="1"/>
      <c r="J4102" s="1"/>
    </row>
    <row r="4103" ht="15.75" customHeight="1">
      <c r="A4103" s="1"/>
      <c r="B4103" s="1"/>
      <c r="C4103" s="1"/>
      <c r="D4103" s="1"/>
      <c r="E4103" s="1"/>
      <c r="F4103" s="1"/>
      <c r="G4103" s="1"/>
      <c r="H4103" s="1"/>
      <c r="I4103" s="1"/>
      <c r="J4103" s="1"/>
    </row>
    <row r="4104" ht="15.75" customHeight="1">
      <c r="A4104" s="1"/>
      <c r="B4104" s="1"/>
      <c r="C4104" s="1"/>
      <c r="D4104" s="1"/>
      <c r="E4104" s="1"/>
      <c r="F4104" s="1"/>
      <c r="G4104" s="1"/>
      <c r="H4104" s="1"/>
      <c r="I4104" s="1"/>
      <c r="J4104" s="1"/>
    </row>
    <row r="4105" ht="15.75" customHeight="1">
      <c r="A4105" s="1"/>
      <c r="B4105" s="1"/>
      <c r="C4105" s="1"/>
      <c r="D4105" s="1"/>
      <c r="E4105" s="1"/>
      <c r="F4105" s="1"/>
      <c r="G4105" s="1"/>
      <c r="H4105" s="1"/>
      <c r="I4105" s="1"/>
      <c r="J4105" s="1"/>
    </row>
    <row r="4106" ht="15.75" customHeight="1">
      <c r="A4106" s="1"/>
      <c r="B4106" s="1"/>
      <c r="C4106" s="1"/>
      <c r="D4106" s="1"/>
      <c r="E4106" s="1"/>
      <c r="F4106" s="1"/>
      <c r="G4106" s="1"/>
      <c r="H4106" s="1"/>
      <c r="I4106" s="1"/>
      <c r="J4106" s="1"/>
    </row>
    <row r="4107" ht="15.75" customHeight="1">
      <c r="A4107" s="1"/>
      <c r="B4107" s="1"/>
      <c r="C4107" s="1"/>
      <c r="D4107" s="1"/>
      <c r="E4107" s="1"/>
      <c r="F4107" s="1"/>
      <c r="G4107" s="1"/>
      <c r="H4107" s="1"/>
      <c r="I4107" s="1"/>
      <c r="J4107" s="1"/>
    </row>
    <row r="4108" ht="15.75" customHeight="1">
      <c r="A4108" s="1"/>
      <c r="B4108" s="1"/>
      <c r="C4108" s="1"/>
      <c r="D4108" s="1"/>
      <c r="E4108" s="1"/>
      <c r="F4108" s="1"/>
      <c r="G4108" s="1"/>
      <c r="H4108" s="1"/>
      <c r="I4108" s="1"/>
      <c r="J4108" s="1"/>
    </row>
    <row r="4109" ht="15.75" customHeight="1">
      <c r="A4109" s="1"/>
      <c r="B4109" s="1"/>
      <c r="C4109" s="1"/>
      <c r="D4109" s="1"/>
      <c r="E4109" s="1"/>
      <c r="F4109" s="1"/>
      <c r="G4109" s="1"/>
      <c r="H4109" s="1"/>
      <c r="I4109" s="1"/>
      <c r="J4109" s="1"/>
    </row>
    <row r="4110" ht="15.75" customHeight="1">
      <c r="A4110" s="1"/>
      <c r="B4110" s="1"/>
      <c r="C4110" s="1"/>
      <c r="D4110" s="1"/>
      <c r="E4110" s="1"/>
      <c r="F4110" s="1"/>
      <c r="G4110" s="1"/>
      <c r="H4110" s="1"/>
      <c r="I4110" s="1"/>
      <c r="J4110" s="1"/>
    </row>
    <row r="4111" ht="15.75" customHeight="1">
      <c r="A4111" s="1"/>
      <c r="B4111" s="1"/>
      <c r="C4111" s="1"/>
      <c r="D4111" s="1"/>
      <c r="E4111" s="1"/>
      <c r="F4111" s="1"/>
      <c r="G4111" s="1"/>
      <c r="H4111" s="1"/>
      <c r="I4111" s="1"/>
      <c r="J4111" s="1"/>
    </row>
    <row r="4112" ht="15.75" customHeight="1">
      <c r="A4112" s="1"/>
      <c r="B4112" s="1"/>
      <c r="C4112" s="1"/>
      <c r="D4112" s="1"/>
      <c r="E4112" s="1"/>
      <c r="F4112" s="1"/>
      <c r="G4112" s="1"/>
      <c r="H4112" s="1"/>
      <c r="I4112" s="1"/>
      <c r="J4112" s="1"/>
    </row>
    <row r="4113" ht="15.75" customHeight="1">
      <c r="A4113" s="1"/>
      <c r="B4113" s="1"/>
      <c r="C4113" s="1"/>
      <c r="D4113" s="1"/>
      <c r="E4113" s="1"/>
      <c r="F4113" s="1"/>
      <c r="G4113" s="1"/>
      <c r="H4113" s="1"/>
      <c r="I4113" s="1"/>
      <c r="J4113" s="1"/>
    </row>
    <row r="4114" ht="15.75" customHeight="1">
      <c r="A4114" s="1"/>
      <c r="B4114" s="1"/>
      <c r="C4114" s="1"/>
      <c r="D4114" s="1"/>
      <c r="E4114" s="1"/>
      <c r="F4114" s="1"/>
      <c r="G4114" s="1"/>
      <c r="H4114" s="1"/>
      <c r="I4114" s="1"/>
      <c r="J4114" s="1"/>
    </row>
    <row r="4115" ht="15.75" customHeight="1">
      <c r="A4115" s="1"/>
      <c r="B4115" s="1"/>
      <c r="C4115" s="1"/>
      <c r="D4115" s="1"/>
      <c r="E4115" s="1"/>
      <c r="F4115" s="1"/>
      <c r="G4115" s="1"/>
      <c r="H4115" s="1"/>
      <c r="I4115" s="1"/>
      <c r="J4115" s="1"/>
    </row>
    <row r="4116" ht="15.75" customHeight="1">
      <c r="A4116" s="1"/>
      <c r="B4116" s="1"/>
      <c r="C4116" s="1"/>
      <c r="D4116" s="1"/>
      <c r="E4116" s="1"/>
      <c r="F4116" s="1"/>
      <c r="G4116" s="1"/>
      <c r="H4116" s="1"/>
      <c r="I4116" s="1"/>
      <c r="J4116" s="1"/>
    </row>
    <row r="4117" ht="15.75" customHeight="1">
      <c r="A4117" s="1"/>
      <c r="B4117" s="1"/>
      <c r="C4117" s="1"/>
      <c r="D4117" s="1"/>
      <c r="E4117" s="1"/>
      <c r="F4117" s="1"/>
      <c r="G4117" s="1"/>
      <c r="H4117" s="1"/>
      <c r="I4117" s="1"/>
      <c r="J4117" s="1"/>
    </row>
    <row r="4118" ht="15.75" customHeight="1">
      <c r="A4118" s="1"/>
      <c r="B4118" s="1"/>
      <c r="C4118" s="1"/>
      <c r="D4118" s="1"/>
      <c r="E4118" s="1"/>
      <c r="F4118" s="1"/>
      <c r="G4118" s="1"/>
      <c r="H4118" s="1"/>
      <c r="I4118" s="1"/>
      <c r="J4118" s="1"/>
    </row>
    <row r="4119" ht="15.75" customHeight="1">
      <c r="A4119" s="1"/>
      <c r="B4119" s="1"/>
      <c r="C4119" s="1"/>
      <c r="D4119" s="1"/>
      <c r="E4119" s="1"/>
      <c r="F4119" s="1"/>
      <c r="G4119" s="1"/>
      <c r="H4119" s="1"/>
      <c r="I4119" s="1"/>
      <c r="J4119" s="1"/>
    </row>
    <row r="4120" ht="15.75" customHeight="1">
      <c r="A4120" s="1"/>
      <c r="B4120" s="1"/>
      <c r="C4120" s="1"/>
      <c r="D4120" s="1"/>
      <c r="E4120" s="1"/>
      <c r="F4120" s="1"/>
      <c r="G4120" s="1"/>
      <c r="H4120" s="1"/>
      <c r="I4120" s="1"/>
      <c r="J4120" s="1"/>
    </row>
    <row r="4121" ht="15.75" customHeight="1">
      <c r="A4121" s="1"/>
      <c r="B4121" s="1"/>
      <c r="C4121" s="1"/>
      <c r="D4121" s="1"/>
      <c r="E4121" s="1"/>
      <c r="F4121" s="1"/>
      <c r="G4121" s="1"/>
      <c r="H4121" s="1"/>
      <c r="I4121" s="1"/>
      <c r="J4121" s="1"/>
    </row>
    <row r="4122" ht="15.75" customHeight="1">
      <c r="A4122" s="1"/>
      <c r="B4122" s="1"/>
      <c r="C4122" s="1"/>
      <c r="D4122" s="1"/>
      <c r="E4122" s="1"/>
      <c r="F4122" s="1"/>
      <c r="G4122" s="1"/>
      <c r="H4122" s="1"/>
      <c r="I4122" s="1"/>
      <c r="J4122" s="1"/>
    </row>
    <row r="4123" ht="15.75" customHeight="1">
      <c r="A4123" s="1"/>
      <c r="B4123" s="1"/>
      <c r="C4123" s="1"/>
      <c r="D4123" s="1"/>
      <c r="E4123" s="1"/>
      <c r="F4123" s="1"/>
      <c r="G4123" s="1"/>
      <c r="H4123" s="1"/>
      <c r="I4123" s="1"/>
      <c r="J4123" s="1"/>
    </row>
    <row r="4124" ht="15.75" customHeight="1">
      <c r="A4124" s="1"/>
      <c r="B4124" s="1"/>
      <c r="C4124" s="1"/>
      <c r="D4124" s="1"/>
      <c r="E4124" s="1"/>
      <c r="F4124" s="1"/>
      <c r="G4124" s="1"/>
      <c r="H4124" s="1"/>
      <c r="I4124" s="1"/>
      <c r="J4124" s="1"/>
    </row>
    <row r="4125" ht="15.75" customHeight="1">
      <c r="A4125" s="1"/>
      <c r="B4125" s="1"/>
      <c r="C4125" s="1"/>
      <c r="D4125" s="1"/>
      <c r="E4125" s="1"/>
      <c r="F4125" s="1"/>
      <c r="G4125" s="1"/>
      <c r="H4125" s="1"/>
      <c r="I4125" s="1"/>
      <c r="J4125" s="1"/>
    </row>
    <row r="4126" ht="15.75" customHeight="1">
      <c r="A4126" s="1"/>
      <c r="B4126" s="1"/>
      <c r="C4126" s="1"/>
      <c r="D4126" s="1"/>
      <c r="E4126" s="1"/>
      <c r="F4126" s="1"/>
      <c r="G4126" s="1"/>
      <c r="H4126" s="1"/>
      <c r="I4126" s="1"/>
      <c r="J4126" s="1"/>
    </row>
    <row r="4127" ht="15.75" customHeight="1">
      <c r="A4127" s="1"/>
      <c r="B4127" s="1"/>
      <c r="C4127" s="1"/>
      <c r="D4127" s="1"/>
      <c r="E4127" s="1"/>
      <c r="F4127" s="1"/>
      <c r="G4127" s="1"/>
      <c r="H4127" s="1"/>
      <c r="I4127" s="1"/>
      <c r="J4127" s="1"/>
    </row>
    <row r="4128" ht="15.75" customHeight="1">
      <c r="A4128" s="1"/>
      <c r="B4128" s="1"/>
      <c r="C4128" s="1"/>
      <c r="D4128" s="1"/>
      <c r="E4128" s="1"/>
      <c r="F4128" s="1"/>
      <c r="G4128" s="1"/>
      <c r="H4128" s="1"/>
      <c r="I4128" s="1"/>
      <c r="J4128" s="1"/>
    </row>
    <row r="4129" ht="15.75" customHeight="1">
      <c r="A4129" s="1"/>
      <c r="B4129" s="1"/>
      <c r="C4129" s="1"/>
      <c r="D4129" s="1"/>
      <c r="E4129" s="1"/>
      <c r="F4129" s="1"/>
      <c r="G4129" s="1"/>
      <c r="H4129" s="1"/>
      <c r="I4129" s="1"/>
      <c r="J4129" s="1"/>
    </row>
    <row r="4130" ht="15.75" customHeight="1">
      <c r="A4130" s="1"/>
      <c r="B4130" s="1"/>
      <c r="C4130" s="1"/>
      <c r="D4130" s="1"/>
      <c r="E4130" s="1"/>
      <c r="F4130" s="1"/>
      <c r="G4130" s="1"/>
      <c r="H4130" s="1"/>
      <c r="I4130" s="1"/>
      <c r="J4130" s="1"/>
    </row>
    <row r="4131" ht="15.75" customHeight="1">
      <c r="A4131" s="1"/>
      <c r="B4131" s="1"/>
      <c r="C4131" s="1"/>
      <c r="D4131" s="1"/>
      <c r="E4131" s="1"/>
      <c r="F4131" s="1"/>
      <c r="G4131" s="1"/>
      <c r="H4131" s="1"/>
      <c r="I4131" s="1"/>
      <c r="J4131" s="1"/>
    </row>
    <row r="4132" ht="15.75" customHeight="1">
      <c r="A4132" s="1"/>
      <c r="B4132" s="1"/>
      <c r="C4132" s="1"/>
      <c r="D4132" s="1"/>
      <c r="E4132" s="1"/>
      <c r="F4132" s="1"/>
      <c r="G4132" s="1"/>
      <c r="H4132" s="1"/>
      <c r="I4132" s="1"/>
      <c r="J4132" s="1"/>
    </row>
    <row r="4133" ht="15.75" customHeight="1">
      <c r="A4133" s="1"/>
      <c r="B4133" s="1"/>
      <c r="C4133" s="1"/>
      <c r="D4133" s="1"/>
      <c r="E4133" s="1"/>
      <c r="F4133" s="1"/>
      <c r="G4133" s="1"/>
      <c r="H4133" s="1"/>
      <c r="I4133" s="1"/>
      <c r="J4133" s="1"/>
    </row>
    <row r="4134" ht="15.75" customHeight="1">
      <c r="A4134" s="1"/>
      <c r="B4134" s="1"/>
      <c r="C4134" s="1"/>
      <c r="D4134" s="1"/>
      <c r="E4134" s="1"/>
      <c r="F4134" s="1"/>
      <c r="G4134" s="1"/>
      <c r="H4134" s="1"/>
      <c r="I4134" s="1"/>
      <c r="J4134" s="1"/>
    </row>
    <row r="4135" ht="15.75" customHeight="1">
      <c r="A4135" s="1"/>
      <c r="B4135" s="1"/>
      <c r="C4135" s="1"/>
      <c r="D4135" s="1"/>
      <c r="E4135" s="1"/>
      <c r="F4135" s="1"/>
      <c r="G4135" s="1"/>
      <c r="H4135" s="1"/>
      <c r="I4135" s="1"/>
      <c r="J4135" s="1"/>
    </row>
    <row r="4136" ht="15.75" customHeight="1">
      <c r="A4136" s="1"/>
      <c r="B4136" s="1"/>
      <c r="C4136" s="1"/>
      <c r="D4136" s="1"/>
      <c r="E4136" s="1"/>
      <c r="F4136" s="1"/>
      <c r="G4136" s="1"/>
      <c r="H4136" s="1"/>
      <c r="I4136" s="1"/>
      <c r="J4136" s="1"/>
    </row>
    <row r="4137" ht="15.75" customHeight="1">
      <c r="A4137" s="1"/>
      <c r="B4137" s="1"/>
      <c r="C4137" s="1"/>
      <c r="D4137" s="1"/>
      <c r="E4137" s="1"/>
      <c r="F4137" s="1"/>
      <c r="G4137" s="1"/>
      <c r="H4137" s="1"/>
      <c r="I4137" s="1"/>
      <c r="J4137" s="1"/>
    </row>
    <row r="4138" ht="15.75" customHeight="1">
      <c r="A4138" s="1"/>
      <c r="B4138" s="1"/>
      <c r="C4138" s="1"/>
      <c r="D4138" s="1"/>
      <c r="E4138" s="1"/>
      <c r="F4138" s="1"/>
      <c r="G4138" s="1"/>
      <c r="H4138" s="1"/>
      <c r="I4138" s="1"/>
      <c r="J4138" s="1"/>
    </row>
    <row r="4139" ht="15.75" customHeight="1">
      <c r="A4139" s="1"/>
      <c r="B4139" s="1"/>
      <c r="C4139" s="1"/>
      <c r="D4139" s="1"/>
      <c r="E4139" s="1"/>
      <c r="F4139" s="1"/>
      <c r="G4139" s="1"/>
      <c r="H4139" s="1"/>
      <c r="I4139" s="1"/>
      <c r="J4139" s="1"/>
    </row>
    <row r="4140" ht="15.75" customHeight="1">
      <c r="A4140" s="1"/>
      <c r="B4140" s="1"/>
      <c r="C4140" s="1"/>
      <c r="D4140" s="1"/>
      <c r="E4140" s="1"/>
      <c r="F4140" s="1"/>
      <c r="G4140" s="1"/>
      <c r="H4140" s="1"/>
      <c r="I4140" s="1"/>
      <c r="J4140" s="1"/>
    </row>
    <row r="4141" ht="15.75" customHeight="1">
      <c r="A4141" s="1"/>
      <c r="B4141" s="1"/>
      <c r="C4141" s="1"/>
      <c r="D4141" s="1"/>
      <c r="E4141" s="1"/>
      <c r="F4141" s="1"/>
      <c r="G4141" s="1"/>
      <c r="H4141" s="1"/>
      <c r="I4141" s="1"/>
      <c r="J4141" s="1"/>
    </row>
    <row r="4142" ht="15.75" customHeight="1">
      <c r="A4142" s="1"/>
      <c r="B4142" s="1"/>
      <c r="C4142" s="1"/>
      <c r="D4142" s="1"/>
      <c r="E4142" s="1"/>
      <c r="F4142" s="1"/>
      <c r="G4142" s="1"/>
      <c r="H4142" s="1"/>
      <c r="I4142" s="1"/>
      <c r="J4142" s="1"/>
    </row>
    <row r="4143" ht="15.75" customHeight="1">
      <c r="A4143" s="1"/>
      <c r="B4143" s="1"/>
      <c r="C4143" s="1"/>
      <c r="D4143" s="1"/>
      <c r="E4143" s="1"/>
      <c r="F4143" s="1"/>
      <c r="G4143" s="1"/>
      <c r="H4143" s="1"/>
      <c r="I4143" s="1"/>
      <c r="J4143" s="1"/>
    </row>
    <row r="4144" ht="15.75" customHeight="1">
      <c r="A4144" s="1"/>
      <c r="B4144" s="1"/>
      <c r="C4144" s="1"/>
      <c r="D4144" s="1"/>
      <c r="E4144" s="1"/>
      <c r="F4144" s="1"/>
      <c r="G4144" s="1"/>
      <c r="H4144" s="1"/>
      <c r="I4144" s="1"/>
      <c r="J4144" s="1"/>
    </row>
    <row r="4145" ht="15.75" customHeight="1">
      <c r="A4145" s="1"/>
      <c r="B4145" s="1"/>
      <c r="C4145" s="1"/>
      <c r="D4145" s="1"/>
      <c r="E4145" s="1"/>
      <c r="F4145" s="1"/>
      <c r="G4145" s="1"/>
      <c r="H4145" s="1"/>
      <c r="I4145" s="1"/>
      <c r="J4145" s="1"/>
    </row>
    <row r="4146" ht="15.75" customHeight="1">
      <c r="A4146" s="1"/>
      <c r="B4146" s="1"/>
      <c r="C4146" s="1"/>
      <c r="D4146" s="1"/>
      <c r="E4146" s="1"/>
      <c r="F4146" s="1"/>
      <c r="G4146" s="1"/>
      <c r="H4146" s="1"/>
      <c r="I4146" s="1"/>
      <c r="J4146" s="1"/>
    </row>
    <row r="4147" ht="15.75" customHeight="1">
      <c r="A4147" s="1"/>
      <c r="B4147" s="1"/>
      <c r="C4147" s="1"/>
      <c r="D4147" s="1"/>
      <c r="E4147" s="1"/>
      <c r="F4147" s="1"/>
      <c r="G4147" s="1"/>
      <c r="H4147" s="1"/>
      <c r="I4147" s="1"/>
      <c r="J4147" s="1"/>
    </row>
    <row r="4148" ht="15.75" customHeight="1">
      <c r="A4148" s="1"/>
      <c r="B4148" s="1"/>
      <c r="C4148" s="1"/>
      <c r="D4148" s="1"/>
      <c r="E4148" s="1"/>
      <c r="F4148" s="1"/>
      <c r="G4148" s="1"/>
      <c r="H4148" s="1"/>
      <c r="I4148" s="1"/>
      <c r="J4148" s="1"/>
    </row>
    <row r="4149" ht="15.75" customHeight="1">
      <c r="A4149" s="1"/>
      <c r="B4149" s="1"/>
      <c r="C4149" s="1"/>
      <c r="D4149" s="1"/>
      <c r="E4149" s="1"/>
      <c r="F4149" s="1"/>
      <c r="G4149" s="1"/>
      <c r="H4149" s="1"/>
      <c r="I4149" s="1"/>
      <c r="J4149" s="1"/>
    </row>
    <row r="4150" ht="15.75" customHeight="1">
      <c r="A4150" s="1"/>
      <c r="B4150" s="1"/>
      <c r="C4150" s="1"/>
      <c r="D4150" s="1"/>
      <c r="E4150" s="1"/>
      <c r="F4150" s="1"/>
      <c r="G4150" s="1"/>
      <c r="H4150" s="1"/>
      <c r="I4150" s="1"/>
      <c r="J4150" s="1"/>
    </row>
    <row r="4151" ht="15.75" customHeight="1">
      <c r="A4151" s="1"/>
      <c r="B4151" s="1"/>
      <c r="C4151" s="1"/>
      <c r="D4151" s="1"/>
      <c r="E4151" s="1"/>
      <c r="F4151" s="1"/>
      <c r="G4151" s="1"/>
      <c r="H4151" s="1"/>
      <c r="I4151" s="1"/>
      <c r="J4151" s="1"/>
    </row>
    <row r="4152" ht="15.75" customHeight="1">
      <c r="A4152" s="1"/>
      <c r="B4152" s="1"/>
      <c r="C4152" s="1"/>
      <c r="D4152" s="1"/>
      <c r="E4152" s="1"/>
      <c r="F4152" s="1"/>
      <c r="G4152" s="1"/>
      <c r="H4152" s="1"/>
      <c r="I4152" s="1"/>
      <c r="J4152" s="1"/>
    </row>
    <row r="4153" ht="15.75" customHeight="1">
      <c r="A4153" s="1"/>
      <c r="B4153" s="1"/>
      <c r="C4153" s="1"/>
      <c r="D4153" s="1"/>
      <c r="E4153" s="1"/>
      <c r="F4153" s="1"/>
      <c r="G4153" s="1"/>
      <c r="H4153" s="1"/>
      <c r="I4153" s="1"/>
      <c r="J4153" s="1"/>
    </row>
    <row r="4154" ht="15.75" customHeight="1">
      <c r="A4154" s="1"/>
      <c r="B4154" s="1"/>
      <c r="C4154" s="1"/>
      <c r="D4154" s="1"/>
      <c r="E4154" s="1"/>
      <c r="F4154" s="1"/>
      <c r="G4154" s="1"/>
      <c r="H4154" s="1"/>
      <c r="I4154" s="1"/>
      <c r="J4154" s="1"/>
    </row>
    <row r="4155" ht="15.75" customHeight="1">
      <c r="A4155" s="1"/>
      <c r="B4155" s="1"/>
      <c r="C4155" s="1"/>
      <c r="D4155" s="1"/>
      <c r="E4155" s="1"/>
      <c r="F4155" s="1"/>
      <c r="G4155" s="1"/>
      <c r="H4155" s="1"/>
      <c r="I4155" s="1"/>
      <c r="J4155" s="1"/>
    </row>
    <row r="4156" ht="15.75" customHeight="1">
      <c r="A4156" s="1"/>
      <c r="B4156" s="1"/>
      <c r="C4156" s="1"/>
      <c r="D4156" s="1"/>
      <c r="E4156" s="1"/>
      <c r="F4156" s="1"/>
      <c r="G4156" s="1"/>
      <c r="H4156" s="1"/>
      <c r="I4156" s="1"/>
      <c r="J4156" s="1"/>
    </row>
    <row r="4157" ht="15.75" customHeight="1">
      <c r="A4157" s="1"/>
      <c r="B4157" s="1"/>
      <c r="C4157" s="1"/>
      <c r="D4157" s="1"/>
      <c r="E4157" s="1"/>
      <c r="F4157" s="1"/>
      <c r="G4157" s="1"/>
      <c r="H4157" s="1"/>
      <c r="I4157" s="1"/>
      <c r="J4157" s="1"/>
    </row>
    <row r="4158" ht="15.75" customHeight="1">
      <c r="A4158" s="1"/>
      <c r="B4158" s="1"/>
      <c r="C4158" s="1"/>
      <c r="D4158" s="1"/>
      <c r="E4158" s="1"/>
      <c r="F4158" s="1"/>
      <c r="G4158" s="1"/>
      <c r="H4158" s="1"/>
      <c r="I4158" s="1"/>
      <c r="J4158" s="1"/>
    </row>
    <row r="4159" ht="15.75" customHeight="1">
      <c r="A4159" s="1"/>
      <c r="B4159" s="1"/>
      <c r="C4159" s="1"/>
      <c r="D4159" s="1"/>
      <c r="E4159" s="1"/>
      <c r="F4159" s="1"/>
      <c r="G4159" s="1"/>
      <c r="H4159" s="1"/>
      <c r="I4159" s="1"/>
      <c r="J4159" s="1"/>
    </row>
    <row r="4160" ht="15.75" customHeight="1">
      <c r="A4160" s="1"/>
      <c r="B4160" s="1"/>
      <c r="C4160" s="1"/>
      <c r="D4160" s="1"/>
      <c r="E4160" s="1"/>
      <c r="F4160" s="1"/>
      <c r="G4160" s="1"/>
      <c r="H4160" s="1"/>
      <c r="I4160" s="1"/>
      <c r="J4160" s="1"/>
    </row>
    <row r="4161" ht="15.75" customHeight="1">
      <c r="A4161" s="1"/>
      <c r="B4161" s="1"/>
      <c r="C4161" s="1"/>
      <c r="D4161" s="1"/>
      <c r="E4161" s="1"/>
      <c r="F4161" s="1"/>
      <c r="G4161" s="1"/>
      <c r="H4161" s="1"/>
      <c r="I4161" s="1"/>
      <c r="J4161" s="1"/>
    </row>
    <row r="4162" ht="15.75" customHeight="1">
      <c r="A4162" s="1"/>
      <c r="B4162" s="1"/>
      <c r="C4162" s="1"/>
      <c r="D4162" s="1"/>
      <c r="E4162" s="1"/>
      <c r="F4162" s="1"/>
      <c r="G4162" s="1"/>
      <c r="H4162" s="1"/>
      <c r="I4162" s="1"/>
      <c r="J4162" s="1"/>
    </row>
    <row r="4163" ht="15.75" customHeight="1">
      <c r="A4163" s="1"/>
      <c r="B4163" s="1"/>
      <c r="C4163" s="1"/>
      <c r="D4163" s="1"/>
      <c r="E4163" s="1"/>
      <c r="F4163" s="1"/>
      <c r="G4163" s="1"/>
      <c r="H4163" s="1"/>
      <c r="I4163" s="1"/>
      <c r="J4163" s="1"/>
    </row>
    <row r="4164" ht="15.75" customHeight="1">
      <c r="A4164" s="1"/>
      <c r="B4164" s="1"/>
      <c r="C4164" s="1"/>
      <c r="D4164" s="1"/>
      <c r="E4164" s="1"/>
      <c r="F4164" s="1"/>
      <c r="G4164" s="1"/>
      <c r="H4164" s="1"/>
      <c r="I4164" s="1"/>
      <c r="J4164" s="1"/>
    </row>
    <row r="4165" ht="15.75" customHeight="1">
      <c r="A4165" s="1"/>
      <c r="B4165" s="1"/>
      <c r="C4165" s="1"/>
      <c r="D4165" s="1"/>
      <c r="E4165" s="1"/>
      <c r="F4165" s="1"/>
      <c r="G4165" s="1"/>
      <c r="H4165" s="1"/>
      <c r="I4165" s="1"/>
      <c r="J4165" s="1"/>
    </row>
    <row r="4166" ht="15.75" customHeight="1">
      <c r="A4166" s="1"/>
      <c r="B4166" s="1"/>
      <c r="C4166" s="1"/>
      <c r="D4166" s="1"/>
      <c r="E4166" s="1"/>
      <c r="F4166" s="1"/>
      <c r="G4166" s="1"/>
      <c r="H4166" s="1"/>
      <c r="I4166" s="1"/>
      <c r="J4166" s="1"/>
    </row>
    <row r="4167" ht="15.75" customHeight="1">
      <c r="A4167" s="1"/>
      <c r="B4167" s="1"/>
      <c r="C4167" s="1"/>
      <c r="D4167" s="1"/>
      <c r="E4167" s="1"/>
      <c r="F4167" s="1"/>
      <c r="G4167" s="1"/>
      <c r="H4167" s="1"/>
      <c r="I4167" s="1"/>
      <c r="J4167" s="1"/>
    </row>
    <row r="4168" ht="15.75" customHeight="1">
      <c r="A4168" s="1"/>
      <c r="B4168" s="1"/>
      <c r="C4168" s="1"/>
      <c r="D4168" s="1"/>
      <c r="E4168" s="1"/>
      <c r="F4168" s="1"/>
      <c r="G4168" s="1"/>
      <c r="H4168" s="1"/>
      <c r="I4168" s="1"/>
      <c r="J4168" s="1"/>
    </row>
    <row r="4169" ht="15.75" customHeight="1">
      <c r="A4169" s="1"/>
      <c r="B4169" s="1"/>
      <c r="C4169" s="1"/>
      <c r="D4169" s="1"/>
      <c r="E4169" s="1"/>
      <c r="F4169" s="1"/>
      <c r="G4169" s="1"/>
      <c r="H4169" s="1"/>
      <c r="I4169" s="1"/>
      <c r="J4169" s="1"/>
    </row>
    <row r="4170" ht="15.75" customHeight="1">
      <c r="A4170" s="1"/>
      <c r="B4170" s="1"/>
      <c r="C4170" s="1"/>
      <c r="D4170" s="1"/>
      <c r="E4170" s="1"/>
      <c r="F4170" s="1"/>
      <c r="G4170" s="1"/>
      <c r="H4170" s="1"/>
      <c r="I4170" s="1"/>
      <c r="J4170" s="1"/>
    </row>
    <row r="4171" ht="15.75" customHeight="1">
      <c r="A4171" s="1"/>
      <c r="B4171" s="1"/>
      <c r="C4171" s="1"/>
      <c r="D4171" s="1"/>
      <c r="E4171" s="1"/>
      <c r="F4171" s="1"/>
      <c r="G4171" s="1"/>
      <c r="H4171" s="1"/>
      <c r="I4171" s="1"/>
      <c r="J4171" s="1"/>
    </row>
    <row r="4172" ht="15.75" customHeight="1">
      <c r="A4172" s="1"/>
      <c r="B4172" s="1"/>
      <c r="C4172" s="1"/>
      <c r="D4172" s="1"/>
      <c r="E4172" s="1"/>
      <c r="F4172" s="1"/>
      <c r="G4172" s="1"/>
      <c r="H4172" s="1"/>
      <c r="I4172" s="1"/>
      <c r="J4172" s="1"/>
    </row>
    <row r="4173" ht="15.75" customHeight="1">
      <c r="A4173" s="1"/>
      <c r="B4173" s="1"/>
      <c r="C4173" s="1"/>
      <c r="D4173" s="1"/>
      <c r="E4173" s="1"/>
      <c r="F4173" s="1"/>
      <c r="G4173" s="1"/>
      <c r="H4173" s="1"/>
      <c r="I4173" s="1"/>
      <c r="J4173" s="1"/>
    </row>
    <row r="4174" ht="15.75" customHeight="1">
      <c r="A4174" s="1"/>
      <c r="B4174" s="1"/>
      <c r="C4174" s="1"/>
      <c r="D4174" s="1"/>
      <c r="E4174" s="1"/>
      <c r="F4174" s="1"/>
      <c r="G4174" s="1"/>
      <c r="H4174" s="1"/>
      <c r="I4174" s="1"/>
      <c r="J4174" s="1"/>
    </row>
    <row r="4175" ht="15.75" customHeight="1">
      <c r="A4175" s="1"/>
      <c r="B4175" s="1"/>
      <c r="C4175" s="1"/>
      <c r="D4175" s="1"/>
      <c r="E4175" s="1"/>
      <c r="F4175" s="1"/>
      <c r="G4175" s="1"/>
      <c r="H4175" s="1"/>
      <c r="I4175" s="1"/>
      <c r="J4175" s="1"/>
    </row>
    <row r="4176" ht="15.75" customHeight="1">
      <c r="A4176" s="1"/>
      <c r="B4176" s="1"/>
      <c r="C4176" s="1"/>
      <c r="D4176" s="1"/>
      <c r="E4176" s="1"/>
      <c r="F4176" s="1"/>
      <c r="G4176" s="1"/>
      <c r="H4176" s="1"/>
      <c r="I4176" s="1"/>
      <c r="J4176" s="1"/>
    </row>
    <row r="4177" ht="15.75" customHeight="1">
      <c r="A4177" s="1"/>
      <c r="B4177" s="1"/>
      <c r="C4177" s="1"/>
      <c r="D4177" s="1"/>
      <c r="E4177" s="1"/>
      <c r="F4177" s="1"/>
      <c r="G4177" s="1"/>
      <c r="H4177" s="1"/>
      <c r="I4177" s="1"/>
      <c r="J4177" s="1"/>
    </row>
    <row r="4178" ht="15.75" customHeight="1">
      <c r="A4178" s="1"/>
      <c r="B4178" s="1"/>
      <c r="C4178" s="1"/>
      <c r="D4178" s="1"/>
      <c r="E4178" s="1"/>
      <c r="F4178" s="1"/>
      <c r="G4178" s="1"/>
      <c r="H4178" s="1"/>
      <c r="I4178" s="1"/>
      <c r="J4178" s="1"/>
    </row>
    <row r="4179" ht="15.75" customHeight="1">
      <c r="A4179" s="1"/>
      <c r="B4179" s="1"/>
      <c r="C4179" s="1"/>
      <c r="D4179" s="1"/>
      <c r="E4179" s="1"/>
      <c r="F4179" s="1"/>
      <c r="G4179" s="1"/>
      <c r="H4179" s="1"/>
      <c r="I4179" s="1"/>
      <c r="J4179" s="1"/>
    </row>
    <row r="4180" ht="15.75" customHeight="1">
      <c r="A4180" s="1"/>
      <c r="B4180" s="1"/>
      <c r="C4180" s="1"/>
      <c r="D4180" s="1"/>
      <c r="E4180" s="1"/>
      <c r="F4180" s="1"/>
      <c r="G4180" s="1"/>
      <c r="H4180" s="1"/>
      <c r="I4180" s="1"/>
      <c r="J4180" s="1"/>
    </row>
    <row r="4181" ht="15.75" customHeight="1">
      <c r="A4181" s="1"/>
      <c r="B4181" s="1"/>
      <c r="C4181" s="1"/>
      <c r="D4181" s="1"/>
      <c r="E4181" s="1"/>
      <c r="F4181" s="1"/>
      <c r="G4181" s="1"/>
      <c r="H4181" s="1"/>
      <c r="I4181" s="1"/>
      <c r="J4181" s="1"/>
    </row>
    <row r="4182" ht="15.75" customHeight="1">
      <c r="A4182" s="1"/>
      <c r="B4182" s="1"/>
      <c r="C4182" s="1"/>
      <c r="D4182" s="1"/>
      <c r="E4182" s="1"/>
      <c r="F4182" s="1"/>
      <c r="G4182" s="1"/>
      <c r="H4182" s="1"/>
      <c r="I4182" s="1"/>
      <c r="J4182" s="1"/>
    </row>
    <row r="4183" ht="15.75" customHeight="1">
      <c r="A4183" s="1"/>
      <c r="B4183" s="1"/>
      <c r="C4183" s="1"/>
      <c r="D4183" s="1"/>
      <c r="E4183" s="1"/>
      <c r="F4183" s="1"/>
      <c r="G4183" s="1"/>
      <c r="H4183" s="1"/>
      <c r="I4183" s="1"/>
      <c r="J4183" s="1"/>
    </row>
    <row r="4184" ht="15.75" customHeight="1">
      <c r="A4184" s="1"/>
      <c r="B4184" s="1"/>
      <c r="C4184" s="1"/>
      <c r="D4184" s="1"/>
      <c r="E4184" s="1"/>
      <c r="F4184" s="1"/>
      <c r="G4184" s="1"/>
      <c r="H4184" s="1"/>
      <c r="I4184" s="1"/>
      <c r="J4184" s="1"/>
    </row>
    <row r="4185" ht="15.75" customHeight="1">
      <c r="A4185" s="1"/>
      <c r="B4185" s="1"/>
      <c r="C4185" s="1"/>
      <c r="D4185" s="1"/>
      <c r="E4185" s="1"/>
      <c r="F4185" s="1"/>
      <c r="G4185" s="1"/>
      <c r="H4185" s="1"/>
      <c r="I4185" s="1"/>
      <c r="J4185" s="1"/>
    </row>
    <row r="4186" ht="15.75" customHeight="1">
      <c r="A4186" s="1"/>
      <c r="B4186" s="1"/>
      <c r="C4186" s="1"/>
      <c r="D4186" s="1"/>
      <c r="E4186" s="1"/>
      <c r="F4186" s="1"/>
      <c r="G4186" s="1"/>
      <c r="H4186" s="1"/>
      <c r="I4186" s="1"/>
      <c r="J4186" s="1"/>
    </row>
    <row r="4187" ht="15.75" customHeight="1">
      <c r="A4187" s="1"/>
      <c r="B4187" s="1"/>
      <c r="C4187" s="1"/>
      <c r="D4187" s="1"/>
      <c r="E4187" s="1"/>
      <c r="F4187" s="1"/>
      <c r="G4187" s="1"/>
      <c r="H4187" s="1"/>
      <c r="I4187" s="1"/>
      <c r="J4187" s="1"/>
    </row>
    <row r="4188" ht="15.75" customHeight="1">
      <c r="A4188" s="1"/>
      <c r="B4188" s="1"/>
      <c r="C4188" s="1"/>
      <c r="D4188" s="1"/>
      <c r="E4188" s="1"/>
      <c r="F4188" s="1"/>
      <c r="G4188" s="1"/>
      <c r="H4188" s="1"/>
      <c r="I4188" s="1"/>
      <c r="J4188" s="1"/>
    </row>
    <row r="4189" ht="15.75" customHeight="1">
      <c r="A4189" s="1"/>
      <c r="B4189" s="1"/>
      <c r="C4189" s="1"/>
      <c r="D4189" s="1"/>
      <c r="E4189" s="1"/>
      <c r="F4189" s="1"/>
      <c r="G4189" s="1"/>
      <c r="H4189" s="1"/>
      <c r="I4189" s="1"/>
      <c r="J4189" s="1"/>
    </row>
    <row r="4190" ht="15.75" customHeight="1">
      <c r="A4190" s="1"/>
      <c r="B4190" s="1"/>
      <c r="C4190" s="1"/>
      <c r="D4190" s="1"/>
      <c r="E4190" s="1"/>
      <c r="F4190" s="1"/>
      <c r="G4190" s="1"/>
      <c r="H4190" s="1"/>
      <c r="I4190" s="1"/>
      <c r="J4190" s="1"/>
    </row>
    <row r="4191" ht="15.75" customHeight="1">
      <c r="A4191" s="1"/>
      <c r="B4191" s="1"/>
      <c r="C4191" s="1"/>
      <c r="D4191" s="1"/>
      <c r="E4191" s="1"/>
      <c r="F4191" s="1"/>
      <c r="G4191" s="1"/>
      <c r="H4191" s="1"/>
      <c r="I4191" s="1"/>
      <c r="J4191" s="1"/>
    </row>
    <row r="4192" ht="15.75" customHeight="1">
      <c r="A4192" s="1"/>
      <c r="B4192" s="1"/>
      <c r="C4192" s="1"/>
      <c r="D4192" s="1"/>
      <c r="E4192" s="1"/>
      <c r="F4192" s="1"/>
      <c r="G4192" s="1"/>
      <c r="H4192" s="1"/>
      <c r="I4192" s="1"/>
      <c r="J4192" s="1"/>
    </row>
    <row r="4193" ht="15.75" customHeight="1">
      <c r="A4193" s="1"/>
      <c r="B4193" s="1"/>
      <c r="C4193" s="1"/>
      <c r="D4193" s="1"/>
      <c r="E4193" s="1"/>
      <c r="F4193" s="1"/>
      <c r="G4193" s="1"/>
      <c r="H4193" s="1"/>
      <c r="I4193" s="1"/>
      <c r="J4193" s="1"/>
    </row>
    <row r="4194" ht="15.75" customHeight="1">
      <c r="A4194" s="1"/>
      <c r="B4194" s="1"/>
      <c r="C4194" s="1"/>
      <c r="D4194" s="1"/>
      <c r="E4194" s="1"/>
      <c r="F4194" s="1"/>
      <c r="G4194" s="1"/>
      <c r="H4194" s="1"/>
      <c r="I4194" s="1"/>
      <c r="J4194" s="1"/>
    </row>
    <row r="4195" ht="15.75" customHeight="1">
      <c r="A4195" s="1"/>
      <c r="B4195" s="1"/>
      <c r="C4195" s="1"/>
      <c r="D4195" s="1"/>
      <c r="E4195" s="1"/>
      <c r="F4195" s="1"/>
      <c r="G4195" s="1"/>
      <c r="H4195" s="1"/>
      <c r="I4195" s="1"/>
      <c r="J4195" s="1"/>
    </row>
    <row r="4196" ht="15.75" customHeight="1">
      <c r="A4196" s="1"/>
      <c r="B4196" s="1"/>
      <c r="C4196" s="1"/>
      <c r="D4196" s="1"/>
      <c r="E4196" s="1"/>
      <c r="F4196" s="1"/>
      <c r="G4196" s="1"/>
      <c r="H4196" s="1"/>
      <c r="I4196" s="1"/>
      <c r="J4196" s="1"/>
    </row>
    <row r="4197" ht="15.75" customHeight="1">
      <c r="A4197" s="1"/>
      <c r="B4197" s="1"/>
      <c r="C4197" s="1"/>
      <c r="D4197" s="1"/>
      <c r="E4197" s="1"/>
      <c r="F4197" s="1"/>
      <c r="G4197" s="1"/>
      <c r="H4197" s="1"/>
      <c r="I4197" s="1"/>
      <c r="J4197" s="1"/>
    </row>
    <row r="4198" ht="15.75" customHeight="1">
      <c r="A4198" s="1"/>
      <c r="B4198" s="1"/>
      <c r="C4198" s="1"/>
      <c r="D4198" s="1"/>
      <c r="E4198" s="1"/>
      <c r="F4198" s="1"/>
      <c r="G4198" s="1"/>
      <c r="H4198" s="1"/>
      <c r="I4198" s="1"/>
      <c r="J4198" s="1"/>
    </row>
    <row r="4199" ht="15.75" customHeight="1">
      <c r="A4199" s="1"/>
      <c r="B4199" s="1"/>
      <c r="C4199" s="1"/>
      <c r="D4199" s="1"/>
      <c r="E4199" s="1"/>
      <c r="F4199" s="1"/>
      <c r="G4199" s="1"/>
      <c r="H4199" s="1"/>
      <c r="I4199" s="1"/>
      <c r="J4199" s="1"/>
    </row>
    <row r="4200" ht="15.75" customHeight="1">
      <c r="A4200" s="1"/>
      <c r="B4200" s="1"/>
      <c r="C4200" s="1"/>
      <c r="D4200" s="1"/>
      <c r="E4200" s="1"/>
      <c r="F4200" s="1"/>
      <c r="G4200" s="1"/>
      <c r="H4200" s="1"/>
      <c r="I4200" s="1"/>
      <c r="J4200" s="1"/>
    </row>
    <row r="4201" ht="15.75" customHeight="1">
      <c r="A4201" s="1"/>
      <c r="B4201" s="1"/>
      <c r="C4201" s="1"/>
      <c r="D4201" s="1"/>
      <c r="E4201" s="1"/>
      <c r="F4201" s="1"/>
      <c r="G4201" s="1"/>
      <c r="H4201" s="1"/>
      <c r="I4201" s="1"/>
      <c r="J4201" s="1"/>
    </row>
    <row r="4202" ht="15.75" customHeight="1">
      <c r="A4202" s="1"/>
      <c r="B4202" s="1"/>
      <c r="C4202" s="1"/>
      <c r="D4202" s="1"/>
      <c r="E4202" s="1"/>
      <c r="F4202" s="1"/>
      <c r="G4202" s="1"/>
      <c r="H4202" s="1"/>
      <c r="I4202" s="1"/>
      <c r="J4202" s="1"/>
    </row>
    <row r="4203" ht="15.75" customHeight="1">
      <c r="A4203" s="1"/>
      <c r="B4203" s="1"/>
      <c r="C4203" s="1"/>
      <c r="D4203" s="1"/>
      <c r="E4203" s="1"/>
      <c r="F4203" s="1"/>
      <c r="G4203" s="1"/>
      <c r="H4203" s="1"/>
      <c r="I4203" s="1"/>
      <c r="J4203" s="1"/>
    </row>
    <row r="4204" ht="15.75" customHeight="1">
      <c r="A4204" s="1"/>
      <c r="B4204" s="1"/>
      <c r="C4204" s="1"/>
      <c r="D4204" s="1"/>
      <c r="E4204" s="1"/>
      <c r="F4204" s="1"/>
      <c r="G4204" s="1"/>
      <c r="H4204" s="1"/>
      <c r="I4204" s="1"/>
      <c r="J4204" s="1"/>
    </row>
    <row r="4205" ht="15.75" customHeight="1">
      <c r="A4205" s="1"/>
      <c r="B4205" s="1"/>
      <c r="C4205" s="1"/>
      <c r="D4205" s="1"/>
      <c r="E4205" s="1"/>
      <c r="F4205" s="1"/>
      <c r="G4205" s="1"/>
      <c r="H4205" s="1"/>
      <c r="I4205" s="1"/>
      <c r="J4205" s="1"/>
    </row>
    <row r="4206" ht="15.75" customHeight="1">
      <c r="A4206" s="1"/>
      <c r="B4206" s="1"/>
      <c r="C4206" s="1"/>
      <c r="D4206" s="1"/>
      <c r="E4206" s="1"/>
      <c r="F4206" s="1"/>
      <c r="G4206" s="1"/>
      <c r="H4206" s="1"/>
      <c r="I4206" s="1"/>
      <c r="J4206" s="1"/>
    </row>
    <row r="4207" ht="15.75" customHeight="1">
      <c r="A4207" s="1"/>
      <c r="B4207" s="1"/>
      <c r="C4207" s="1"/>
      <c r="D4207" s="1"/>
      <c r="E4207" s="1"/>
      <c r="F4207" s="1"/>
      <c r="G4207" s="1"/>
      <c r="H4207" s="1"/>
      <c r="I4207" s="1"/>
      <c r="J4207" s="1"/>
    </row>
    <row r="4208" ht="15.75" customHeight="1">
      <c r="A4208" s="1"/>
      <c r="B4208" s="1"/>
      <c r="C4208" s="1"/>
      <c r="D4208" s="1"/>
      <c r="E4208" s="1"/>
      <c r="F4208" s="1"/>
      <c r="G4208" s="1"/>
      <c r="H4208" s="1"/>
      <c r="I4208" s="1"/>
      <c r="J4208" s="1"/>
    </row>
    <row r="4209" ht="15.75" customHeight="1">
      <c r="A4209" s="1"/>
      <c r="B4209" s="1"/>
      <c r="C4209" s="1"/>
      <c r="D4209" s="1"/>
      <c r="E4209" s="1"/>
      <c r="F4209" s="1"/>
      <c r="G4209" s="1"/>
      <c r="H4209" s="1"/>
      <c r="I4209" s="1"/>
      <c r="J4209" s="1"/>
    </row>
    <row r="4210" ht="15.75" customHeight="1">
      <c r="A4210" s="1"/>
      <c r="B4210" s="1"/>
      <c r="C4210" s="1"/>
      <c r="D4210" s="1"/>
      <c r="E4210" s="1"/>
      <c r="F4210" s="1"/>
      <c r="G4210" s="1"/>
      <c r="H4210" s="1"/>
      <c r="I4210" s="1"/>
      <c r="J4210" s="1"/>
    </row>
    <row r="4211" ht="15.75" customHeight="1">
      <c r="A4211" s="1"/>
      <c r="B4211" s="1"/>
      <c r="C4211" s="1"/>
      <c r="D4211" s="1"/>
      <c r="E4211" s="1"/>
      <c r="F4211" s="1"/>
      <c r="G4211" s="1"/>
      <c r="H4211" s="1"/>
      <c r="I4211" s="1"/>
      <c r="J4211" s="1"/>
    </row>
    <row r="4212" ht="15.75" customHeight="1">
      <c r="A4212" s="1"/>
      <c r="B4212" s="1"/>
      <c r="C4212" s="1"/>
      <c r="D4212" s="1"/>
      <c r="E4212" s="1"/>
      <c r="F4212" s="1"/>
      <c r="G4212" s="1"/>
      <c r="H4212" s="1"/>
      <c r="I4212" s="1"/>
      <c r="J4212" s="1"/>
    </row>
    <row r="4213" ht="15.75" customHeight="1">
      <c r="A4213" s="1"/>
      <c r="B4213" s="1"/>
      <c r="C4213" s="1"/>
      <c r="D4213" s="1"/>
      <c r="E4213" s="1"/>
      <c r="F4213" s="1"/>
      <c r="G4213" s="1"/>
      <c r="H4213" s="1"/>
      <c r="I4213" s="1"/>
      <c r="J4213" s="1"/>
    </row>
    <row r="4214" ht="15.75" customHeight="1">
      <c r="A4214" s="1"/>
      <c r="B4214" s="1"/>
      <c r="C4214" s="1"/>
      <c r="D4214" s="1"/>
      <c r="E4214" s="1"/>
      <c r="F4214" s="1"/>
      <c r="G4214" s="1"/>
      <c r="H4214" s="1"/>
      <c r="I4214" s="1"/>
      <c r="J4214" s="1"/>
    </row>
    <row r="4215" ht="15.75" customHeight="1">
      <c r="A4215" s="1"/>
      <c r="B4215" s="1"/>
      <c r="C4215" s="1"/>
      <c r="D4215" s="1"/>
      <c r="E4215" s="1"/>
      <c r="F4215" s="1"/>
      <c r="G4215" s="1"/>
      <c r="H4215" s="1"/>
      <c r="I4215" s="1"/>
      <c r="J4215" s="1"/>
    </row>
    <row r="4216" ht="15.75" customHeight="1">
      <c r="A4216" s="1"/>
      <c r="B4216" s="1"/>
      <c r="C4216" s="1"/>
      <c r="D4216" s="1"/>
      <c r="E4216" s="1"/>
      <c r="F4216" s="1"/>
      <c r="G4216" s="1"/>
      <c r="H4216" s="1"/>
      <c r="I4216" s="1"/>
      <c r="J4216" s="1"/>
    </row>
    <row r="4217" ht="15.75" customHeight="1">
      <c r="A4217" s="1"/>
      <c r="B4217" s="1"/>
      <c r="C4217" s="1"/>
      <c r="D4217" s="1"/>
      <c r="E4217" s="1"/>
      <c r="F4217" s="1"/>
      <c r="G4217" s="1"/>
      <c r="H4217" s="1"/>
      <c r="I4217" s="1"/>
      <c r="J4217" s="1"/>
    </row>
    <row r="4218" ht="15.75" customHeight="1">
      <c r="A4218" s="1"/>
      <c r="B4218" s="1"/>
      <c r="C4218" s="1"/>
      <c r="D4218" s="1"/>
      <c r="E4218" s="1"/>
      <c r="F4218" s="1"/>
      <c r="G4218" s="1"/>
      <c r="H4218" s="1"/>
      <c r="I4218" s="1"/>
      <c r="J4218" s="1"/>
    </row>
    <row r="4219" ht="15.75" customHeight="1">
      <c r="A4219" s="1"/>
      <c r="B4219" s="1"/>
      <c r="C4219" s="1"/>
      <c r="D4219" s="1"/>
      <c r="E4219" s="1"/>
      <c r="F4219" s="1"/>
      <c r="G4219" s="1"/>
      <c r="H4219" s="1"/>
      <c r="I4219" s="1"/>
      <c r="J4219" s="1"/>
    </row>
    <row r="4220" ht="15.75" customHeight="1">
      <c r="A4220" s="1"/>
      <c r="B4220" s="1"/>
      <c r="C4220" s="1"/>
      <c r="D4220" s="1"/>
      <c r="E4220" s="1"/>
      <c r="F4220" s="1"/>
      <c r="G4220" s="1"/>
      <c r="H4220" s="1"/>
      <c r="I4220" s="1"/>
      <c r="J4220" s="1"/>
    </row>
    <row r="4221" ht="15.75" customHeight="1">
      <c r="A4221" s="1"/>
      <c r="B4221" s="1"/>
      <c r="C4221" s="1"/>
      <c r="D4221" s="1"/>
      <c r="E4221" s="1"/>
      <c r="F4221" s="1"/>
      <c r="G4221" s="1"/>
      <c r="H4221" s="1"/>
      <c r="I4221" s="1"/>
      <c r="J4221" s="1"/>
    </row>
    <row r="4222" ht="15.75" customHeight="1">
      <c r="A4222" s="1"/>
      <c r="B4222" s="1"/>
      <c r="C4222" s="1"/>
      <c r="D4222" s="1"/>
      <c r="E4222" s="1"/>
      <c r="F4222" s="1"/>
      <c r="G4222" s="1"/>
      <c r="H4222" s="1"/>
      <c r="I4222" s="1"/>
      <c r="J4222" s="1"/>
    </row>
    <row r="4223" ht="15.75" customHeight="1">
      <c r="A4223" s="1"/>
      <c r="B4223" s="1"/>
      <c r="C4223" s="1"/>
      <c r="D4223" s="1"/>
      <c r="E4223" s="1"/>
      <c r="F4223" s="1"/>
      <c r="G4223" s="1"/>
      <c r="H4223" s="1"/>
      <c r="I4223" s="1"/>
      <c r="J4223" s="1"/>
    </row>
    <row r="4224" ht="15.75" customHeight="1">
      <c r="A4224" s="1"/>
      <c r="B4224" s="1"/>
      <c r="C4224" s="1"/>
      <c r="D4224" s="1"/>
      <c r="E4224" s="1"/>
      <c r="F4224" s="1"/>
      <c r="G4224" s="1"/>
      <c r="H4224" s="1"/>
      <c r="I4224" s="1"/>
      <c r="J4224" s="1"/>
    </row>
    <row r="4225" ht="15.75" customHeight="1">
      <c r="A4225" s="1"/>
      <c r="B4225" s="1"/>
      <c r="C4225" s="1"/>
      <c r="D4225" s="1"/>
      <c r="E4225" s="1"/>
      <c r="F4225" s="1"/>
      <c r="G4225" s="1"/>
      <c r="H4225" s="1"/>
      <c r="I4225" s="1"/>
      <c r="J4225" s="1"/>
    </row>
    <row r="4226" ht="15.75" customHeight="1">
      <c r="A4226" s="1"/>
      <c r="B4226" s="1"/>
      <c r="C4226" s="1"/>
      <c r="D4226" s="1"/>
      <c r="E4226" s="1"/>
      <c r="F4226" s="1"/>
      <c r="G4226" s="1"/>
      <c r="H4226" s="1"/>
      <c r="I4226" s="1"/>
      <c r="J4226" s="1"/>
    </row>
    <row r="4227" ht="15.75" customHeight="1">
      <c r="A4227" s="1"/>
      <c r="B4227" s="1"/>
      <c r="C4227" s="1"/>
      <c r="D4227" s="1"/>
      <c r="E4227" s="1"/>
      <c r="F4227" s="1"/>
      <c r="G4227" s="1"/>
      <c r="H4227" s="1"/>
      <c r="I4227" s="1"/>
      <c r="J4227" s="1"/>
    </row>
    <row r="4228" ht="15.75" customHeight="1">
      <c r="A4228" s="1"/>
      <c r="B4228" s="1"/>
      <c r="C4228" s="1"/>
      <c r="D4228" s="1"/>
      <c r="E4228" s="1"/>
      <c r="F4228" s="1"/>
      <c r="G4228" s="1"/>
      <c r="H4228" s="1"/>
      <c r="I4228" s="1"/>
      <c r="J4228" s="1"/>
    </row>
    <row r="4229" ht="15.75" customHeight="1">
      <c r="A4229" s="1"/>
      <c r="B4229" s="1"/>
      <c r="C4229" s="1"/>
      <c r="D4229" s="1"/>
      <c r="E4229" s="1"/>
      <c r="F4229" s="1"/>
      <c r="G4229" s="1"/>
      <c r="H4229" s="1"/>
      <c r="I4229" s="1"/>
      <c r="J4229" s="1"/>
    </row>
    <row r="4230" ht="15.75" customHeight="1">
      <c r="A4230" s="1"/>
      <c r="B4230" s="1"/>
      <c r="C4230" s="1"/>
      <c r="D4230" s="1"/>
      <c r="E4230" s="1"/>
      <c r="F4230" s="1"/>
      <c r="G4230" s="1"/>
      <c r="H4230" s="1"/>
      <c r="I4230" s="1"/>
      <c r="J4230" s="1"/>
    </row>
    <row r="4231" ht="15.75" customHeight="1">
      <c r="A4231" s="1"/>
      <c r="B4231" s="1"/>
      <c r="C4231" s="1"/>
      <c r="D4231" s="1"/>
      <c r="E4231" s="1"/>
      <c r="F4231" s="1"/>
      <c r="G4231" s="1"/>
      <c r="H4231" s="1"/>
      <c r="I4231" s="1"/>
      <c r="J4231" s="1"/>
    </row>
    <row r="4232" ht="15.75" customHeight="1">
      <c r="A4232" s="1"/>
      <c r="B4232" s="1"/>
      <c r="C4232" s="1"/>
      <c r="D4232" s="1"/>
      <c r="E4232" s="1"/>
      <c r="F4232" s="1"/>
      <c r="G4232" s="1"/>
      <c r="H4232" s="1"/>
      <c r="I4232" s="1"/>
      <c r="J4232" s="1"/>
    </row>
    <row r="4233" ht="15.75" customHeight="1">
      <c r="A4233" s="1"/>
      <c r="B4233" s="1"/>
      <c r="C4233" s="1"/>
      <c r="D4233" s="1"/>
      <c r="E4233" s="1"/>
      <c r="F4233" s="1"/>
      <c r="G4233" s="1"/>
      <c r="H4233" s="1"/>
      <c r="I4233" s="1"/>
      <c r="J4233" s="1"/>
    </row>
    <row r="4234" ht="15.75" customHeight="1">
      <c r="A4234" s="1"/>
      <c r="B4234" s="1"/>
      <c r="C4234" s="1"/>
      <c r="D4234" s="1"/>
      <c r="E4234" s="1"/>
      <c r="F4234" s="1"/>
      <c r="G4234" s="1"/>
      <c r="H4234" s="1"/>
      <c r="I4234" s="1"/>
      <c r="J4234" s="1"/>
    </row>
    <row r="4235" ht="15.75" customHeight="1">
      <c r="A4235" s="1"/>
      <c r="B4235" s="1"/>
      <c r="C4235" s="1"/>
      <c r="D4235" s="1"/>
      <c r="E4235" s="1"/>
      <c r="F4235" s="1"/>
      <c r="G4235" s="1"/>
      <c r="H4235" s="1"/>
      <c r="I4235" s="1"/>
      <c r="J4235" s="1"/>
    </row>
    <row r="4236" ht="15.75" customHeight="1">
      <c r="A4236" s="1"/>
      <c r="B4236" s="1"/>
      <c r="C4236" s="1"/>
      <c r="D4236" s="1"/>
      <c r="E4236" s="1"/>
      <c r="F4236" s="1"/>
      <c r="G4236" s="1"/>
      <c r="H4236" s="1"/>
      <c r="I4236" s="1"/>
      <c r="J4236" s="1"/>
    </row>
    <row r="4237" ht="15.75" customHeight="1">
      <c r="A4237" s="1"/>
      <c r="B4237" s="1"/>
      <c r="C4237" s="1"/>
      <c r="D4237" s="1"/>
      <c r="E4237" s="1"/>
      <c r="F4237" s="1"/>
      <c r="G4237" s="1"/>
      <c r="H4237" s="1"/>
      <c r="I4237" s="1"/>
      <c r="J4237" s="1"/>
    </row>
    <row r="4238" ht="15.75" customHeight="1">
      <c r="A4238" s="1"/>
      <c r="B4238" s="1"/>
      <c r="C4238" s="1"/>
      <c r="D4238" s="1"/>
      <c r="E4238" s="1"/>
      <c r="F4238" s="1"/>
      <c r="G4238" s="1"/>
      <c r="H4238" s="1"/>
      <c r="I4238" s="1"/>
      <c r="J4238" s="1"/>
    </row>
    <row r="4239" ht="15.75" customHeight="1">
      <c r="A4239" s="1"/>
      <c r="B4239" s="1"/>
      <c r="C4239" s="1"/>
      <c r="D4239" s="1"/>
      <c r="E4239" s="1"/>
      <c r="F4239" s="1"/>
      <c r="G4239" s="1"/>
      <c r="H4239" s="1"/>
      <c r="I4239" s="1"/>
      <c r="J4239" s="1"/>
    </row>
    <row r="4240" ht="15.75" customHeight="1">
      <c r="A4240" s="1"/>
      <c r="B4240" s="1"/>
      <c r="C4240" s="1"/>
      <c r="D4240" s="1"/>
      <c r="E4240" s="1"/>
      <c r="F4240" s="1"/>
      <c r="G4240" s="1"/>
      <c r="H4240" s="1"/>
      <c r="I4240" s="1"/>
      <c r="J4240" s="1"/>
    </row>
    <row r="4241" ht="15.75" customHeight="1">
      <c r="A4241" s="1"/>
      <c r="B4241" s="1"/>
      <c r="C4241" s="1"/>
      <c r="D4241" s="1"/>
      <c r="E4241" s="1"/>
      <c r="F4241" s="1"/>
      <c r="G4241" s="1"/>
      <c r="H4241" s="1"/>
      <c r="I4241" s="1"/>
      <c r="J4241" s="1"/>
    </row>
    <row r="4242" ht="15.75" customHeight="1">
      <c r="A4242" s="1"/>
      <c r="B4242" s="1"/>
      <c r="C4242" s="1"/>
      <c r="D4242" s="1"/>
      <c r="E4242" s="1"/>
      <c r="F4242" s="1"/>
      <c r="G4242" s="1"/>
      <c r="H4242" s="1"/>
      <c r="I4242" s="1"/>
      <c r="J4242" s="1"/>
    </row>
    <row r="4243" ht="15.75" customHeight="1">
      <c r="A4243" s="1"/>
      <c r="B4243" s="1"/>
      <c r="C4243" s="1"/>
      <c r="D4243" s="1"/>
      <c r="E4243" s="1"/>
      <c r="F4243" s="1"/>
      <c r="G4243" s="1"/>
      <c r="H4243" s="1"/>
      <c r="I4243" s="1"/>
      <c r="J4243" s="1"/>
    </row>
    <row r="4244" ht="15.75" customHeight="1">
      <c r="A4244" s="1"/>
      <c r="B4244" s="1"/>
      <c r="C4244" s="1"/>
      <c r="D4244" s="1"/>
      <c r="E4244" s="1"/>
      <c r="F4244" s="1"/>
      <c r="G4244" s="1"/>
      <c r="H4244" s="1"/>
      <c r="I4244" s="1"/>
      <c r="J4244" s="1"/>
    </row>
    <row r="4245" ht="15.75" customHeight="1">
      <c r="A4245" s="1"/>
      <c r="B4245" s="1"/>
      <c r="C4245" s="1"/>
      <c r="D4245" s="1"/>
      <c r="E4245" s="1"/>
      <c r="F4245" s="1"/>
      <c r="G4245" s="1"/>
      <c r="H4245" s="1"/>
      <c r="I4245" s="1"/>
      <c r="J4245" s="1"/>
    </row>
    <row r="4246" ht="15.75" customHeight="1">
      <c r="A4246" s="1"/>
      <c r="B4246" s="1"/>
      <c r="C4246" s="1"/>
      <c r="D4246" s="1"/>
      <c r="E4246" s="1"/>
      <c r="F4246" s="1"/>
      <c r="G4246" s="1"/>
      <c r="H4246" s="1"/>
      <c r="I4246" s="1"/>
      <c r="J4246" s="1"/>
    </row>
    <row r="4247" ht="15.75" customHeight="1">
      <c r="A4247" s="1"/>
      <c r="B4247" s="1"/>
      <c r="C4247" s="1"/>
      <c r="D4247" s="1"/>
      <c r="E4247" s="1"/>
      <c r="F4247" s="1"/>
      <c r="G4247" s="1"/>
      <c r="H4247" s="1"/>
      <c r="I4247" s="1"/>
      <c r="J4247" s="1"/>
    </row>
    <row r="4248" ht="15.75" customHeight="1">
      <c r="A4248" s="1"/>
      <c r="B4248" s="1"/>
      <c r="C4248" s="1"/>
      <c r="D4248" s="1"/>
      <c r="E4248" s="1"/>
      <c r="F4248" s="1"/>
      <c r="G4248" s="1"/>
      <c r="H4248" s="1"/>
      <c r="I4248" s="1"/>
      <c r="J4248" s="1"/>
    </row>
    <row r="4249" ht="15.75" customHeight="1">
      <c r="A4249" s="1"/>
      <c r="B4249" s="1"/>
      <c r="C4249" s="1"/>
      <c r="D4249" s="1"/>
      <c r="E4249" s="1"/>
      <c r="F4249" s="1"/>
      <c r="G4249" s="1"/>
      <c r="H4249" s="1"/>
      <c r="I4249" s="1"/>
      <c r="J4249" s="1"/>
    </row>
    <row r="4250" ht="15.75" customHeight="1">
      <c r="A4250" s="1"/>
      <c r="B4250" s="1"/>
      <c r="C4250" s="1"/>
      <c r="D4250" s="1"/>
      <c r="E4250" s="1"/>
      <c r="F4250" s="1"/>
      <c r="G4250" s="1"/>
      <c r="H4250" s="1"/>
      <c r="I4250" s="1"/>
      <c r="J4250" s="1"/>
    </row>
    <row r="4251" ht="15.75" customHeight="1">
      <c r="A4251" s="1"/>
      <c r="B4251" s="1"/>
      <c r="C4251" s="1"/>
      <c r="D4251" s="1"/>
      <c r="E4251" s="1"/>
      <c r="F4251" s="1"/>
      <c r="G4251" s="1"/>
      <c r="H4251" s="1"/>
      <c r="I4251" s="1"/>
      <c r="J4251" s="1"/>
    </row>
    <row r="4252" ht="15.75" customHeight="1">
      <c r="A4252" s="1"/>
      <c r="B4252" s="1"/>
      <c r="C4252" s="1"/>
      <c r="D4252" s="1"/>
      <c r="E4252" s="1"/>
      <c r="F4252" s="1"/>
      <c r="G4252" s="1"/>
      <c r="H4252" s="1"/>
      <c r="I4252" s="1"/>
      <c r="J4252" s="1"/>
    </row>
    <row r="4253" ht="15.75" customHeight="1">
      <c r="A4253" s="1"/>
      <c r="B4253" s="1"/>
      <c r="C4253" s="1"/>
      <c r="D4253" s="1"/>
      <c r="E4253" s="1"/>
      <c r="F4253" s="1"/>
      <c r="G4253" s="1"/>
      <c r="H4253" s="1"/>
      <c r="I4253" s="1"/>
      <c r="J4253" s="1"/>
    </row>
    <row r="4254" ht="15.75" customHeight="1">
      <c r="A4254" s="1"/>
      <c r="B4254" s="1"/>
      <c r="C4254" s="1"/>
      <c r="D4254" s="1"/>
      <c r="E4254" s="1"/>
      <c r="F4254" s="1"/>
      <c r="G4254" s="1"/>
      <c r="H4254" s="1"/>
      <c r="I4254" s="1"/>
      <c r="J4254" s="1"/>
    </row>
    <row r="4255" ht="15.75" customHeight="1">
      <c r="A4255" s="1"/>
      <c r="B4255" s="1"/>
      <c r="C4255" s="1"/>
      <c r="D4255" s="1"/>
      <c r="E4255" s="1"/>
      <c r="F4255" s="1"/>
      <c r="G4255" s="1"/>
      <c r="H4255" s="1"/>
      <c r="I4255" s="1"/>
      <c r="J4255" s="1"/>
    </row>
    <row r="4256" ht="15.75" customHeight="1">
      <c r="A4256" s="1"/>
      <c r="B4256" s="1"/>
      <c r="C4256" s="1"/>
      <c r="D4256" s="1"/>
      <c r="E4256" s="1"/>
      <c r="F4256" s="1"/>
      <c r="G4256" s="1"/>
      <c r="H4256" s="1"/>
      <c r="I4256" s="1"/>
      <c r="J4256" s="1"/>
    </row>
    <row r="4257" ht="15.75" customHeight="1">
      <c r="A4257" s="1"/>
      <c r="B4257" s="1"/>
      <c r="C4257" s="1"/>
      <c r="D4257" s="1"/>
      <c r="E4257" s="1"/>
      <c r="F4257" s="1"/>
      <c r="G4257" s="1"/>
      <c r="H4257" s="1"/>
      <c r="I4257" s="1"/>
      <c r="J4257" s="1"/>
    </row>
    <row r="4258" ht="15.75" customHeight="1">
      <c r="A4258" s="1"/>
      <c r="B4258" s="1"/>
      <c r="C4258" s="1"/>
      <c r="D4258" s="1"/>
      <c r="E4258" s="1"/>
      <c r="F4258" s="1"/>
      <c r="G4258" s="1"/>
      <c r="H4258" s="1"/>
      <c r="I4258" s="1"/>
      <c r="J4258" s="1"/>
    </row>
    <row r="4259" ht="15.75" customHeight="1">
      <c r="A4259" s="1"/>
      <c r="B4259" s="1"/>
      <c r="C4259" s="1"/>
      <c r="D4259" s="1"/>
      <c r="E4259" s="1"/>
      <c r="F4259" s="1"/>
      <c r="G4259" s="1"/>
      <c r="H4259" s="1"/>
      <c r="I4259" s="1"/>
      <c r="J4259" s="1"/>
    </row>
    <row r="4260" ht="15.75" customHeight="1">
      <c r="A4260" s="1"/>
      <c r="B4260" s="1"/>
      <c r="C4260" s="1"/>
      <c r="D4260" s="1"/>
      <c r="E4260" s="1"/>
      <c r="F4260" s="1"/>
      <c r="G4260" s="1"/>
      <c r="H4260" s="1"/>
      <c r="I4260" s="1"/>
      <c r="J4260" s="1"/>
    </row>
    <row r="4261" ht="15.75" customHeight="1">
      <c r="A4261" s="1"/>
      <c r="B4261" s="1"/>
      <c r="C4261" s="1"/>
      <c r="D4261" s="1"/>
      <c r="E4261" s="1"/>
      <c r="F4261" s="1"/>
      <c r="G4261" s="1"/>
      <c r="H4261" s="1"/>
      <c r="I4261" s="1"/>
      <c r="J4261" s="1"/>
    </row>
    <row r="4262" ht="15.75" customHeight="1">
      <c r="A4262" s="1"/>
      <c r="B4262" s="1"/>
      <c r="C4262" s="1"/>
      <c r="D4262" s="1"/>
      <c r="E4262" s="1"/>
      <c r="F4262" s="1"/>
      <c r="G4262" s="1"/>
      <c r="H4262" s="1"/>
      <c r="I4262" s="1"/>
      <c r="J4262" s="1"/>
    </row>
    <row r="4263" ht="15.75" customHeight="1">
      <c r="A4263" s="1"/>
      <c r="B4263" s="1"/>
      <c r="C4263" s="1"/>
      <c r="D4263" s="1"/>
      <c r="E4263" s="1"/>
      <c r="F4263" s="1"/>
      <c r="G4263" s="1"/>
      <c r="H4263" s="1"/>
      <c r="I4263" s="1"/>
      <c r="J4263" s="1"/>
    </row>
    <row r="4264" ht="15.75" customHeight="1">
      <c r="A4264" s="1"/>
      <c r="B4264" s="1"/>
      <c r="C4264" s="1"/>
      <c r="D4264" s="1"/>
      <c r="E4264" s="1"/>
      <c r="F4264" s="1"/>
      <c r="G4264" s="1"/>
      <c r="H4264" s="1"/>
      <c r="I4264" s="1"/>
      <c r="J4264" s="1"/>
    </row>
    <row r="4265" ht="15.75" customHeight="1">
      <c r="A4265" s="1"/>
      <c r="B4265" s="1"/>
      <c r="C4265" s="1"/>
      <c r="D4265" s="1"/>
      <c r="E4265" s="1"/>
      <c r="F4265" s="1"/>
      <c r="G4265" s="1"/>
      <c r="H4265" s="1"/>
      <c r="I4265" s="1"/>
      <c r="J4265" s="1"/>
    </row>
    <row r="4266" ht="15.75" customHeight="1">
      <c r="A4266" s="1"/>
      <c r="B4266" s="1"/>
      <c r="C4266" s="1"/>
      <c r="D4266" s="1"/>
      <c r="E4266" s="1"/>
      <c r="F4266" s="1"/>
      <c r="G4266" s="1"/>
      <c r="H4266" s="1"/>
      <c r="I4266" s="1"/>
      <c r="J4266" s="1"/>
    </row>
    <row r="4267" ht="15.75" customHeight="1">
      <c r="A4267" s="1"/>
      <c r="B4267" s="1"/>
      <c r="C4267" s="1"/>
      <c r="D4267" s="1"/>
      <c r="E4267" s="1"/>
      <c r="F4267" s="1"/>
      <c r="G4267" s="1"/>
      <c r="H4267" s="1"/>
      <c r="I4267" s="1"/>
      <c r="J4267" s="1"/>
    </row>
    <row r="4268" ht="15.75" customHeight="1">
      <c r="A4268" s="1"/>
      <c r="B4268" s="1"/>
      <c r="C4268" s="1"/>
      <c r="D4268" s="1"/>
      <c r="E4268" s="1"/>
      <c r="F4268" s="1"/>
      <c r="G4268" s="1"/>
      <c r="H4268" s="1"/>
      <c r="I4268" s="1"/>
      <c r="J4268" s="1"/>
    </row>
    <row r="4269" ht="15.75" customHeight="1">
      <c r="A4269" s="1"/>
      <c r="B4269" s="1"/>
      <c r="C4269" s="1"/>
      <c r="D4269" s="1"/>
      <c r="E4269" s="1"/>
      <c r="F4269" s="1"/>
      <c r="G4269" s="1"/>
      <c r="H4269" s="1"/>
      <c r="I4269" s="1"/>
      <c r="J4269" s="1"/>
    </row>
    <row r="4270" ht="15.75" customHeight="1">
      <c r="A4270" s="1"/>
      <c r="B4270" s="1"/>
      <c r="C4270" s="1"/>
      <c r="D4270" s="1"/>
      <c r="E4270" s="1"/>
      <c r="F4270" s="1"/>
      <c r="G4270" s="1"/>
      <c r="H4270" s="1"/>
      <c r="I4270" s="1"/>
      <c r="J4270" s="1"/>
    </row>
    <row r="4271" ht="15.75" customHeight="1">
      <c r="A4271" s="1"/>
      <c r="B4271" s="1"/>
      <c r="C4271" s="1"/>
      <c r="D4271" s="1"/>
      <c r="E4271" s="1"/>
      <c r="F4271" s="1"/>
      <c r="G4271" s="1"/>
      <c r="H4271" s="1"/>
      <c r="I4271" s="1"/>
      <c r="J4271" s="1"/>
    </row>
    <row r="4272" ht="15.75" customHeight="1">
      <c r="A4272" s="1"/>
      <c r="B4272" s="1"/>
      <c r="C4272" s="1"/>
      <c r="D4272" s="1"/>
      <c r="E4272" s="1"/>
      <c r="F4272" s="1"/>
      <c r="G4272" s="1"/>
      <c r="H4272" s="1"/>
      <c r="I4272" s="1"/>
      <c r="J4272" s="1"/>
    </row>
    <row r="4273" ht="15.75" customHeight="1">
      <c r="A4273" s="1"/>
      <c r="B4273" s="1"/>
      <c r="C4273" s="1"/>
      <c r="D4273" s="1"/>
      <c r="E4273" s="1"/>
      <c r="F4273" s="1"/>
      <c r="G4273" s="1"/>
      <c r="H4273" s="1"/>
      <c r="I4273" s="1"/>
      <c r="J4273" s="1"/>
    </row>
    <row r="4274" ht="15.75" customHeight="1">
      <c r="A4274" s="1"/>
      <c r="B4274" s="1"/>
      <c r="C4274" s="1"/>
      <c r="D4274" s="1"/>
      <c r="E4274" s="1"/>
      <c r="F4274" s="1"/>
      <c r="G4274" s="1"/>
      <c r="H4274" s="1"/>
      <c r="I4274" s="1"/>
      <c r="J4274" s="1"/>
    </row>
    <row r="4275" ht="15.75" customHeight="1">
      <c r="A4275" s="1"/>
      <c r="B4275" s="1"/>
      <c r="C4275" s="1"/>
      <c r="D4275" s="1"/>
      <c r="E4275" s="1"/>
      <c r="F4275" s="1"/>
      <c r="G4275" s="1"/>
      <c r="H4275" s="1"/>
      <c r="I4275" s="1"/>
      <c r="J4275" s="1"/>
    </row>
    <row r="4276" ht="15.75" customHeight="1">
      <c r="A4276" s="1"/>
      <c r="B4276" s="1"/>
      <c r="C4276" s="1"/>
      <c r="D4276" s="1"/>
      <c r="E4276" s="1"/>
      <c r="F4276" s="1"/>
      <c r="G4276" s="1"/>
      <c r="H4276" s="1"/>
      <c r="I4276" s="1"/>
      <c r="J4276" s="1"/>
    </row>
    <row r="4277" ht="15.75" customHeight="1">
      <c r="A4277" s="1"/>
      <c r="B4277" s="1"/>
      <c r="C4277" s="1"/>
      <c r="D4277" s="1"/>
      <c r="E4277" s="1"/>
      <c r="F4277" s="1"/>
      <c r="G4277" s="1"/>
      <c r="H4277" s="1"/>
      <c r="I4277" s="1"/>
      <c r="J4277" s="1"/>
    </row>
    <row r="4278" ht="15.75" customHeight="1">
      <c r="A4278" s="1"/>
      <c r="B4278" s="1"/>
      <c r="C4278" s="1"/>
      <c r="D4278" s="1"/>
      <c r="E4278" s="1"/>
      <c r="F4278" s="1"/>
      <c r="G4278" s="1"/>
      <c r="H4278" s="1"/>
      <c r="I4278" s="1"/>
      <c r="J4278" s="1"/>
    </row>
    <row r="4279" ht="15.75" customHeight="1">
      <c r="A4279" s="1"/>
      <c r="B4279" s="1"/>
      <c r="C4279" s="1"/>
      <c r="D4279" s="1"/>
      <c r="E4279" s="1"/>
      <c r="F4279" s="1"/>
      <c r="G4279" s="1"/>
      <c r="H4279" s="1"/>
      <c r="I4279" s="1"/>
      <c r="J4279" s="1"/>
    </row>
    <row r="4280" ht="15.75" customHeight="1">
      <c r="A4280" s="1"/>
      <c r="B4280" s="1"/>
      <c r="C4280" s="1"/>
      <c r="D4280" s="1"/>
      <c r="E4280" s="1"/>
      <c r="F4280" s="1"/>
      <c r="G4280" s="1"/>
      <c r="H4280" s="1"/>
      <c r="I4280" s="1"/>
      <c r="J4280" s="1"/>
    </row>
    <row r="4281" ht="15.75" customHeight="1">
      <c r="A4281" s="1"/>
      <c r="B4281" s="1"/>
      <c r="C4281" s="1"/>
      <c r="D4281" s="1"/>
      <c r="E4281" s="1"/>
      <c r="F4281" s="1"/>
      <c r="G4281" s="1"/>
      <c r="H4281" s="1"/>
      <c r="I4281" s="1"/>
      <c r="J4281" s="1"/>
    </row>
    <row r="4282" ht="15.75" customHeight="1">
      <c r="A4282" s="1"/>
      <c r="B4282" s="1"/>
      <c r="C4282" s="1"/>
      <c r="D4282" s="1"/>
      <c r="E4282" s="1"/>
      <c r="F4282" s="1"/>
      <c r="G4282" s="1"/>
      <c r="H4282" s="1"/>
      <c r="I4282" s="1"/>
      <c r="J4282" s="1"/>
    </row>
    <row r="4283" ht="15.75" customHeight="1">
      <c r="A4283" s="1"/>
      <c r="B4283" s="1"/>
      <c r="C4283" s="1"/>
      <c r="D4283" s="1"/>
      <c r="E4283" s="1"/>
      <c r="F4283" s="1"/>
      <c r="G4283" s="1"/>
      <c r="H4283" s="1"/>
      <c r="I4283" s="1"/>
      <c r="J4283" s="1"/>
    </row>
    <row r="4284" ht="15.75" customHeight="1">
      <c r="A4284" s="1"/>
      <c r="B4284" s="1"/>
      <c r="C4284" s="1"/>
      <c r="D4284" s="1"/>
      <c r="E4284" s="1"/>
      <c r="F4284" s="1"/>
      <c r="G4284" s="1"/>
      <c r="H4284" s="1"/>
      <c r="I4284" s="1"/>
      <c r="J4284" s="1"/>
    </row>
    <row r="4285" ht="15.75" customHeight="1">
      <c r="A4285" s="1"/>
      <c r="B4285" s="1"/>
      <c r="C4285" s="1"/>
      <c r="D4285" s="1"/>
      <c r="E4285" s="1"/>
      <c r="F4285" s="1"/>
      <c r="G4285" s="1"/>
      <c r="H4285" s="1"/>
      <c r="I4285" s="1"/>
      <c r="J4285" s="1"/>
    </row>
    <row r="4286" ht="15.75" customHeight="1">
      <c r="A4286" s="1"/>
      <c r="B4286" s="1"/>
      <c r="C4286" s="1"/>
      <c r="D4286" s="1"/>
      <c r="E4286" s="1"/>
      <c r="F4286" s="1"/>
      <c r="G4286" s="1"/>
      <c r="H4286" s="1"/>
      <c r="I4286" s="1"/>
      <c r="J4286" s="1"/>
    </row>
    <row r="4287" ht="15.75" customHeight="1">
      <c r="A4287" s="1"/>
      <c r="B4287" s="1"/>
      <c r="C4287" s="1"/>
      <c r="D4287" s="1"/>
      <c r="E4287" s="1"/>
      <c r="F4287" s="1"/>
      <c r="G4287" s="1"/>
      <c r="H4287" s="1"/>
      <c r="I4287" s="1"/>
      <c r="J4287" s="1"/>
    </row>
    <row r="4288" ht="15.75" customHeight="1">
      <c r="A4288" s="1"/>
      <c r="B4288" s="1"/>
      <c r="C4288" s="1"/>
      <c r="D4288" s="1"/>
      <c r="E4288" s="1"/>
      <c r="F4288" s="1"/>
      <c r="G4288" s="1"/>
      <c r="H4288" s="1"/>
      <c r="I4288" s="1"/>
      <c r="J4288" s="1"/>
    </row>
    <row r="4289" ht="15.75" customHeight="1">
      <c r="A4289" s="1"/>
      <c r="B4289" s="1"/>
      <c r="C4289" s="1"/>
      <c r="D4289" s="1"/>
      <c r="E4289" s="1"/>
      <c r="F4289" s="1"/>
      <c r="G4289" s="1"/>
      <c r="H4289" s="1"/>
      <c r="I4289" s="1"/>
      <c r="J4289" s="1"/>
    </row>
    <row r="4290" ht="15.75" customHeight="1">
      <c r="A4290" s="1"/>
      <c r="B4290" s="1"/>
      <c r="C4290" s="1"/>
      <c r="D4290" s="1"/>
      <c r="E4290" s="1"/>
      <c r="F4290" s="1"/>
      <c r="G4290" s="1"/>
      <c r="H4290" s="1"/>
      <c r="I4290" s="1"/>
      <c r="J4290" s="1"/>
    </row>
    <row r="4291" ht="15.75" customHeight="1">
      <c r="A4291" s="1"/>
      <c r="B4291" s="1"/>
      <c r="C4291" s="1"/>
      <c r="D4291" s="1"/>
      <c r="E4291" s="1"/>
      <c r="F4291" s="1"/>
      <c r="G4291" s="1"/>
      <c r="H4291" s="1"/>
      <c r="I4291" s="1"/>
      <c r="J4291" s="1"/>
    </row>
    <row r="4292" ht="15.75" customHeight="1">
      <c r="A4292" s="1"/>
      <c r="B4292" s="1"/>
      <c r="C4292" s="1"/>
      <c r="D4292" s="1"/>
      <c r="E4292" s="1"/>
      <c r="F4292" s="1"/>
      <c r="G4292" s="1"/>
      <c r="H4292" s="1"/>
      <c r="I4292" s="1"/>
      <c r="J4292" s="1"/>
    </row>
    <row r="4293" ht="15.75" customHeight="1">
      <c r="A4293" s="1"/>
      <c r="B4293" s="1"/>
      <c r="C4293" s="1"/>
      <c r="D4293" s="1"/>
      <c r="E4293" s="1"/>
      <c r="F4293" s="1"/>
      <c r="G4293" s="1"/>
      <c r="H4293" s="1"/>
      <c r="I4293" s="1"/>
      <c r="J4293" s="1"/>
    </row>
    <row r="4294" ht="15.75" customHeight="1">
      <c r="A4294" s="1"/>
      <c r="B4294" s="1"/>
      <c r="C4294" s="1"/>
      <c r="D4294" s="1"/>
      <c r="E4294" s="1"/>
      <c r="F4294" s="1"/>
      <c r="G4294" s="1"/>
      <c r="H4294" s="1"/>
      <c r="I4294" s="1"/>
      <c r="J4294" s="1"/>
    </row>
    <row r="4295" ht="15.75" customHeight="1">
      <c r="A4295" s="1"/>
      <c r="B4295" s="1"/>
      <c r="C4295" s="1"/>
      <c r="D4295" s="1"/>
      <c r="E4295" s="1"/>
      <c r="F4295" s="1"/>
      <c r="G4295" s="1"/>
      <c r="H4295" s="1"/>
      <c r="I4295" s="1"/>
      <c r="J4295" s="1"/>
    </row>
    <row r="4296" ht="15.75" customHeight="1">
      <c r="A4296" s="1"/>
      <c r="B4296" s="1"/>
      <c r="C4296" s="1"/>
      <c r="D4296" s="1"/>
      <c r="E4296" s="1"/>
      <c r="F4296" s="1"/>
      <c r="G4296" s="1"/>
      <c r="H4296" s="1"/>
      <c r="I4296" s="1"/>
      <c r="J4296" s="1"/>
    </row>
    <row r="4297" ht="15.75" customHeight="1">
      <c r="A4297" s="1"/>
      <c r="B4297" s="1"/>
      <c r="C4297" s="1"/>
      <c r="D4297" s="1"/>
      <c r="E4297" s="1"/>
      <c r="F4297" s="1"/>
      <c r="G4297" s="1"/>
      <c r="H4297" s="1"/>
      <c r="I4297" s="1"/>
      <c r="J4297" s="1"/>
    </row>
    <row r="4298" ht="15.75" customHeight="1">
      <c r="A4298" s="1"/>
      <c r="B4298" s="1"/>
      <c r="C4298" s="1"/>
      <c r="D4298" s="1"/>
      <c r="E4298" s="1"/>
      <c r="F4298" s="1"/>
      <c r="G4298" s="1"/>
      <c r="H4298" s="1"/>
      <c r="I4298" s="1"/>
      <c r="J4298" s="1"/>
    </row>
    <row r="4299" ht="15.75" customHeight="1">
      <c r="A4299" s="1"/>
      <c r="B4299" s="1"/>
      <c r="C4299" s="1"/>
      <c r="D4299" s="1"/>
      <c r="E4299" s="1"/>
      <c r="F4299" s="1"/>
      <c r="G4299" s="1"/>
      <c r="H4299" s="1"/>
      <c r="I4299" s="1"/>
      <c r="J4299" s="1"/>
    </row>
    <row r="4300" ht="15.75" customHeight="1">
      <c r="A4300" s="1"/>
      <c r="B4300" s="1"/>
      <c r="C4300" s="1"/>
      <c r="D4300" s="1"/>
      <c r="E4300" s="1"/>
      <c r="F4300" s="1"/>
      <c r="G4300" s="1"/>
      <c r="H4300" s="1"/>
      <c r="I4300" s="1"/>
      <c r="J4300" s="1"/>
    </row>
    <row r="4301" ht="15.75" customHeight="1">
      <c r="A4301" s="1"/>
      <c r="B4301" s="1"/>
      <c r="C4301" s="1"/>
      <c r="D4301" s="1"/>
      <c r="E4301" s="1"/>
      <c r="F4301" s="1"/>
      <c r="G4301" s="1"/>
      <c r="H4301" s="1"/>
      <c r="I4301" s="1"/>
      <c r="J4301" s="1"/>
    </row>
    <row r="4302" ht="15.75" customHeight="1">
      <c r="A4302" s="1"/>
      <c r="B4302" s="1"/>
      <c r="C4302" s="1"/>
      <c r="D4302" s="1"/>
      <c r="E4302" s="1"/>
      <c r="F4302" s="1"/>
      <c r="G4302" s="1"/>
      <c r="H4302" s="1"/>
      <c r="I4302" s="1"/>
      <c r="J4302" s="1"/>
    </row>
    <row r="4303" ht="15.75" customHeight="1">
      <c r="A4303" s="1"/>
      <c r="B4303" s="1"/>
      <c r="C4303" s="1"/>
      <c r="D4303" s="1"/>
      <c r="E4303" s="1"/>
      <c r="F4303" s="1"/>
      <c r="G4303" s="1"/>
      <c r="H4303" s="1"/>
      <c r="I4303" s="1"/>
      <c r="J4303" s="1"/>
    </row>
    <row r="4304" ht="15.75" customHeight="1">
      <c r="A4304" s="1"/>
      <c r="B4304" s="1"/>
      <c r="C4304" s="1"/>
      <c r="D4304" s="1"/>
      <c r="E4304" s="1"/>
      <c r="F4304" s="1"/>
      <c r="G4304" s="1"/>
      <c r="H4304" s="1"/>
      <c r="I4304" s="1"/>
      <c r="J4304" s="1"/>
    </row>
    <row r="4305" ht="15.75" customHeight="1">
      <c r="A4305" s="1"/>
      <c r="B4305" s="1"/>
      <c r="C4305" s="1"/>
      <c r="D4305" s="1"/>
      <c r="E4305" s="1"/>
      <c r="F4305" s="1"/>
      <c r="G4305" s="1"/>
      <c r="H4305" s="1"/>
      <c r="I4305" s="1"/>
      <c r="J4305" s="1"/>
    </row>
    <row r="4306" ht="15.75" customHeight="1">
      <c r="A4306" s="1"/>
      <c r="B4306" s="1"/>
      <c r="C4306" s="1"/>
      <c r="D4306" s="1"/>
      <c r="E4306" s="1"/>
      <c r="F4306" s="1"/>
      <c r="G4306" s="1"/>
      <c r="H4306" s="1"/>
      <c r="I4306" s="1"/>
      <c r="J4306" s="1"/>
    </row>
    <row r="4307" ht="15.75" customHeight="1">
      <c r="A4307" s="1"/>
      <c r="B4307" s="1"/>
      <c r="C4307" s="1"/>
      <c r="D4307" s="1"/>
      <c r="E4307" s="1"/>
      <c r="F4307" s="1"/>
      <c r="G4307" s="1"/>
      <c r="H4307" s="1"/>
      <c r="I4307" s="1"/>
      <c r="J4307" s="1"/>
    </row>
    <row r="4308" ht="15.75" customHeight="1">
      <c r="A4308" s="1"/>
      <c r="B4308" s="1"/>
      <c r="C4308" s="1"/>
      <c r="D4308" s="1"/>
      <c r="E4308" s="1"/>
      <c r="F4308" s="1"/>
      <c r="G4308" s="1"/>
      <c r="H4308" s="1"/>
      <c r="I4308" s="1"/>
      <c r="J4308" s="1"/>
    </row>
    <row r="4309" ht="15.75" customHeight="1">
      <c r="A4309" s="1"/>
      <c r="B4309" s="1"/>
      <c r="C4309" s="1"/>
      <c r="D4309" s="1"/>
      <c r="E4309" s="1"/>
      <c r="F4309" s="1"/>
      <c r="G4309" s="1"/>
      <c r="H4309" s="1"/>
      <c r="I4309" s="1"/>
      <c r="J4309" s="1"/>
    </row>
    <row r="4310" ht="15.75" customHeight="1">
      <c r="A4310" s="1"/>
      <c r="B4310" s="1"/>
      <c r="C4310" s="1"/>
      <c r="D4310" s="1"/>
      <c r="E4310" s="1"/>
      <c r="F4310" s="1"/>
      <c r="G4310" s="1"/>
      <c r="H4310" s="1"/>
      <c r="I4310" s="1"/>
      <c r="J4310" s="1"/>
    </row>
    <row r="4311" ht="15.75" customHeight="1">
      <c r="A4311" s="1"/>
      <c r="B4311" s="1"/>
      <c r="C4311" s="1"/>
      <c r="D4311" s="1"/>
      <c r="E4311" s="1"/>
      <c r="F4311" s="1"/>
      <c r="G4311" s="1"/>
      <c r="H4311" s="1"/>
      <c r="I4311" s="1"/>
      <c r="J4311" s="1"/>
    </row>
    <row r="4312" ht="15.75" customHeight="1">
      <c r="A4312" s="1"/>
      <c r="B4312" s="1"/>
      <c r="C4312" s="1"/>
      <c r="D4312" s="1"/>
      <c r="E4312" s="1"/>
      <c r="F4312" s="1"/>
      <c r="G4312" s="1"/>
      <c r="H4312" s="1"/>
      <c r="I4312" s="1"/>
      <c r="J4312" s="1"/>
    </row>
    <row r="4313" ht="15.75" customHeight="1">
      <c r="A4313" s="1"/>
      <c r="B4313" s="1"/>
      <c r="C4313" s="1"/>
      <c r="D4313" s="1"/>
      <c r="E4313" s="1"/>
      <c r="F4313" s="1"/>
      <c r="G4313" s="1"/>
      <c r="H4313" s="1"/>
      <c r="I4313" s="1"/>
      <c r="J4313" s="1"/>
    </row>
    <row r="4314" ht="15.75" customHeight="1">
      <c r="A4314" s="1"/>
      <c r="B4314" s="1"/>
      <c r="C4314" s="1"/>
      <c r="D4314" s="1"/>
      <c r="E4314" s="1"/>
      <c r="F4314" s="1"/>
      <c r="G4314" s="1"/>
      <c r="H4314" s="1"/>
      <c r="I4314" s="1"/>
      <c r="J4314" s="1"/>
    </row>
    <row r="4315" ht="15.75" customHeight="1">
      <c r="A4315" s="1"/>
      <c r="B4315" s="1"/>
      <c r="C4315" s="1"/>
      <c r="D4315" s="1"/>
      <c r="E4315" s="1"/>
      <c r="F4315" s="1"/>
      <c r="G4315" s="1"/>
      <c r="H4315" s="1"/>
      <c r="I4315" s="1"/>
      <c r="J4315" s="1"/>
    </row>
    <row r="4316" ht="15.75" customHeight="1">
      <c r="A4316" s="1"/>
      <c r="B4316" s="1"/>
      <c r="C4316" s="1"/>
      <c r="D4316" s="1"/>
      <c r="E4316" s="1"/>
      <c r="F4316" s="1"/>
      <c r="G4316" s="1"/>
      <c r="H4316" s="1"/>
      <c r="I4316" s="1"/>
      <c r="J4316" s="1"/>
    </row>
    <row r="4317" ht="15.75" customHeight="1">
      <c r="A4317" s="1"/>
      <c r="B4317" s="1"/>
      <c r="C4317" s="1"/>
      <c r="D4317" s="1"/>
      <c r="E4317" s="1"/>
      <c r="F4317" s="1"/>
      <c r="G4317" s="1"/>
      <c r="H4317" s="1"/>
      <c r="I4317" s="1"/>
      <c r="J4317" s="1"/>
    </row>
    <row r="4318" ht="15.75" customHeight="1">
      <c r="A4318" s="1"/>
      <c r="B4318" s="1"/>
      <c r="C4318" s="1"/>
      <c r="D4318" s="1"/>
      <c r="E4318" s="1"/>
      <c r="F4318" s="1"/>
      <c r="G4318" s="1"/>
      <c r="H4318" s="1"/>
      <c r="I4318" s="1"/>
      <c r="J4318" s="1"/>
    </row>
    <row r="4319" ht="15.75" customHeight="1">
      <c r="A4319" s="1"/>
      <c r="B4319" s="1"/>
      <c r="C4319" s="1"/>
      <c r="D4319" s="1"/>
      <c r="E4319" s="1"/>
      <c r="F4319" s="1"/>
      <c r="G4319" s="1"/>
      <c r="H4319" s="1"/>
      <c r="I4319" s="1"/>
      <c r="J4319" s="1"/>
    </row>
    <row r="4320" ht="15.75" customHeight="1">
      <c r="A4320" s="1"/>
      <c r="B4320" s="1"/>
      <c r="C4320" s="1"/>
      <c r="D4320" s="1"/>
      <c r="E4320" s="1"/>
      <c r="F4320" s="1"/>
      <c r="G4320" s="1"/>
      <c r="H4320" s="1"/>
      <c r="I4320" s="1"/>
      <c r="J4320" s="1"/>
    </row>
    <row r="4321" ht="15.75" customHeight="1">
      <c r="A4321" s="1"/>
      <c r="B4321" s="1"/>
      <c r="C4321" s="1"/>
      <c r="D4321" s="1"/>
      <c r="E4321" s="1"/>
      <c r="F4321" s="1"/>
      <c r="G4321" s="1"/>
      <c r="H4321" s="1"/>
      <c r="I4321" s="1"/>
      <c r="J4321" s="1"/>
    </row>
    <row r="4322" ht="15.75" customHeight="1">
      <c r="A4322" s="1"/>
      <c r="B4322" s="1"/>
      <c r="C4322" s="1"/>
      <c r="D4322" s="1"/>
      <c r="E4322" s="1"/>
      <c r="F4322" s="1"/>
      <c r="G4322" s="1"/>
      <c r="H4322" s="1"/>
      <c r="I4322" s="1"/>
      <c r="J4322" s="1"/>
    </row>
    <row r="4323" ht="15.75" customHeight="1">
      <c r="A4323" s="1"/>
      <c r="B4323" s="1"/>
      <c r="C4323" s="1"/>
      <c r="D4323" s="1"/>
      <c r="E4323" s="1"/>
      <c r="F4323" s="1"/>
      <c r="G4323" s="1"/>
      <c r="H4323" s="1"/>
      <c r="I4323" s="1"/>
      <c r="J4323" s="1"/>
    </row>
    <row r="4324" ht="15.75" customHeight="1">
      <c r="A4324" s="1"/>
      <c r="B4324" s="1"/>
      <c r="C4324" s="1"/>
      <c r="D4324" s="1"/>
      <c r="E4324" s="1"/>
      <c r="F4324" s="1"/>
      <c r="G4324" s="1"/>
      <c r="H4324" s="1"/>
      <c r="I4324" s="1"/>
      <c r="J4324" s="1"/>
    </row>
    <row r="4325" ht="15.75" customHeight="1">
      <c r="A4325" s="1"/>
      <c r="B4325" s="1"/>
      <c r="C4325" s="1"/>
      <c r="D4325" s="1"/>
      <c r="E4325" s="1"/>
      <c r="F4325" s="1"/>
      <c r="G4325" s="1"/>
      <c r="H4325" s="1"/>
      <c r="I4325" s="1"/>
      <c r="J4325" s="1"/>
    </row>
    <row r="4326" ht="15.75" customHeight="1">
      <c r="A4326" s="1"/>
      <c r="B4326" s="1"/>
      <c r="C4326" s="1"/>
      <c r="D4326" s="1"/>
      <c r="E4326" s="1"/>
      <c r="F4326" s="1"/>
      <c r="G4326" s="1"/>
      <c r="H4326" s="1"/>
      <c r="I4326" s="1"/>
      <c r="J4326" s="1"/>
    </row>
    <row r="4327" ht="15.75" customHeight="1">
      <c r="A4327" s="1"/>
      <c r="B4327" s="1"/>
      <c r="C4327" s="1"/>
      <c r="D4327" s="1"/>
      <c r="E4327" s="1"/>
      <c r="F4327" s="1"/>
      <c r="G4327" s="1"/>
      <c r="H4327" s="1"/>
      <c r="I4327" s="1"/>
      <c r="J4327" s="1"/>
    </row>
    <row r="4328" ht="15.75" customHeight="1">
      <c r="A4328" s="1"/>
      <c r="B4328" s="1"/>
      <c r="C4328" s="1"/>
      <c r="D4328" s="1"/>
      <c r="E4328" s="1"/>
      <c r="F4328" s="1"/>
      <c r="G4328" s="1"/>
      <c r="H4328" s="1"/>
      <c r="I4328" s="1"/>
      <c r="J4328" s="1"/>
    </row>
    <row r="4329" ht="15.75" customHeight="1">
      <c r="A4329" s="1"/>
      <c r="B4329" s="1"/>
      <c r="C4329" s="1"/>
      <c r="D4329" s="1"/>
      <c r="E4329" s="1"/>
      <c r="F4329" s="1"/>
      <c r="G4329" s="1"/>
      <c r="H4329" s="1"/>
      <c r="I4329" s="1"/>
      <c r="J4329" s="1"/>
    </row>
    <row r="4330" ht="15.75" customHeight="1">
      <c r="A4330" s="1"/>
      <c r="B4330" s="1"/>
      <c r="C4330" s="1"/>
      <c r="D4330" s="1"/>
      <c r="E4330" s="1"/>
      <c r="F4330" s="1"/>
      <c r="G4330" s="1"/>
      <c r="H4330" s="1"/>
      <c r="I4330" s="1"/>
      <c r="J4330" s="1"/>
    </row>
    <row r="4331" ht="15.75" customHeight="1">
      <c r="A4331" s="1"/>
      <c r="B4331" s="1"/>
      <c r="C4331" s="1"/>
      <c r="D4331" s="1"/>
      <c r="E4331" s="1"/>
      <c r="F4331" s="1"/>
      <c r="G4331" s="1"/>
      <c r="H4331" s="1"/>
      <c r="I4331" s="1"/>
      <c r="J4331" s="1"/>
    </row>
    <row r="4332" ht="15.75" customHeight="1">
      <c r="A4332" s="1"/>
      <c r="B4332" s="1"/>
      <c r="C4332" s="1"/>
      <c r="D4332" s="1"/>
      <c r="E4332" s="1"/>
      <c r="F4332" s="1"/>
      <c r="G4332" s="1"/>
      <c r="H4332" s="1"/>
      <c r="I4332" s="1"/>
      <c r="J4332" s="1"/>
    </row>
    <row r="4333" ht="15.75" customHeight="1">
      <c r="A4333" s="1"/>
      <c r="B4333" s="1"/>
      <c r="C4333" s="1"/>
      <c r="D4333" s="1"/>
      <c r="E4333" s="1"/>
      <c r="F4333" s="1"/>
      <c r="G4333" s="1"/>
      <c r="H4333" s="1"/>
      <c r="I4333" s="1"/>
      <c r="J4333" s="1"/>
    </row>
    <row r="4334" ht="15.75" customHeight="1">
      <c r="A4334" s="1"/>
      <c r="B4334" s="1"/>
      <c r="C4334" s="1"/>
      <c r="D4334" s="1"/>
      <c r="E4334" s="1"/>
      <c r="F4334" s="1"/>
      <c r="G4334" s="1"/>
      <c r="H4334" s="1"/>
      <c r="I4334" s="1"/>
      <c r="J4334" s="1"/>
    </row>
    <row r="4335" ht="15.75" customHeight="1">
      <c r="A4335" s="1"/>
      <c r="B4335" s="1"/>
      <c r="C4335" s="1"/>
      <c r="D4335" s="1"/>
      <c r="E4335" s="1"/>
      <c r="F4335" s="1"/>
      <c r="G4335" s="1"/>
      <c r="H4335" s="1"/>
      <c r="I4335" s="1"/>
      <c r="J4335" s="1"/>
    </row>
    <row r="4336" ht="15.75" customHeight="1">
      <c r="A4336" s="1"/>
      <c r="B4336" s="1"/>
      <c r="C4336" s="1"/>
      <c r="D4336" s="1"/>
      <c r="E4336" s="1"/>
      <c r="F4336" s="1"/>
      <c r="G4336" s="1"/>
      <c r="H4336" s="1"/>
      <c r="I4336" s="1"/>
      <c r="J4336" s="1"/>
    </row>
    <row r="4337" ht="15.75" customHeight="1">
      <c r="A4337" s="1"/>
      <c r="B4337" s="1"/>
      <c r="C4337" s="1"/>
      <c r="D4337" s="1"/>
      <c r="E4337" s="1"/>
      <c r="F4337" s="1"/>
      <c r="G4337" s="1"/>
      <c r="H4337" s="1"/>
      <c r="I4337" s="1"/>
      <c r="J4337" s="1"/>
    </row>
    <row r="4338" ht="15.75" customHeight="1">
      <c r="A4338" s="1"/>
      <c r="B4338" s="1"/>
      <c r="C4338" s="1"/>
      <c r="D4338" s="1"/>
      <c r="E4338" s="1"/>
      <c r="F4338" s="1"/>
      <c r="G4338" s="1"/>
      <c r="H4338" s="1"/>
      <c r="I4338" s="1"/>
      <c r="J4338" s="1"/>
    </row>
    <row r="4339" ht="15.75" customHeight="1">
      <c r="A4339" s="1"/>
      <c r="B4339" s="1"/>
      <c r="C4339" s="1"/>
      <c r="D4339" s="1"/>
      <c r="E4339" s="1"/>
      <c r="F4339" s="1"/>
      <c r="G4339" s="1"/>
      <c r="H4339" s="1"/>
      <c r="I4339" s="1"/>
      <c r="J4339" s="1"/>
    </row>
    <row r="4340" ht="15.75" customHeight="1">
      <c r="A4340" s="1"/>
      <c r="B4340" s="1"/>
      <c r="C4340" s="1"/>
      <c r="D4340" s="1"/>
      <c r="E4340" s="1"/>
      <c r="F4340" s="1"/>
      <c r="G4340" s="1"/>
      <c r="H4340" s="1"/>
      <c r="I4340" s="1"/>
      <c r="J4340" s="1"/>
    </row>
    <row r="4341" ht="15.75" customHeight="1">
      <c r="A4341" s="1"/>
      <c r="B4341" s="1"/>
      <c r="C4341" s="1"/>
      <c r="D4341" s="1"/>
      <c r="E4341" s="1"/>
      <c r="F4341" s="1"/>
      <c r="G4341" s="1"/>
      <c r="H4341" s="1"/>
      <c r="I4341" s="1"/>
      <c r="J4341" s="1"/>
    </row>
    <row r="4342" ht="15.75" customHeight="1">
      <c r="A4342" s="1"/>
      <c r="B4342" s="1"/>
      <c r="C4342" s="1"/>
      <c r="D4342" s="1"/>
      <c r="E4342" s="1"/>
      <c r="F4342" s="1"/>
      <c r="G4342" s="1"/>
      <c r="H4342" s="1"/>
      <c r="I4342" s="1"/>
      <c r="J4342" s="1"/>
    </row>
    <row r="4343" ht="15.75" customHeight="1">
      <c r="A4343" s="1"/>
      <c r="B4343" s="1"/>
      <c r="C4343" s="1"/>
      <c r="D4343" s="1"/>
      <c r="E4343" s="1"/>
      <c r="F4343" s="1"/>
      <c r="G4343" s="1"/>
      <c r="H4343" s="1"/>
      <c r="I4343" s="1"/>
      <c r="J4343" s="1"/>
    </row>
    <row r="4344" ht="15.75" customHeight="1">
      <c r="A4344" s="1"/>
      <c r="B4344" s="1"/>
      <c r="C4344" s="1"/>
      <c r="D4344" s="1"/>
      <c r="E4344" s="1"/>
      <c r="F4344" s="1"/>
      <c r="G4344" s="1"/>
      <c r="H4344" s="1"/>
      <c r="I4344" s="1"/>
      <c r="J4344" s="1"/>
    </row>
    <row r="4345" ht="15.75" customHeight="1">
      <c r="A4345" s="1"/>
      <c r="B4345" s="1"/>
      <c r="C4345" s="1"/>
      <c r="D4345" s="1"/>
      <c r="E4345" s="1"/>
      <c r="F4345" s="1"/>
      <c r="G4345" s="1"/>
      <c r="H4345" s="1"/>
      <c r="I4345" s="1"/>
      <c r="J4345" s="1"/>
    </row>
    <row r="4346" ht="15.75" customHeight="1">
      <c r="A4346" s="1"/>
      <c r="B4346" s="1"/>
      <c r="C4346" s="1"/>
      <c r="D4346" s="1"/>
      <c r="E4346" s="1"/>
      <c r="F4346" s="1"/>
      <c r="G4346" s="1"/>
      <c r="H4346" s="1"/>
      <c r="I4346" s="1"/>
      <c r="J4346" s="1"/>
    </row>
    <row r="4347" ht="15.75" customHeight="1">
      <c r="A4347" s="1"/>
      <c r="B4347" s="1"/>
      <c r="C4347" s="1"/>
      <c r="D4347" s="1"/>
      <c r="E4347" s="1"/>
      <c r="F4347" s="1"/>
      <c r="G4347" s="1"/>
      <c r="H4347" s="1"/>
      <c r="I4347" s="1"/>
      <c r="J4347" s="1"/>
    </row>
    <row r="4348" ht="15.75" customHeight="1">
      <c r="A4348" s="1"/>
      <c r="B4348" s="1"/>
      <c r="C4348" s="1"/>
      <c r="D4348" s="1"/>
      <c r="E4348" s="1"/>
      <c r="F4348" s="1"/>
      <c r="G4348" s="1"/>
      <c r="H4348" s="1"/>
      <c r="I4348" s="1"/>
      <c r="J4348" s="1"/>
    </row>
    <row r="4349" ht="15.75" customHeight="1">
      <c r="A4349" s="1"/>
      <c r="B4349" s="1"/>
      <c r="C4349" s="1"/>
      <c r="D4349" s="1"/>
      <c r="E4349" s="1"/>
      <c r="F4349" s="1"/>
      <c r="G4349" s="1"/>
      <c r="H4349" s="1"/>
      <c r="I4349" s="1"/>
      <c r="J4349" s="1"/>
    </row>
    <row r="4350" ht="15.75" customHeight="1">
      <c r="A4350" s="1"/>
      <c r="B4350" s="1"/>
      <c r="C4350" s="1"/>
      <c r="D4350" s="1"/>
      <c r="E4350" s="1"/>
      <c r="F4350" s="1"/>
      <c r="G4350" s="1"/>
      <c r="H4350" s="1"/>
      <c r="I4350" s="1"/>
      <c r="J4350" s="1"/>
    </row>
    <row r="4351" ht="15.75" customHeight="1">
      <c r="A4351" s="1"/>
      <c r="B4351" s="1"/>
      <c r="C4351" s="1"/>
      <c r="D4351" s="1"/>
      <c r="E4351" s="1"/>
      <c r="F4351" s="1"/>
      <c r="G4351" s="1"/>
      <c r="H4351" s="1"/>
      <c r="I4351" s="1"/>
      <c r="J4351" s="1"/>
    </row>
    <row r="4352" ht="15.75" customHeight="1">
      <c r="A4352" s="1"/>
      <c r="B4352" s="1"/>
      <c r="C4352" s="1"/>
      <c r="D4352" s="1"/>
      <c r="E4352" s="1"/>
      <c r="F4352" s="1"/>
      <c r="G4352" s="1"/>
      <c r="H4352" s="1"/>
      <c r="I4352" s="1"/>
      <c r="J4352" s="1"/>
    </row>
    <row r="4353" ht="15.75" customHeight="1">
      <c r="A4353" s="1"/>
      <c r="B4353" s="1"/>
      <c r="C4353" s="1"/>
      <c r="D4353" s="1"/>
      <c r="E4353" s="1"/>
      <c r="F4353" s="1"/>
      <c r="G4353" s="1"/>
      <c r="H4353" s="1"/>
      <c r="I4353" s="1"/>
      <c r="J4353" s="1"/>
    </row>
    <row r="4354" ht="15.75" customHeight="1">
      <c r="A4354" s="1"/>
      <c r="B4354" s="1"/>
      <c r="C4354" s="1"/>
      <c r="D4354" s="1"/>
      <c r="E4354" s="1"/>
      <c r="F4354" s="1"/>
      <c r="G4354" s="1"/>
      <c r="H4354" s="1"/>
      <c r="I4354" s="1"/>
      <c r="J4354" s="1"/>
    </row>
    <row r="4355" ht="15.75" customHeight="1">
      <c r="A4355" s="1"/>
      <c r="B4355" s="1"/>
      <c r="C4355" s="1"/>
      <c r="D4355" s="1"/>
      <c r="E4355" s="1"/>
      <c r="F4355" s="1"/>
      <c r="G4355" s="1"/>
      <c r="H4355" s="1"/>
      <c r="I4355" s="1"/>
      <c r="J4355" s="1"/>
    </row>
    <row r="4356" ht="15.75" customHeight="1">
      <c r="A4356" s="1"/>
      <c r="B4356" s="1"/>
      <c r="C4356" s="1"/>
      <c r="D4356" s="1"/>
      <c r="E4356" s="1"/>
      <c r="F4356" s="1"/>
      <c r="G4356" s="1"/>
      <c r="H4356" s="1"/>
      <c r="I4356" s="1"/>
      <c r="J4356" s="1"/>
    </row>
    <row r="4357" ht="15.75" customHeight="1">
      <c r="A4357" s="1"/>
      <c r="B4357" s="1"/>
      <c r="C4357" s="1"/>
      <c r="D4357" s="1"/>
      <c r="E4357" s="1"/>
      <c r="F4357" s="1"/>
      <c r="G4357" s="1"/>
      <c r="H4357" s="1"/>
      <c r="I4357" s="1"/>
      <c r="J4357" s="1"/>
    </row>
    <row r="4358" ht="15.75" customHeight="1">
      <c r="A4358" s="1"/>
      <c r="B4358" s="1"/>
      <c r="C4358" s="1"/>
      <c r="D4358" s="1"/>
      <c r="E4358" s="1"/>
      <c r="F4358" s="1"/>
      <c r="G4358" s="1"/>
      <c r="H4358" s="1"/>
      <c r="I4358" s="1"/>
      <c r="J4358" s="1"/>
    </row>
    <row r="4359" ht="15.75" customHeight="1">
      <c r="A4359" s="1"/>
      <c r="B4359" s="1"/>
      <c r="C4359" s="1"/>
      <c r="D4359" s="1"/>
      <c r="E4359" s="1"/>
      <c r="F4359" s="1"/>
      <c r="G4359" s="1"/>
      <c r="H4359" s="1"/>
      <c r="I4359" s="1"/>
      <c r="J4359" s="1"/>
    </row>
    <row r="4360" ht="15.75" customHeight="1">
      <c r="A4360" s="1"/>
      <c r="B4360" s="1"/>
      <c r="C4360" s="1"/>
      <c r="D4360" s="1"/>
      <c r="E4360" s="1"/>
      <c r="F4360" s="1"/>
      <c r="G4360" s="1"/>
      <c r="H4360" s="1"/>
      <c r="I4360" s="1"/>
      <c r="J4360" s="1"/>
    </row>
    <row r="4361" ht="15.75" customHeight="1">
      <c r="A4361" s="1"/>
      <c r="B4361" s="1"/>
      <c r="C4361" s="1"/>
      <c r="D4361" s="1"/>
      <c r="E4361" s="1"/>
      <c r="F4361" s="1"/>
      <c r="G4361" s="1"/>
      <c r="H4361" s="1"/>
      <c r="I4361" s="1"/>
      <c r="J4361" s="1"/>
    </row>
    <row r="4362" ht="15.75" customHeight="1">
      <c r="A4362" s="1"/>
      <c r="B4362" s="1"/>
      <c r="C4362" s="1"/>
      <c r="D4362" s="1"/>
      <c r="E4362" s="1"/>
      <c r="F4362" s="1"/>
      <c r="G4362" s="1"/>
      <c r="H4362" s="1"/>
      <c r="I4362" s="1"/>
      <c r="J4362" s="1"/>
    </row>
    <row r="4363" ht="15.75" customHeight="1">
      <c r="A4363" s="1"/>
      <c r="B4363" s="1"/>
      <c r="C4363" s="1"/>
      <c r="D4363" s="1"/>
      <c r="E4363" s="1"/>
      <c r="F4363" s="1"/>
      <c r="G4363" s="1"/>
      <c r="H4363" s="1"/>
      <c r="I4363" s="1"/>
      <c r="J4363" s="1"/>
    </row>
    <row r="4364" ht="15.75" customHeight="1">
      <c r="A4364" s="1"/>
      <c r="B4364" s="1"/>
      <c r="C4364" s="1"/>
      <c r="D4364" s="1"/>
      <c r="E4364" s="1"/>
      <c r="F4364" s="1"/>
      <c r="G4364" s="1"/>
      <c r="H4364" s="1"/>
      <c r="I4364" s="1"/>
      <c r="J4364" s="1"/>
    </row>
    <row r="4365" ht="15.75" customHeight="1">
      <c r="A4365" s="1"/>
      <c r="B4365" s="1"/>
      <c r="C4365" s="1"/>
      <c r="D4365" s="1"/>
      <c r="E4365" s="1"/>
      <c r="F4365" s="1"/>
      <c r="G4365" s="1"/>
      <c r="H4365" s="1"/>
      <c r="I4365" s="1"/>
      <c r="J4365" s="1"/>
    </row>
    <row r="4366" ht="15.75" customHeight="1">
      <c r="A4366" s="1"/>
      <c r="B4366" s="1"/>
      <c r="C4366" s="1"/>
      <c r="D4366" s="1"/>
      <c r="E4366" s="1"/>
      <c r="F4366" s="1"/>
      <c r="G4366" s="1"/>
      <c r="H4366" s="1"/>
      <c r="I4366" s="1"/>
      <c r="J4366" s="1"/>
    </row>
    <row r="4367" ht="15.75" customHeight="1">
      <c r="A4367" s="1"/>
      <c r="B4367" s="1"/>
      <c r="C4367" s="1"/>
      <c r="D4367" s="1"/>
      <c r="E4367" s="1"/>
      <c r="F4367" s="1"/>
      <c r="G4367" s="1"/>
      <c r="H4367" s="1"/>
      <c r="I4367" s="1"/>
      <c r="J4367" s="1"/>
    </row>
    <row r="4368" ht="15.75" customHeight="1">
      <c r="A4368" s="1"/>
      <c r="B4368" s="1"/>
      <c r="C4368" s="1"/>
      <c r="D4368" s="1"/>
      <c r="E4368" s="1"/>
      <c r="F4368" s="1"/>
      <c r="G4368" s="1"/>
      <c r="H4368" s="1"/>
      <c r="I4368" s="1"/>
      <c r="J4368" s="1"/>
    </row>
    <row r="4369" ht="15.75" customHeight="1">
      <c r="A4369" s="1"/>
      <c r="B4369" s="1"/>
      <c r="C4369" s="1"/>
      <c r="D4369" s="1"/>
      <c r="E4369" s="1"/>
      <c r="F4369" s="1"/>
      <c r="G4369" s="1"/>
      <c r="H4369" s="1"/>
      <c r="I4369" s="1"/>
      <c r="J4369" s="1"/>
    </row>
    <row r="4370" ht="15.75" customHeight="1">
      <c r="A4370" s="1"/>
      <c r="B4370" s="1"/>
      <c r="C4370" s="1"/>
      <c r="D4370" s="1"/>
      <c r="E4370" s="1"/>
      <c r="F4370" s="1"/>
      <c r="G4370" s="1"/>
      <c r="H4370" s="1"/>
      <c r="I4370" s="1"/>
      <c r="J4370" s="1"/>
    </row>
    <row r="4371" ht="15.75" customHeight="1">
      <c r="A4371" s="1"/>
      <c r="B4371" s="1"/>
      <c r="C4371" s="1"/>
      <c r="D4371" s="1"/>
      <c r="E4371" s="1"/>
      <c r="F4371" s="1"/>
      <c r="G4371" s="1"/>
      <c r="H4371" s="1"/>
      <c r="I4371" s="1"/>
      <c r="J4371" s="1"/>
    </row>
    <row r="4372" ht="15.75" customHeight="1">
      <c r="A4372" s="1"/>
      <c r="B4372" s="1"/>
      <c r="C4372" s="1"/>
      <c r="D4372" s="1"/>
      <c r="E4372" s="1"/>
      <c r="F4372" s="1"/>
      <c r="G4372" s="1"/>
      <c r="H4372" s="1"/>
      <c r="I4372" s="1"/>
      <c r="J4372" s="1"/>
    </row>
    <row r="4373" ht="15.75" customHeight="1">
      <c r="A4373" s="1"/>
      <c r="B4373" s="1"/>
      <c r="C4373" s="1"/>
      <c r="D4373" s="1"/>
      <c r="E4373" s="1"/>
      <c r="F4373" s="1"/>
      <c r="G4373" s="1"/>
      <c r="H4373" s="1"/>
      <c r="I4373" s="1"/>
      <c r="J4373" s="1"/>
    </row>
    <row r="4374" ht="15.75" customHeight="1">
      <c r="A4374" s="1"/>
      <c r="B4374" s="1"/>
      <c r="C4374" s="1"/>
      <c r="D4374" s="1"/>
      <c r="E4374" s="1"/>
      <c r="F4374" s="1"/>
      <c r="G4374" s="1"/>
      <c r="H4374" s="1"/>
      <c r="I4374" s="1"/>
      <c r="J4374" s="1"/>
    </row>
    <row r="4375" ht="15.75" customHeight="1">
      <c r="A4375" s="1"/>
      <c r="B4375" s="1"/>
      <c r="C4375" s="1"/>
      <c r="D4375" s="1"/>
      <c r="E4375" s="1"/>
      <c r="F4375" s="1"/>
      <c r="G4375" s="1"/>
      <c r="H4375" s="1"/>
      <c r="I4375" s="1"/>
      <c r="J4375" s="1"/>
    </row>
    <row r="4376" ht="15.75" customHeight="1">
      <c r="A4376" s="1"/>
      <c r="B4376" s="1"/>
      <c r="C4376" s="1"/>
      <c r="D4376" s="1"/>
      <c r="E4376" s="1"/>
      <c r="F4376" s="1"/>
      <c r="G4376" s="1"/>
      <c r="H4376" s="1"/>
      <c r="I4376" s="1"/>
      <c r="J4376" s="1"/>
    </row>
    <row r="4377" ht="15.75" customHeight="1">
      <c r="A4377" s="1"/>
      <c r="B4377" s="1"/>
      <c r="C4377" s="1"/>
      <c r="D4377" s="1"/>
      <c r="E4377" s="1"/>
      <c r="F4377" s="1"/>
      <c r="G4377" s="1"/>
      <c r="H4377" s="1"/>
      <c r="I4377" s="1"/>
      <c r="J4377" s="1"/>
    </row>
    <row r="4378" ht="15.75" customHeight="1">
      <c r="A4378" s="1"/>
      <c r="B4378" s="1"/>
      <c r="C4378" s="1"/>
      <c r="D4378" s="1"/>
      <c r="E4378" s="1"/>
      <c r="F4378" s="1"/>
      <c r="G4378" s="1"/>
      <c r="H4378" s="1"/>
      <c r="I4378" s="1"/>
      <c r="J4378" s="1"/>
    </row>
    <row r="4379" ht="15.75" customHeight="1">
      <c r="A4379" s="1"/>
      <c r="B4379" s="1"/>
      <c r="C4379" s="1"/>
      <c r="D4379" s="1"/>
      <c r="E4379" s="1"/>
      <c r="F4379" s="1"/>
      <c r="G4379" s="1"/>
      <c r="H4379" s="1"/>
      <c r="I4379" s="1"/>
      <c r="J4379" s="1"/>
    </row>
    <row r="4380" ht="15.75" customHeight="1">
      <c r="A4380" s="1"/>
      <c r="B4380" s="1"/>
      <c r="C4380" s="1"/>
      <c r="D4380" s="1"/>
      <c r="E4380" s="1"/>
      <c r="F4380" s="1"/>
      <c r="G4380" s="1"/>
      <c r="H4380" s="1"/>
      <c r="I4380" s="1"/>
      <c r="J4380" s="1"/>
    </row>
    <row r="4381" ht="15.75" customHeight="1">
      <c r="A4381" s="1"/>
      <c r="B4381" s="1"/>
      <c r="C4381" s="1"/>
      <c r="D4381" s="1"/>
      <c r="E4381" s="1"/>
      <c r="F4381" s="1"/>
      <c r="G4381" s="1"/>
      <c r="H4381" s="1"/>
      <c r="I4381" s="1"/>
      <c r="J4381" s="1"/>
    </row>
    <row r="4382" ht="15.75" customHeight="1">
      <c r="A4382" s="1"/>
      <c r="B4382" s="1"/>
      <c r="C4382" s="1"/>
      <c r="D4382" s="1"/>
      <c r="E4382" s="1"/>
      <c r="F4382" s="1"/>
      <c r="G4382" s="1"/>
      <c r="H4382" s="1"/>
      <c r="I4382" s="1"/>
      <c r="J4382" s="1"/>
    </row>
    <row r="4383" ht="15.75" customHeight="1">
      <c r="A4383" s="1"/>
      <c r="B4383" s="1"/>
      <c r="C4383" s="1"/>
      <c r="D4383" s="1"/>
      <c r="E4383" s="1"/>
      <c r="F4383" s="1"/>
      <c r="G4383" s="1"/>
      <c r="H4383" s="1"/>
      <c r="I4383" s="1"/>
      <c r="J4383" s="1"/>
    </row>
    <row r="4384" ht="15.75" customHeight="1">
      <c r="A4384" s="1"/>
      <c r="B4384" s="1"/>
      <c r="C4384" s="1"/>
      <c r="D4384" s="1"/>
      <c r="E4384" s="1"/>
      <c r="F4384" s="1"/>
      <c r="G4384" s="1"/>
      <c r="H4384" s="1"/>
      <c r="I4384" s="1"/>
      <c r="J4384" s="1"/>
    </row>
    <row r="4385" ht="15.75" customHeight="1">
      <c r="A4385" s="1"/>
      <c r="B4385" s="1"/>
      <c r="C4385" s="1"/>
      <c r="D4385" s="1"/>
      <c r="E4385" s="1"/>
      <c r="F4385" s="1"/>
      <c r="G4385" s="1"/>
      <c r="H4385" s="1"/>
      <c r="I4385" s="1"/>
      <c r="J4385" s="1"/>
    </row>
    <row r="4386" ht="15.75" customHeight="1">
      <c r="A4386" s="1"/>
      <c r="B4386" s="1"/>
      <c r="C4386" s="1"/>
      <c r="D4386" s="1"/>
      <c r="E4386" s="1"/>
      <c r="F4386" s="1"/>
      <c r="G4386" s="1"/>
      <c r="H4386" s="1"/>
      <c r="I4386" s="1"/>
      <c r="J4386" s="1"/>
    </row>
    <row r="4387" ht="15.75" customHeight="1">
      <c r="A4387" s="1"/>
      <c r="B4387" s="1"/>
      <c r="C4387" s="1"/>
      <c r="D4387" s="1"/>
      <c r="E4387" s="1"/>
      <c r="F4387" s="1"/>
      <c r="G4387" s="1"/>
      <c r="H4387" s="1"/>
      <c r="I4387" s="1"/>
      <c r="J4387" s="1"/>
    </row>
    <row r="4388" ht="15.75" customHeight="1">
      <c r="A4388" s="1"/>
      <c r="B4388" s="1"/>
      <c r="C4388" s="1"/>
      <c r="D4388" s="1"/>
      <c r="E4388" s="1"/>
      <c r="F4388" s="1"/>
      <c r="G4388" s="1"/>
      <c r="H4388" s="1"/>
      <c r="I4388" s="1"/>
      <c r="J4388" s="1"/>
    </row>
    <row r="4389" ht="15.75" customHeight="1">
      <c r="A4389" s="1"/>
      <c r="B4389" s="1"/>
      <c r="C4389" s="1"/>
      <c r="D4389" s="1"/>
      <c r="E4389" s="1"/>
      <c r="F4389" s="1"/>
      <c r="G4389" s="1"/>
      <c r="H4389" s="1"/>
      <c r="I4389" s="1"/>
      <c r="J4389" s="1"/>
    </row>
    <row r="4390" ht="15.75" customHeight="1">
      <c r="A4390" s="1"/>
      <c r="B4390" s="1"/>
      <c r="C4390" s="1"/>
      <c r="D4390" s="1"/>
      <c r="E4390" s="1"/>
      <c r="F4390" s="1"/>
      <c r="G4390" s="1"/>
      <c r="H4390" s="1"/>
      <c r="I4390" s="1"/>
      <c r="J4390" s="1"/>
    </row>
    <row r="4391" ht="15.75" customHeight="1">
      <c r="A4391" s="1"/>
      <c r="B4391" s="1"/>
      <c r="C4391" s="1"/>
      <c r="D4391" s="1"/>
      <c r="E4391" s="1"/>
      <c r="F4391" s="1"/>
      <c r="G4391" s="1"/>
      <c r="H4391" s="1"/>
      <c r="I4391" s="1"/>
      <c r="J4391" s="1"/>
    </row>
    <row r="4392" ht="15.75" customHeight="1">
      <c r="A4392" s="1"/>
      <c r="B4392" s="1"/>
      <c r="C4392" s="1"/>
      <c r="D4392" s="1"/>
      <c r="E4392" s="1"/>
      <c r="F4392" s="1"/>
      <c r="G4392" s="1"/>
      <c r="H4392" s="1"/>
      <c r="I4392" s="1"/>
      <c r="J4392" s="1"/>
    </row>
    <row r="4393" ht="15.75" customHeight="1">
      <c r="A4393" s="1"/>
      <c r="B4393" s="1"/>
      <c r="C4393" s="1"/>
      <c r="D4393" s="1"/>
      <c r="E4393" s="1"/>
      <c r="F4393" s="1"/>
      <c r="G4393" s="1"/>
      <c r="H4393" s="1"/>
      <c r="I4393" s="1"/>
      <c r="J4393" s="1"/>
    </row>
    <row r="4394" ht="15.75" customHeight="1">
      <c r="A4394" s="1"/>
      <c r="B4394" s="1"/>
      <c r="C4394" s="1"/>
      <c r="D4394" s="1"/>
      <c r="E4394" s="1"/>
      <c r="F4394" s="1"/>
      <c r="G4394" s="1"/>
      <c r="H4394" s="1"/>
      <c r="I4394" s="1"/>
      <c r="J4394" s="1"/>
    </row>
    <row r="4395" ht="15.75" customHeight="1">
      <c r="A4395" s="1"/>
      <c r="B4395" s="1"/>
      <c r="C4395" s="1"/>
      <c r="D4395" s="1"/>
      <c r="E4395" s="1"/>
      <c r="F4395" s="1"/>
      <c r="G4395" s="1"/>
      <c r="H4395" s="1"/>
      <c r="I4395" s="1"/>
      <c r="J4395" s="1"/>
    </row>
    <row r="4396" ht="15.75" customHeight="1">
      <c r="A4396" s="1"/>
      <c r="B4396" s="1"/>
      <c r="C4396" s="1"/>
      <c r="D4396" s="1"/>
      <c r="E4396" s="1"/>
      <c r="F4396" s="1"/>
      <c r="G4396" s="1"/>
      <c r="H4396" s="1"/>
      <c r="I4396" s="1"/>
      <c r="J4396" s="1"/>
    </row>
    <row r="4397" ht="15.75" customHeight="1">
      <c r="A4397" s="1"/>
      <c r="B4397" s="1"/>
      <c r="C4397" s="1"/>
      <c r="D4397" s="1"/>
      <c r="E4397" s="1"/>
      <c r="F4397" s="1"/>
      <c r="G4397" s="1"/>
      <c r="H4397" s="1"/>
      <c r="I4397" s="1"/>
      <c r="J4397" s="1"/>
    </row>
    <row r="4398" ht="15.75" customHeight="1">
      <c r="A4398" s="1"/>
      <c r="B4398" s="1"/>
      <c r="C4398" s="1"/>
      <c r="D4398" s="1"/>
      <c r="E4398" s="1"/>
      <c r="F4398" s="1"/>
      <c r="G4398" s="1"/>
      <c r="H4398" s="1"/>
      <c r="I4398" s="1"/>
      <c r="J4398" s="1"/>
    </row>
    <row r="4399" ht="15.75" customHeight="1">
      <c r="A4399" s="1"/>
      <c r="B4399" s="1"/>
      <c r="C4399" s="1"/>
      <c r="D4399" s="1"/>
      <c r="E4399" s="1"/>
      <c r="F4399" s="1"/>
      <c r="G4399" s="1"/>
      <c r="H4399" s="1"/>
      <c r="I4399" s="1"/>
      <c r="J4399" s="1"/>
    </row>
    <row r="4400" ht="15.75" customHeight="1">
      <c r="A4400" s="1"/>
      <c r="B4400" s="1"/>
      <c r="C4400" s="1"/>
      <c r="D4400" s="1"/>
      <c r="E4400" s="1"/>
      <c r="F4400" s="1"/>
      <c r="G4400" s="1"/>
      <c r="H4400" s="1"/>
      <c r="I4400" s="1"/>
      <c r="J4400" s="1"/>
    </row>
    <row r="4401" ht="15.75" customHeight="1">
      <c r="A4401" s="1"/>
      <c r="B4401" s="1"/>
      <c r="C4401" s="1"/>
      <c r="D4401" s="1"/>
      <c r="E4401" s="1"/>
      <c r="F4401" s="1"/>
      <c r="G4401" s="1"/>
      <c r="H4401" s="1"/>
      <c r="I4401" s="1"/>
      <c r="J4401" s="1"/>
    </row>
    <row r="4402" ht="15.75" customHeight="1">
      <c r="A4402" s="1"/>
      <c r="B4402" s="1"/>
      <c r="C4402" s="1"/>
      <c r="D4402" s="1"/>
      <c r="E4402" s="1"/>
      <c r="F4402" s="1"/>
      <c r="G4402" s="1"/>
      <c r="H4402" s="1"/>
      <c r="I4402" s="1"/>
      <c r="J4402" s="1"/>
    </row>
    <row r="4403" ht="15.75" customHeight="1">
      <c r="A4403" s="1"/>
      <c r="B4403" s="1"/>
      <c r="C4403" s="1"/>
      <c r="D4403" s="1"/>
      <c r="E4403" s="1"/>
      <c r="F4403" s="1"/>
      <c r="G4403" s="1"/>
      <c r="H4403" s="1"/>
      <c r="I4403" s="1"/>
      <c r="J4403" s="1"/>
    </row>
    <row r="4404" ht="15.75" customHeight="1">
      <c r="A4404" s="1"/>
      <c r="B4404" s="1"/>
      <c r="C4404" s="1"/>
      <c r="D4404" s="1"/>
      <c r="E4404" s="1"/>
      <c r="F4404" s="1"/>
      <c r="G4404" s="1"/>
      <c r="H4404" s="1"/>
      <c r="I4404" s="1"/>
      <c r="J4404" s="1"/>
    </row>
    <row r="4405" ht="15.75" customHeight="1">
      <c r="A4405" s="1"/>
      <c r="B4405" s="1"/>
      <c r="C4405" s="1"/>
      <c r="D4405" s="1"/>
      <c r="E4405" s="1"/>
      <c r="F4405" s="1"/>
      <c r="G4405" s="1"/>
      <c r="H4405" s="1"/>
      <c r="I4405" s="1"/>
      <c r="J4405" s="1"/>
    </row>
    <row r="4406" ht="15.75" customHeight="1">
      <c r="A4406" s="1"/>
      <c r="B4406" s="1"/>
      <c r="C4406" s="1"/>
      <c r="D4406" s="1"/>
      <c r="E4406" s="1"/>
      <c r="F4406" s="1"/>
      <c r="G4406" s="1"/>
      <c r="H4406" s="1"/>
      <c r="I4406" s="1"/>
      <c r="J4406" s="1"/>
    </row>
    <row r="4407" ht="15.75" customHeight="1">
      <c r="A4407" s="1"/>
      <c r="B4407" s="1"/>
      <c r="C4407" s="1"/>
      <c r="D4407" s="1"/>
      <c r="E4407" s="1"/>
      <c r="F4407" s="1"/>
      <c r="G4407" s="1"/>
      <c r="H4407" s="1"/>
      <c r="I4407" s="1"/>
      <c r="J4407" s="1"/>
    </row>
    <row r="4408" ht="15.75" customHeight="1">
      <c r="A4408" s="1"/>
      <c r="B4408" s="1"/>
      <c r="C4408" s="1"/>
      <c r="D4408" s="1"/>
      <c r="E4408" s="1"/>
      <c r="F4408" s="1"/>
      <c r="G4408" s="1"/>
      <c r="H4408" s="1"/>
      <c r="I4408" s="1"/>
      <c r="J4408" s="1"/>
    </row>
    <row r="4409" ht="15.75" customHeight="1">
      <c r="A4409" s="1"/>
      <c r="B4409" s="1"/>
      <c r="C4409" s="1"/>
      <c r="D4409" s="1"/>
      <c r="E4409" s="1"/>
      <c r="F4409" s="1"/>
      <c r="G4409" s="1"/>
      <c r="H4409" s="1"/>
      <c r="I4409" s="1"/>
      <c r="J4409" s="1"/>
    </row>
    <row r="4410" ht="15.75" customHeight="1">
      <c r="A4410" s="1"/>
      <c r="B4410" s="1"/>
      <c r="C4410" s="1"/>
      <c r="D4410" s="1"/>
      <c r="E4410" s="1"/>
      <c r="F4410" s="1"/>
      <c r="G4410" s="1"/>
      <c r="H4410" s="1"/>
      <c r="I4410" s="1"/>
      <c r="J4410" s="1"/>
    </row>
    <row r="4411" ht="15.75" customHeight="1">
      <c r="A4411" s="1"/>
      <c r="B4411" s="1"/>
      <c r="C4411" s="1"/>
      <c r="D4411" s="1"/>
      <c r="E4411" s="1"/>
      <c r="F4411" s="1"/>
      <c r="G4411" s="1"/>
      <c r="H4411" s="1"/>
      <c r="I4411" s="1"/>
      <c r="J4411" s="1"/>
    </row>
    <row r="4412" ht="15.75" customHeight="1">
      <c r="A4412" s="1"/>
      <c r="B4412" s="1"/>
      <c r="C4412" s="1"/>
      <c r="D4412" s="1"/>
      <c r="E4412" s="1"/>
      <c r="F4412" s="1"/>
      <c r="G4412" s="1"/>
      <c r="H4412" s="1"/>
      <c r="I4412" s="1"/>
      <c r="J4412" s="1"/>
    </row>
    <row r="4413" ht="15.75" customHeight="1">
      <c r="A4413" s="1"/>
      <c r="B4413" s="1"/>
      <c r="C4413" s="1"/>
      <c r="D4413" s="1"/>
      <c r="E4413" s="1"/>
      <c r="F4413" s="1"/>
      <c r="G4413" s="1"/>
      <c r="H4413" s="1"/>
      <c r="I4413" s="1"/>
      <c r="J4413" s="1"/>
    </row>
    <row r="4414" ht="15.75" customHeight="1">
      <c r="A4414" s="1"/>
      <c r="B4414" s="1"/>
      <c r="C4414" s="1"/>
      <c r="D4414" s="1"/>
      <c r="E4414" s="1"/>
      <c r="F4414" s="1"/>
      <c r="G4414" s="1"/>
      <c r="H4414" s="1"/>
      <c r="I4414" s="1"/>
      <c r="J4414" s="1"/>
    </row>
    <row r="4415" ht="15.75" customHeight="1">
      <c r="A4415" s="1"/>
      <c r="B4415" s="1"/>
      <c r="C4415" s="1"/>
      <c r="D4415" s="1"/>
      <c r="E4415" s="1"/>
      <c r="F4415" s="1"/>
      <c r="G4415" s="1"/>
      <c r="H4415" s="1"/>
      <c r="I4415" s="1"/>
      <c r="J4415" s="1"/>
    </row>
    <row r="4416" ht="15.75" customHeight="1">
      <c r="A4416" s="1"/>
      <c r="B4416" s="1"/>
      <c r="C4416" s="1"/>
      <c r="D4416" s="1"/>
      <c r="E4416" s="1"/>
      <c r="F4416" s="1"/>
      <c r="G4416" s="1"/>
      <c r="H4416" s="1"/>
      <c r="I4416" s="1"/>
      <c r="J4416" s="1"/>
    </row>
    <row r="4417" ht="15.75" customHeight="1">
      <c r="A4417" s="1"/>
      <c r="B4417" s="1"/>
      <c r="C4417" s="1"/>
      <c r="D4417" s="1"/>
      <c r="E4417" s="1"/>
      <c r="F4417" s="1"/>
      <c r="G4417" s="1"/>
      <c r="H4417" s="1"/>
      <c r="I4417" s="1"/>
      <c r="J4417" s="1"/>
    </row>
    <row r="4418" ht="15.75" customHeight="1">
      <c r="A4418" s="1"/>
      <c r="B4418" s="1"/>
      <c r="C4418" s="1"/>
      <c r="D4418" s="1"/>
      <c r="E4418" s="1"/>
      <c r="F4418" s="1"/>
      <c r="G4418" s="1"/>
      <c r="H4418" s="1"/>
      <c r="I4418" s="1"/>
      <c r="J4418" s="1"/>
    </row>
    <row r="4419" ht="15.75" customHeight="1">
      <c r="A4419" s="1"/>
      <c r="B4419" s="1"/>
      <c r="C4419" s="1"/>
      <c r="D4419" s="1"/>
      <c r="E4419" s="1"/>
      <c r="F4419" s="1"/>
      <c r="G4419" s="1"/>
      <c r="H4419" s="1"/>
      <c r="I4419" s="1"/>
      <c r="J4419" s="1"/>
    </row>
    <row r="4420" ht="15.75" customHeight="1">
      <c r="A4420" s="1"/>
      <c r="B4420" s="1"/>
      <c r="C4420" s="1"/>
      <c r="D4420" s="1"/>
      <c r="E4420" s="1"/>
      <c r="F4420" s="1"/>
      <c r="G4420" s="1"/>
      <c r="H4420" s="1"/>
      <c r="I4420" s="1"/>
      <c r="J4420" s="1"/>
    </row>
    <row r="4421" ht="15.75" customHeight="1">
      <c r="A4421" s="1"/>
      <c r="B4421" s="1"/>
      <c r="C4421" s="1"/>
      <c r="D4421" s="1"/>
      <c r="E4421" s="1"/>
      <c r="F4421" s="1"/>
      <c r="G4421" s="1"/>
      <c r="H4421" s="1"/>
      <c r="I4421" s="1"/>
      <c r="J4421" s="1"/>
    </row>
    <row r="4422" ht="15.75" customHeight="1">
      <c r="A4422" s="1"/>
      <c r="B4422" s="1"/>
      <c r="C4422" s="1"/>
      <c r="D4422" s="1"/>
      <c r="E4422" s="1"/>
      <c r="F4422" s="1"/>
      <c r="G4422" s="1"/>
      <c r="H4422" s="1"/>
      <c r="I4422" s="1"/>
      <c r="J4422" s="1"/>
    </row>
    <row r="4423" ht="15.75" customHeight="1">
      <c r="A4423" s="1"/>
      <c r="B4423" s="1"/>
      <c r="C4423" s="1"/>
      <c r="D4423" s="1"/>
      <c r="E4423" s="1"/>
      <c r="F4423" s="1"/>
      <c r="G4423" s="1"/>
      <c r="H4423" s="1"/>
      <c r="I4423" s="1"/>
      <c r="J4423" s="1"/>
    </row>
    <row r="4424" ht="15.75" customHeight="1">
      <c r="A4424" s="1"/>
      <c r="B4424" s="1"/>
      <c r="C4424" s="1"/>
      <c r="D4424" s="1"/>
      <c r="E4424" s="1"/>
      <c r="F4424" s="1"/>
      <c r="G4424" s="1"/>
      <c r="H4424" s="1"/>
      <c r="I4424" s="1"/>
      <c r="J4424" s="1"/>
    </row>
    <row r="4425" ht="15.75" customHeight="1">
      <c r="A4425" s="1"/>
      <c r="B4425" s="1"/>
      <c r="C4425" s="1"/>
      <c r="D4425" s="1"/>
      <c r="E4425" s="1"/>
      <c r="F4425" s="1"/>
      <c r="G4425" s="1"/>
      <c r="H4425" s="1"/>
      <c r="I4425" s="1"/>
      <c r="J4425" s="1"/>
    </row>
    <row r="4426" ht="15.75" customHeight="1">
      <c r="A4426" s="1"/>
      <c r="B4426" s="1"/>
      <c r="C4426" s="1"/>
      <c r="D4426" s="1"/>
      <c r="E4426" s="1"/>
      <c r="F4426" s="1"/>
      <c r="G4426" s="1"/>
      <c r="H4426" s="1"/>
      <c r="I4426" s="1"/>
      <c r="J4426" s="1"/>
    </row>
    <row r="4427" ht="15.75" customHeight="1">
      <c r="A4427" s="1"/>
      <c r="B4427" s="1"/>
      <c r="C4427" s="1"/>
      <c r="D4427" s="1"/>
      <c r="E4427" s="1"/>
      <c r="F4427" s="1"/>
      <c r="G4427" s="1"/>
      <c r="H4427" s="1"/>
      <c r="I4427" s="1"/>
      <c r="J4427" s="1"/>
    </row>
    <row r="4428" ht="15.75" customHeight="1">
      <c r="A4428" s="1"/>
      <c r="B4428" s="1"/>
      <c r="C4428" s="1"/>
      <c r="D4428" s="1"/>
      <c r="E4428" s="1"/>
      <c r="F4428" s="1"/>
      <c r="G4428" s="1"/>
      <c r="H4428" s="1"/>
      <c r="I4428" s="1"/>
      <c r="J4428" s="1"/>
    </row>
    <row r="4429" ht="15.75" customHeight="1">
      <c r="A4429" s="1"/>
      <c r="B4429" s="1"/>
      <c r="C4429" s="1"/>
      <c r="D4429" s="1"/>
      <c r="E4429" s="1"/>
      <c r="F4429" s="1"/>
      <c r="G4429" s="1"/>
      <c r="H4429" s="1"/>
      <c r="I4429" s="1"/>
      <c r="J4429" s="1"/>
    </row>
    <row r="4430" ht="15.75" customHeight="1">
      <c r="A4430" s="1"/>
      <c r="B4430" s="1"/>
      <c r="C4430" s="1"/>
      <c r="D4430" s="1"/>
      <c r="E4430" s="1"/>
      <c r="F4430" s="1"/>
      <c r="G4430" s="1"/>
      <c r="H4430" s="1"/>
      <c r="I4430" s="1"/>
      <c r="J4430" s="1"/>
    </row>
    <row r="4431" ht="15.75" customHeight="1">
      <c r="A4431" s="1"/>
      <c r="B4431" s="1"/>
      <c r="C4431" s="1"/>
      <c r="D4431" s="1"/>
      <c r="E4431" s="1"/>
      <c r="F4431" s="1"/>
      <c r="G4431" s="1"/>
      <c r="H4431" s="1"/>
      <c r="I4431" s="1"/>
      <c r="J4431" s="1"/>
    </row>
    <row r="4432" ht="15.75" customHeight="1">
      <c r="A4432" s="1"/>
      <c r="B4432" s="1"/>
      <c r="C4432" s="1"/>
      <c r="D4432" s="1"/>
      <c r="E4432" s="1"/>
      <c r="F4432" s="1"/>
      <c r="G4432" s="1"/>
      <c r="H4432" s="1"/>
      <c r="I4432" s="1"/>
      <c r="J4432" s="1"/>
    </row>
    <row r="4433" ht="15.75" customHeight="1">
      <c r="A4433" s="1"/>
      <c r="B4433" s="1"/>
      <c r="C4433" s="1"/>
      <c r="D4433" s="1"/>
      <c r="E4433" s="1"/>
      <c r="F4433" s="1"/>
      <c r="G4433" s="1"/>
      <c r="H4433" s="1"/>
      <c r="I4433" s="1"/>
      <c r="J4433" s="1"/>
    </row>
    <row r="4434" ht="15.75" customHeight="1">
      <c r="A4434" s="1"/>
      <c r="B4434" s="1"/>
      <c r="C4434" s="1"/>
      <c r="D4434" s="1"/>
      <c r="E4434" s="1"/>
      <c r="F4434" s="1"/>
      <c r="G4434" s="1"/>
      <c r="H4434" s="1"/>
      <c r="I4434" s="1"/>
      <c r="J4434" s="1"/>
    </row>
    <row r="4435" ht="15.75" customHeight="1">
      <c r="A4435" s="1"/>
      <c r="B4435" s="1"/>
      <c r="C4435" s="1"/>
      <c r="D4435" s="1"/>
      <c r="E4435" s="1"/>
      <c r="F4435" s="1"/>
      <c r="G4435" s="1"/>
      <c r="H4435" s="1"/>
      <c r="I4435" s="1"/>
      <c r="J4435" s="1"/>
    </row>
    <row r="4436" ht="15.75" customHeight="1">
      <c r="A4436" s="1"/>
      <c r="B4436" s="1"/>
      <c r="C4436" s="1"/>
      <c r="D4436" s="1"/>
      <c r="E4436" s="1"/>
      <c r="F4436" s="1"/>
      <c r="G4436" s="1"/>
      <c r="H4436" s="1"/>
      <c r="I4436" s="1"/>
      <c r="J4436" s="1"/>
    </row>
    <row r="4437" ht="15.75" customHeight="1">
      <c r="A4437" s="1"/>
      <c r="B4437" s="1"/>
      <c r="C4437" s="1"/>
      <c r="D4437" s="1"/>
      <c r="E4437" s="1"/>
      <c r="F4437" s="1"/>
      <c r="G4437" s="1"/>
      <c r="H4437" s="1"/>
      <c r="I4437" s="1"/>
      <c r="J4437" s="1"/>
    </row>
    <row r="4438" ht="15.75" customHeight="1">
      <c r="A4438" s="1"/>
      <c r="B4438" s="1"/>
      <c r="C4438" s="1"/>
      <c r="D4438" s="1"/>
      <c r="E4438" s="1"/>
      <c r="F4438" s="1"/>
      <c r="G4438" s="1"/>
      <c r="H4438" s="1"/>
      <c r="I4438" s="1"/>
      <c r="J4438" s="1"/>
    </row>
    <row r="4439" ht="15.75" customHeight="1">
      <c r="A4439" s="1"/>
      <c r="B4439" s="1"/>
      <c r="C4439" s="1"/>
      <c r="D4439" s="1"/>
      <c r="E4439" s="1"/>
      <c r="F4439" s="1"/>
      <c r="G4439" s="1"/>
      <c r="H4439" s="1"/>
      <c r="I4439" s="1"/>
      <c r="J4439" s="1"/>
    </row>
    <row r="4440" ht="15.75" customHeight="1">
      <c r="A4440" s="1"/>
      <c r="B4440" s="1"/>
      <c r="C4440" s="1"/>
      <c r="D4440" s="1"/>
      <c r="E4440" s="1"/>
      <c r="F4440" s="1"/>
      <c r="G4440" s="1"/>
      <c r="H4440" s="1"/>
      <c r="I4440" s="1"/>
      <c r="J4440" s="1"/>
    </row>
    <row r="4441" ht="15.75" customHeight="1">
      <c r="A4441" s="1"/>
      <c r="B4441" s="1"/>
      <c r="C4441" s="1"/>
      <c r="D4441" s="1"/>
      <c r="E4441" s="1"/>
      <c r="F4441" s="1"/>
      <c r="G4441" s="1"/>
      <c r="H4441" s="1"/>
      <c r="I4441" s="1"/>
      <c r="J4441" s="1"/>
    </row>
    <row r="4442" ht="15.75" customHeight="1">
      <c r="A4442" s="1"/>
      <c r="B4442" s="1"/>
      <c r="C4442" s="1"/>
      <c r="D4442" s="1"/>
      <c r="E4442" s="1"/>
      <c r="F4442" s="1"/>
      <c r="G4442" s="1"/>
      <c r="H4442" s="1"/>
      <c r="I4442" s="1"/>
      <c r="J4442" s="1"/>
    </row>
    <row r="4443" ht="15.75" customHeight="1">
      <c r="A4443" s="1"/>
      <c r="B4443" s="1"/>
      <c r="C4443" s="1"/>
      <c r="D4443" s="1"/>
      <c r="E4443" s="1"/>
      <c r="F4443" s="1"/>
      <c r="G4443" s="1"/>
      <c r="H4443" s="1"/>
      <c r="I4443" s="1"/>
      <c r="J4443" s="1"/>
    </row>
    <row r="4444" ht="15.75" customHeight="1">
      <c r="A4444" s="1"/>
      <c r="B4444" s="1"/>
      <c r="C4444" s="1"/>
      <c r="D4444" s="1"/>
      <c r="E4444" s="1"/>
      <c r="F4444" s="1"/>
      <c r="G4444" s="1"/>
      <c r="H4444" s="1"/>
      <c r="I4444" s="1"/>
      <c r="J4444" s="1"/>
    </row>
    <row r="4445" ht="15.75" customHeight="1">
      <c r="A4445" s="1"/>
      <c r="B4445" s="1"/>
      <c r="C4445" s="1"/>
      <c r="D4445" s="1"/>
      <c r="E4445" s="1"/>
      <c r="F4445" s="1"/>
      <c r="G4445" s="1"/>
      <c r="H4445" s="1"/>
      <c r="I4445" s="1"/>
      <c r="J4445" s="1"/>
    </row>
    <row r="4446" ht="15.75" customHeight="1">
      <c r="A4446" s="1"/>
      <c r="B4446" s="1"/>
      <c r="C4446" s="1"/>
      <c r="D4446" s="1"/>
      <c r="E4446" s="1"/>
      <c r="F4446" s="1"/>
      <c r="G4446" s="1"/>
      <c r="H4446" s="1"/>
      <c r="I4446" s="1"/>
      <c r="J4446" s="1"/>
    </row>
    <row r="4447" ht="15.75" customHeight="1">
      <c r="A4447" s="1"/>
      <c r="B4447" s="1"/>
      <c r="C4447" s="1"/>
      <c r="D4447" s="1"/>
      <c r="E4447" s="1"/>
      <c r="F4447" s="1"/>
      <c r="G4447" s="1"/>
      <c r="H4447" s="1"/>
      <c r="I4447" s="1"/>
      <c r="J4447" s="1"/>
    </row>
    <row r="4448" ht="15.75" customHeight="1">
      <c r="A4448" s="1"/>
      <c r="B4448" s="1"/>
      <c r="C4448" s="1"/>
      <c r="D4448" s="1"/>
      <c r="E4448" s="1"/>
      <c r="F4448" s="1"/>
      <c r="G4448" s="1"/>
      <c r="H4448" s="1"/>
      <c r="I4448" s="1"/>
      <c r="J4448" s="1"/>
    </row>
    <row r="4449" ht="15.75" customHeight="1">
      <c r="A4449" s="1"/>
      <c r="B4449" s="1"/>
      <c r="C4449" s="1"/>
      <c r="D4449" s="1"/>
      <c r="E4449" s="1"/>
      <c r="F4449" s="1"/>
      <c r="G4449" s="1"/>
      <c r="H4449" s="1"/>
      <c r="I4449" s="1"/>
      <c r="J4449" s="1"/>
    </row>
    <row r="4450" ht="15.75" customHeight="1">
      <c r="A4450" s="1"/>
      <c r="B4450" s="1"/>
      <c r="C4450" s="1"/>
      <c r="D4450" s="1"/>
      <c r="E4450" s="1"/>
      <c r="F4450" s="1"/>
      <c r="G4450" s="1"/>
      <c r="H4450" s="1"/>
      <c r="I4450" s="1"/>
      <c r="J4450" s="1"/>
    </row>
    <row r="4451" ht="15.75" customHeight="1">
      <c r="A4451" s="1"/>
      <c r="B4451" s="1"/>
      <c r="C4451" s="1"/>
      <c r="D4451" s="1"/>
      <c r="E4451" s="1"/>
      <c r="F4451" s="1"/>
      <c r="G4451" s="1"/>
      <c r="H4451" s="1"/>
      <c r="I4451" s="1"/>
      <c r="J4451" s="1"/>
    </row>
    <row r="4452" ht="15.75" customHeight="1">
      <c r="A4452" s="1"/>
      <c r="B4452" s="1"/>
      <c r="C4452" s="1"/>
      <c r="D4452" s="1"/>
      <c r="E4452" s="1"/>
      <c r="F4452" s="1"/>
      <c r="G4452" s="1"/>
      <c r="H4452" s="1"/>
      <c r="I4452" s="1"/>
      <c r="J4452" s="1"/>
    </row>
    <row r="4453" ht="15.75" customHeight="1">
      <c r="A4453" s="1"/>
      <c r="B4453" s="1"/>
      <c r="C4453" s="1"/>
      <c r="D4453" s="1"/>
      <c r="E4453" s="1"/>
      <c r="F4453" s="1"/>
      <c r="G4453" s="1"/>
      <c r="H4453" s="1"/>
      <c r="I4453" s="1"/>
      <c r="J4453" s="1"/>
    </row>
    <row r="4454" ht="15.75" customHeight="1">
      <c r="A4454" s="1"/>
      <c r="B4454" s="1"/>
      <c r="C4454" s="1"/>
      <c r="D4454" s="1"/>
      <c r="E4454" s="1"/>
      <c r="F4454" s="1"/>
      <c r="G4454" s="1"/>
      <c r="H4454" s="1"/>
      <c r="I4454" s="1"/>
      <c r="J4454" s="1"/>
    </row>
    <row r="4455" ht="15.75" customHeight="1">
      <c r="A4455" s="1"/>
      <c r="B4455" s="1"/>
      <c r="C4455" s="1"/>
      <c r="D4455" s="1"/>
      <c r="E4455" s="1"/>
      <c r="F4455" s="1"/>
      <c r="G4455" s="1"/>
      <c r="H4455" s="1"/>
      <c r="I4455" s="1"/>
      <c r="J4455" s="1"/>
    </row>
    <row r="4456" ht="15.75" customHeight="1">
      <c r="A4456" s="1"/>
      <c r="B4456" s="1"/>
      <c r="C4456" s="1"/>
      <c r="D4456" s="1"/>
      <c r="E4456" s="1"/>
      <c r="F4456" s="1"/>
      <c r="G4456" s="1"/>
      <c r="H4456" s="1"/>
      <c r="I4456" s="1"/>
      <c r="J4456" s="1"/>
    </row>
    <row r="4457" ht="15.75" customHeight="1">
      <c r="A4457" s="1"/>
      <c r="B4457" s="1"/>
      <c r="C4457" s="1"/>
      <c r="D4457" s="1"/>
      <c r="E4457" s="1"/>
      <c r="F4457" s="1"/>
      <c r="G4457" s="1"/>
      <c r="H4457" s="1"/>
      <c r="I4457" s="1"/>
      <c r="J4457" s="1"/>
    </row>
    <row r="4458" ht="15.75" customHeight="1">
      <c r="A4458" s="1"/>
      <c r="B4458" s="1"/>
      <c r="C4458" s="1"/>
      <c r="D4458" s="1"/>
      <c r="E4458" s="1"/>
      <c r="F4458" s="1"/>
      <c r="G4458" s="1"/>
      <c r="H4458" s="1"/>
      <c r="I4458" s="1"/>
      <c r="J4458" s="1"/>
    </row>
    <row r="4459" ht="15.75" customHeight="1">
      <c r="A4459" s="1"/>
      <c r="B4459" s="1"/>
      <c r="C4459" s="1"/>
      <c r="D4459" s="1"/>
      <c r="E4459" s="1"/>
      <c r="F4459" s="1"/>
      <c r="G4459" s="1"/>
      <c r="H4459" s="1"/>
      <c r="I4459" s="1"/>
      <c r="J4459" s="1"/>
    </row>
    <row r="4460" ht="15.75" customHeight="1">
      <c r="A4460" s="1"/>
      <c r="B4460" s="1"/>
      <c r="C4460" s="1"/>
      <c r="D4460" s="1"/>
      <c r="E4460" s="1"/>
      <c r="F4460" s="1"/>
      <c r="G4460" s="1"/>
      <c r="H4460" s="1"/>
      <c r="I4460" s="1"/>
      <c r="J4460" s="1"/>
    </row>
    <row r="4461" ht="15.75" customHeight="1">
      <c r="A4461" s="1"/>
      <c r="B4461" s="1"/>
      <c r="C4461" s="1"/>
      <c r="D4461" s="1"/>
      <c r="E4461" s="1"/>
      <c r="F4461" s="1"/>
      <c r="G4461" s="1"/>
      <c r="H4461" s="1"/>
      <c r="I4461" s="1"/>
      <c r="J4461" s="1"/>
    </row>
    <row r="4462" ht="15.75" customHeight="1">
      <c r="A4462" s="1"/>
      <c r="B4462" s="1"/>
      <c r="C4462" s="1"/>
      <c r="D4462" s="1"/>
      <c r="E4462" s="1"/>
      <c r="F4462" s="1"/>
      <c r="G4462" s="1"/>
      <c r="H4462" s="1"/>
      <c r="I4462" s="1"/>
      <c r="J4462" s="1"/>
    </row>
    <row r="4463" ht="15.75" customHeight="1">
      <c r="A4463" s="1"/>
      <c r="B4463" s="1"/>
      <c r="C4463" s="1"/>
      <c r="D4463" s="1"/>
      <c r="E4463" s="1"/>
      <c r="F4463" s="1"/>
      <c r="G4463" s="1"/>
      <c r="H4463" s="1"/>
      <c r="I4463" s="1"/>
      <c r="J4463" s="1"/>
    </row>
    <row r="4464" ht="15.75" customHeight="1">
      <c r="A4464" s="1"/>
      <c r="B4464" s="1"/>
      <c r="C4464" s="1"/>
      <c r="D4464" s="1"/>
      <c r="E4464" s="1"/>
      <c r="F4464" s="1"/>
      <c r="G4464" s="1"/>
      <c r="H4464" s="1"/>
      <c r="I4464" s="1"/>
      <c r="J4464" s="1"/>
    </row>
    <row r="4465" ht="15.75" customHeight="1">
      <c r="A4465" s="1"/>
      <c r="B4465" s="1"/>
      <c r="C4465" s="1"/>
      <c r="D4465" s="1"/>
      <c r="E4465" s="1"/>
      <c r="F4465" s="1"/>
      <c r="G4465" s="1"/>
      <c r="H4465" s="1"/>
      <c r="I4465" s="1"/>
      <c r="J4465" s="1"/>
    </row>
    <row r="4466" ht="15.75" customHeight="1">
      <c r="A4466" s="1"/>
      <c r="B4466" s="1"/>
      <c r="C4466" s="1"/>
      <c r="D4466" s="1"/>
      <c r="E4466" s="1"/>
      <c r="F4466" s="1"/>
      <c r="G4466" s="1"/>
      <c r="H4466" s="1"/>
      <c r="I4466" s="1"/>
      <c r="J4466" s="1"/>
    </row>
    <row r="4467" ht="15.75" customHeight="1">
      <c r="A4467" s="1"/>
      <c r="B4467" s="1"/>
      <c r="C4467" s="1"/>
      <c r="D4467" s="1"/>
      <c r="E4467" s="1"/>
      <c r="F4467" s="1"/>
      <c r="G4467" s="1"/>
      <c r="H4467" s="1"/>
      <c r="I4467" s="1"/>
      <c r="J4467" s="1"/>
    </row>
    <row r="4468" ht="15.75" customHeight="1">
      <c r="A4468" s="1"/>
      <c r="B4468" s="1"/>
      <c r="C4468" s="1"/>
      <c r="D4468" s="1"/>
      <c r="E4468" s="1"/>
      <c r="F4468" s="1"/>
      <c r="G4468" s="1"/>
      <c r="H4468" s="1"/>
      <c r="I4468" s="1"/>
      <c r="J4468" s="1"/>
    </row>
    <row r="4469" ht="15.75" customHeight="1">
      <c r="A4469" s="1"/>
      <c r="B4469" s="1"/>
      <c r="C4469" s="1"/>
      <c r="D4469" s="1"/>
      <c r="E4469" s="1"/>
      <c r="F4469" s="1"/>
      <c r="G4469" s="1"/>
      <c r="H4469" s="1"/>
      <c r="I4469" s="1"/>
      <c r="J4469" s="1"/>
    </row>
    <row r="4470" ht="15.75" customHeight="1">
      <c r="A4470" s="1"/>
      <c r="B4470" s="1"/>
      <c r="C4470" s="1"/>
      <c r="D4470" s="1"/>
      <c r="E4470" s="1"/>
      <c r="F4470" s="1"/>
      <c r="G4470" s="1"/>
      <c r="H4470" s="1"/>
      <c r="I4470" s="1"/>
      <c r="J4470" s="1"/>
    </row>
    <row r="4471" ht="15.75" customHeight="1">
      <c r="A4471" s="1"/>
      <c r="B4471" s="1"/>
      <c r="C4471" s="1"/>
      <c r="D4471" s="1"/>
      <c r="E4471" s="1"/>
      <c r="F4471" s="1"/>
      <c r="G4471" s="1"/>
      <c r="H4471" s="1"/>
      <c r="I4471" s="1"/>
      <c r="J4471" s="1"/>
    </row>
    <row r="4472" ht="15.75" customHeight="1">
      <c r="A4472" s="1"/>
      <c r="B4472" s="1"/>
      <c r="C4472" s="1"/>
      <c r="D4472" s="1"/>
      <c r="E4472" s="1"/>
      <c r="F4472" s="1"/>
      <c r="G4472" s="1"/>
      <c r="H4472" s="1"/>
      <c r="I4472" s="1"/>
      <c r="J4472" s="1"/>
    </row>
    <row r="4473" ht="15.75" customHeight="1">
      <c r="A4473" s="1"/>
      <c r="B4473" s="1"/>
      <c r="C4473" s="1"/>
      <c r="D4473" s="1"/>
      <c r="E4473" s="1"/>
      <c r="F4473" s="1"/>
      <c r="G4473" s="1"/>
      <c r="H4473" s="1"/>
      <c r="I4473" s="1"/>
      <c r="J4473" s="1"/>
    </row>
    <row r="4474" ht="15.75" customHeight="1">
      <c r="A4474" s="1"/>
      <c r="B4474" s="1"/>
      <c r="C4474" s="1"/>
      <c r="D4474" s="1"/>
      <c r="E4474" s="1"/>
      <c r="F4474" s="1"/>
      <c r="G4474" s="1"/>
      <c r="H4474" s="1"/>
      <c r="I4474" s="1"/>
      <c r="J4474" s="1"/>
    </row>
    <row r="4475" ht="15.75" customHeight="1">
      <c r="A4475" s="1"/>
      <c r="B4475" s="1"/>
      <c r="C4475" s="1"/>
      <c r="D4475" s="1"/>
      <c r="E4475" s="1"/>
      <c r="F4475" s="1"/>
      <c r="G4475" s="1"/>
      <c r="H4475" s="1"/>
      <c r="I4475" s="1"/>
      <c r="J4475" s="1"/>
    </row>
    <row r="4476" ht="15.75" customHeight="1">
      <c r="A4476" s="1"/>
      <c r="B4476" s="1"/>
      <c r="C4476" s="1"/>
      <c r="D4476" s="1"/>
      <c r="E4476" s="1"/>
      <c r="F4476" s="1"/>
      <c r="G4476" s="1"/>
      <c r="H4476" s="1"/>
      <c r="I4476" s="1"/>
      <c r="J4476" s="1"/>
    </row>
    <row r="4477" ht="15.75" customHeight="1">
      <c r="A4477" s="1"/>
      <c r="B4477" s="1"/>
      <c r="C4477" s="1"/>
      <c r="D4477" s="1"/>
      <c r="E4477" s="1"/>
      <c r="F4477" s="1"/>
      <c r="G4477" s="1"/>
      <c r="H4477" s="1"/>
      <c r="I4477" s="1"/>
      <c r="J4477" s="1"/>
    </row>
    <row r="4478" ht="15.75" customHeight="1">
      <c r="A4478" s="1"/>
      <c r="B4478" s="1"/>
      <c r="C4478" s="1"/>
      <c r="D4478" s="1"/>
      <c r="E4478" s="1"/>
      <c r="F4478" s="1"/>
      <c r="G4478" s="1"/>
      <c r="H4478" s="1"/>
      <c r="I4478" s="1"/>
      <c r="J4478" s="1"/>
    </row>
    <row r="4479" ht="15.75" customHeight="1">
      <c r="A4479" s="1"/>
      <c r="B4479" s="1"/>
      <c r="C4479" s="1"/>
      <c r="D4479" s="1"/>
      <c r="E4479" s="1"/>
      <c r="F4479" s="1"/>
      <c r="G4479" s="1"/>
      <c r="H4479" s="1"/>
      <c r="I4479" s="1"/>
      <c r="J4479" s="1"/>
    </row>
    <row r="4480" ht="15.75" customHeight="1">
      <c r="A4480" s="1"/>
      <c r="B4480" s="1"/>
      <c r="C4480" s="1"/>
      <c r="D4480" s="1"/>
      <c r="E4480" s="1"/>
      <c r="F4480" s="1"/>
      <c r="G4480" s="1"/>
      <c r="H4480" s="1"/>
      <c r="I4480" s="1"/>
      <c r="J4480" s="1"/>
    </row>
    <row r="4481" ht="15.75" customHeight="1">
      <c r="A4481" s="1"/>
      <c r="B4481" s="1"/>
      <c r="C4481" s="1"/>
      <c r="D4481" s="1"/>
      <c r="E4481" s="1"/>
      <c r="F4481" s="1"/>
      <c r="G4481" s="1"/>
      <c r="H4481" s="1"/>
      <c r="I4481" s="1"/>
      <c r="J4481" s="1"/>
    </row>
    <row r="4482" ht="15.75" customHeight="1">
      <c r="A4482" s="1"/>
      <c r="B4482" s="1"/>
      <c r="C4482" s="1"/>
      <c r="D4482" s="1"/>
      <c r="E4482" s="1"/>
      <c r="F4482" s="1"/>
      <c r="G4482" s="1"/>
      <c r="H4482" s="1"/>
      <c r="I4482" s="1"/>
      <c r="J4482" s="1"/>
    </row>
    <row r="4483" ht="15.75" customHeight="1">
      <c r="A4483" s="1"/>
      <c r="B4483" s="1"/>
      <c r="C4483" s="1"/>
      <c r="D4483" s="1"/>
      <c r="E4483" s="1"/>
      <c r="F4483" s="1"/>
      <c r="G4483" s="1"/>
      <c r="H4483" s="1"/>
      <c r="I4483" s="1"/>
      <c r="J4483" s="1"/>
    </row>
    <row r="4484" ht="15.75" customHeight="1">
      <c r="A4484" s="1"/>
      <c r="B4484" s="1"/>
      <c r="C4484" s="1"/>
      <c r="D4484" s="1"/>
      <c r="E4484" s="1"/>
      <c r="F4484" s="1"/>
      <c r="G4484" s="1"/>
      <c r="H4484" s="1"/>
      <c r="I4484" s="1"/>
      <c r="J4484" s="1"/>
    </row>
    <row r="4485" ht="15.75" customHeight="1">
      <c r="A4485" s="1"/>
      <c r="B4485" s="1"/>
      <c r="C4485" s="1"/>
      <c r="D4485" s="1"/>
      <c r="E4485" s="1"/>
      <c r="F4485" s="1"/>
      <c r="G4485" s="1"/>
      <c r="H4485" s="1"/>
      <c r="I4485" s="1"/>
      <c r="J4485" s="1"/>
    </row>
    <row r="4486" ht="15.75" customHeight="1">
      <c r="A4486" s="1"/>
      <c r="B4486" s="1"/>
      <c r="C4486" s="1"/>
      <c r="D4486" s="1"/>
      <c r="E4486" s="1"/>
      <c r="F4486" s="1"/>
      <c r="G4486" s="1"/>
      <c r="H4486" s="1"/>
      <c r="I4486" s="1"/>
      <c r="J4486" s="1"/>
    </row>
    <row r="4487" ht="15.75" customHeight="1">
      <c r="A4487" s="1"/>
      <c r="B4487" s="1"/>
      <c r="C4487" s="1"/>
      <c r="D4487" s="1"/>
      <c r="E4487" s="1"/>
      <c r="F4487" s="1"/>
      <c r="G4487" s="1"/>
      <c r="H4487" s="1"/>
      <c r="I4487" s="1"/>
      <c r="J4487" s="1"/>
    </row>
    <row r="4488" ht="15.75" customHeight="1">
      <c r="A4488" s="1"/>
      <c r="B4488" s="1"/>
      <c r="C4488" s="1"/>
      <c r="D4488" s="1"/>
      <c r="E4488" s="1"/>
      <c r="F4488" s="1"/>
      <c r="G4488" s="1"/>
      <c r="H4488" s="1"/>
      <c r="I4488" s="1"/>
      <c r="J4488" s="1"/>
    </row>
    <row r="4489" ht="15.75" customHeight="1">
      <c r="A4489" s="1"/>
      <c r="B4489" s="1"/>
      <c r="C4489" s="1"/>
      <c r="D4489" s="1"/>
      <c r="E4489" s="1"/>
      <c r="F4489" s="1"/>
      <c r="G4489" s="1"/>
      <c r="H4489" s="1"/>
      <c r="I4489" s="1"/>
      <c r="J4489" s="1"/>
    </row>
    <row r="4490" ht="15.75" customHeight="1">
      <c r="A4490" s="1"/>
      <c r="B4490" s="1"/>
      <c r="C4490" s="1"/>
      <c r="D4490" s="1"/>
      <c r="E4490" s="1"/>
      <c r="F4490" s="1"/>
      <c r="G4490" s="1"/>
      <c r="H4490" s="1"/>
      <c r="I4490" s="1"/>
      <c r="J4490" s="1"/>
    </row>
    <row r="4491" ht="15.75" customHeight="1">
      <c r="A4491" s="1"/>
      <c r="B4491" s="1"/>
      <c r="C4491" s="1"/>
      <c r="D4491" s="1"/>
      <c r="E4491" s="1"/>
      <c r="F4491" s="1"/>
      <c r="G4491" s="1"/>
      <c r="H4491" s="1"/>
      <c r="I4491" s="1"/>
      <c r="J4491" s="1"/>
    </row>
    <row r="4492" ht="15.75" customHeight="1">
      <c r="A4492" s="1"/>
      <c r="B4492" s="1"/>
      <c r="C4492" s="1"/>
      <c r="D4492" s="1"/>
      <c r="E4492" s="1"/>
      <c r="F4492" s="1"/>
      <c r="G4492" s="1"/>
      <c r="H4492" s="1"/>
      <c r="I4492" s="1"/>
      <c r="J4492" s="1"/>
    </row>
    <row r="4493" ht="15.75" customHeight="1">
      <c r="A4493" s="1"/>
      <c r="B4493" s="1"/>
      <c r="C4493" s="1"/>
      <c r="D4493" s="1"/>
      <c r="E4493" s="1"/>
      <c r="F4493" s="1"/>
      <c r="G4493" s="1"/>
      <c r="H4493" s="1"/>
      <c r="I4493" s="1"/>
      <c r="J4493" s="1"/>
    </row>
    <row r="4494" ht="15.75" customHeight="1">
      <c r="A4494" s="1"/>
      <c r="B4494" s="1"/>
      <c r="C4494" s="1"/>
      <c r="D4494" s="1"/>
      <c r="E4494" s="1"/>
      <c r="F4494" s="1"/>
      <c r="G4494" s="1"/>
      <c r="H4494" s="1"/>
      <c r="I4494" s="1"/>
      <c r="J4494" s="1"/>
    </row>
    <row r="4495" ht="15.75" customHeight="1">
      <c r="A4495" s="1"/>
      <c r="B4495" s="1"/>
      <c r="C4495" s="1"/>
      <c r="D4495" s="1"/>
      <c r="E4495" s="1"/>
      <c r="F4495" s="1"/>
      <c r="G4495" s="1"/>
      <c r="H4495" s="1"/>
      <c r="I4495" s="1"/>
      <c r="J4495" s="1"/>
    </row>
    <row r="4496" ht="15.75" customHeight="1">
      <c r="A4496" s="1"/>
      <c r="B4496" s="1"/>
      <c r="C4496" s="1"/>
      <c r="D4496" s="1"/>
      <c r="E4496" s="1"/>
      <c r="F4496" s="1"/>
      <c r="G4496" s="1"/>
      <c r="H4496" s="1"/>
      <c r="I4496" s="1"/>
      <c r="J4496" s="1"/>
    </row>
    <row r="4497" ht="15.75" customHeight="1">
      <c r="A4497" s="1"/>
      <c r="B4497" s="1"/>
      <c r="C4497" s="1"/>
      <c r="D4497" s="1"/>
      <c r="E4497" s="1"/>
      <c r="F4497" s="1"/>
      <c r="G4497" s="1"/>
      <c r="H4497" s="1"/>
      <c r="I4497" s="1"/>
      <c r="J4497" s="1"/>
    </row>
    <row r="4498" ht="15.75" customHeight="1">
      <c r="A4498" s="1"/>
      <c r="B4498" s="1"/>
      <c r="C4498" s="1"/>
      <c r="D4498" s="1"/>
      <c r="E4498" s="1"/>
      <c r="F4498" s="1"/>
      <c r="G4498" s="1"/>
      <c r="H4498" s="1"/>
      <c r="I4498" s="1"/>
      <c r="J4498" s="1"/>
    </row>
    <row r="4499" ht="15.75" customHeight="1">
      <c r="A4499" s="1"/>
      <c r="B4499" s="1"/>
      <c r="C4499" s="1"/>
      <c r="D4499" s="1"/>
      <c r="E4499" s="1"/>
      <c r="F4499" s="1"/>
      <c r="G4499" s="1"/>
      <c r="H4499" s="1"/>
      <c r="I4499" s="1"/>
      <c r="J4499" s="1"/>
    </row>
    <row r="4500" ht="15.75" customHeight="1">
      <c r="A4500" s="1"/>
      <c r="B4500" s="1"/>
      <c r="C4500" s="1"/>
      <c r="D4500" s="1"/>
      <c r="E4500" s="1"/>
      <c r="F4500" s="1"/>
      <c r="G4500" s="1"/>
      <c r="H4500" s="1"/>
      <c r="I4500" s="1"/>
      <c r="J4500" s="1"/>
    </row>
    <row r="4501" ht="15.75" customHeight="1">
      <c r="A4501" s="1"/>
      <c r="B4501" s="1"/>
      <c r="C4501" s="1"/>
      <c r="D4501" s="1"/>
      <c r="E4501" s="1"/>
      <c r="F4501" s="1"/>
      <c r="G4501" s="1"/>
      <c r="H4501" s="1"/>
      <c r="I4501" s="1"/>
      <c r="J4501" s="1"/>
    </row>
    <row r="4502" ht="15.75" customHeight="1">
      <c r="A4502" s="1"/>
      <c r="B4502" s="1"/>
      <c r="C4502" s="1"/>
      <c r="D4502" s="1"/>
      <c r="E4502" s="1"/>
      <c r="F4502" s="1"/>
      <c r="G4502" s="1"/>
      <c r="H4502" s="1"/>
      <c r="I4502" s="1"/>
      <c r="J4502" s="1"/>
    </row>
    <row r="4503" ht="15.75" customHeight="1">
      <c r="A4503" s="1"/>
      <c r="B4503" s="1"/>
      <c r="C4503" s="1"/>
      <c r="D4503" s="1"/>
      <c r="E4503" s="1"/>
      <c r="F4503" s="1"/>
      <c r="G4503" s="1"/>
      <c r="H4503" s="1"/>
      <c r="I4503" s="1"/>
      <c r="J4503" s="1"/>
    </row>
    <row r="4504" ht="15.75" customHeight="1">
      <c r="A4504" s="1"/>
      <c r="B4504" s="1"/>
      <c r="C4504" s="1"/>
      <c r="D4504" s="1"/>
      <c r="E4504" s="1"/>
      <c r="F4504" s="1"/>
      <c r="G4504" s="1"/>
      <c r="H4504" s="1"/>
      <c r="I4504" s="1"/>
      <c r="J4504" s="1"/>
    </row>
    <row r="4505" ht="15.75" customHeight="1">
      <c r="A4505" s="1"/>
      <c r="B4505" s="1"/>
      <c r="C4505" s="1"/>
      <c r="D4505" s="1"/>
      <c r="E4505" s="1"/>
      <c r="F4505" s="1"/>
      <c r="G4505" s="1"/>
      <c r="H4505" s="1"/>
      <c r="I4505" s="1"/>
      <c r="J4505" s="1"/>
    </row>
    <row r="4506" ht="15.75" customHeight="1">
      <c r="A4506" s="1"/>
      <c r="B4506" s="1"/>
      <c r="C4506" s="1"/>
      <c r="D4506" s="1"/>
      <c r="E4506" s="1"/>
      <c r="F4506" s="1"/>
      <c r="G4506" s="1"/>
      <c r="H4506" s="1"/>
      <c r="I4506" s="1"/>
      <c r="J4506" s="1"/>
    </row>
    <row r="4507" ht="15.75" customHeight="1">
      <c r="A4507" s="1"/>
      <c r="B4507" s="1"/>
      <c r="C4507" s="1"/>
      <c r="D4507" s="1"/>
      <c r="E4507" s="1"/>
      <c r="F4507" s="1"/>
      <c r="G4507" s="1"/>
      <c r="H4507" s="1"/>
      <c r="I4507" s="1"/>
      <c r="J4507" s="1"/>
    </row>
    <row r="4508" ht="15.75" customHeight="1">
      <c r="A4508" s="1"/>
      <c r="B4508" s="1"/>
      <c r="C4508" s="1"/>
      <c r="D4508" s="1"/>
      <c r="E4508" s="1"/>
      <c r="F4508" s="1"/>
      <c r="G4508" s="1"/>
      <c r="H4508" s="1"/>
      <c r="I4508" s="1"/>
      <c r="J4508" s="1"/>
    </row>
    <row r="4509" ht="15.75" customHeight="1">
      <c r="A4509" s="1"/>
      <c r="B4509" s="1"/>
      <c r="C4509" s="1"/>
      <c r="D4509" s="1"/>
      <c r="E4509" s="1"/>
      <c r="F4509" s="1"/>
      <c r="G4509" s="1"/>
      <c r="H4509" s="1"/>
      <c r="I4509" s="1"/>
      <c r="J4509" s="1"/>
    </row>
    <row r="4510" ht="15.75" customHeight="1">
      <c r="A4510" s="1"/>
      <c r="B4510" s="1"/>
      <c r="C4510" s="1"/>
      <c r="D4510" s="1"/>
      <c r="E4510" s="1"/>
      <c r="F4510" s="1"/>
      <c r="G4510" s="1"/>
      <c r="H4510" s="1"/>
      <c r="I4510" s="1"/>
      <c r="J4510" s="1"/>
    </row>
    <row r="4511" ht="15.75" customHeight="1">
      <c r="A4511" s="1"/>
      <c r="B4511" s="1"/>
      <c r="C4511" s="1"/>
      <c r="D4511" s="1"/>
      <c r="E4511" s="1"/>
      <c r="F4511" s="1"/>
      <c r="G4511" s="1"/>
      <c r="H4511" s="1"/>
      <c r="I4511" s="1"/>
      <c r="J4511" s="1"/>
    </row>
    <row r="4512" ht="15.75" customHeight="1">
      <c r="A4512" s="1"/>
      <c r="B4512" s="1"/>
      <c r="C4512" s="1"/>
      <c r="D4512" s="1"/>
      <c r="E4512" s="1"/>
      <c r="F4512" s="1"/>
      <c r="G4512" s="1"/>
      <c r="H4512" s="1"/>
      <c r="I4512" s="1"/>
      <c r="J4512" s="1"/>
    </row>
    <row r="4513" ht="15.75" customHeight="1">
      <c r="A4513" s="1"/>
      <c r="B4513" s="1"/>
      <c r="C4513" s="1"/>
      <c r="D4513" s="1"/>
      <c r="E4513" s="1"/>
      <c r="F4513" s="1"/>
      <c r="G4513" s="1"/>
      <c r="H4513" s="1"/>
      <c r="I4513" s="1"/>
      <c r="J4513" s="1"/>
    </row>
    <row r="4514" ht="15.75" customHeight="1">
      <c r="A4514" s="1"/>
      <c r="B4514" s="1"/>
      <c r="C4514" s="1"/>
      <c r="D4514" s="1"/>
      <c r="E4514" s="1"/>
      <c r="F4514" s="1"/>
      <c r="G4514" s="1"/>
      <c r="H4514" s="1"/>
      <c r="I4514" s="1"/>
      <c r="J4514" s="1"/>
    </row>
    <row r="4515" ht="15.75" customHeight="1">
      <c r="A4515" s="1"/>
      <c r="B4515" s="1"/>
      <c r="C4515" s="1"/>
      <c r="D4515" s="1"/>
      <c r="E4515" s="1"/>
      <c r="F4515" s="1"/>
      <c r="G4515" s="1"/>
      <c r="H4515" s="1"/>
      <c r="I4515" s="1"/>
      <c r="J4515" s="1"/>
    </row>
    <row r="4516" ht="15.75" customHeight="1">
      <c r="A4516" s="1"/>
      <c r="B4516" s="1"/>
      <c r="C4516" s="1"/>
      <c r="D4516" s="1"/>
      <c r="E4516" s="1"/>
      <c r="F4516" s="1"/>
      <c r="G4516" s="1"/>
      <c r="H4516" s="1"/>
      <c r="I4516" s="1"/>
      <c r="J4516" s="1"/>
    </row>
    <row r="4517" ht="15.75" customHeight="1">
      <c r="A4517" s="1"/>
      <c r="B4517" s="1"/>
      <c r="C4517" s="1"/>
      <c r="D4517" s="1"/>
      <c r="E4517" s="1"/>
      <c r="F4517" s="1"/>
      <c r="G4517" s="1"/>
      <c r="H4517" s="1"/>
      <c r="I4517" s="1"/>
      <c r="J4517" s="1"/>
    </row>
    <row r="4518" ht="15.75" customHeight="1">
      <c r="A4518" s="1"/>
      <c r="B4518" s="1"/>
      <c r="C4518" s="1"/>
      <c r="D4518" s="1"/>
      <c r="E4518" s="1"/>
      <c r="F4518" s="1"/>
      <c r="G4518" s="1"/>
      <c r="H4518" s="1"/>
      <c r="I4518" s="1"/>
      <c r="J4518" s="1"/>
    </row>
    <row r="4519" ht="15.75" customHeight="1">
      <c r="A4519" s="1"/>
      <c r="B4519" s="1"/>
      <c r="C4519" s="1"/>
      <c r="D4519" s="1"/>
      <c r="E4519" s="1"/>
      <c r="F4519" s="1"/>
      <c r="G4519" s="1"/>
      <c r="H4519" s="1"/>
      <c r="I4519" s="1"/>
      <c r="J4519" s="1"/>
    </row>
    <row r="4520" ht="15.75" customHeight="1">
      <c r="A4520" s="1"/>
      <c r="B4520" s="1"/>
      <c r="C4520" s="1"/>
      <c r="D4520" s="1"/>
      <c r="E4520" s="1"/>
      <c r="F4520" s="1"/>
      <c r="G4520" s="1"/>
      <c r="H4520" s="1"/>
      <c r="I4520" s="1"/>
      <c r="J4520" s="1"/>
    </row>
    <row r="4521" ht="15.75" customHeight="1">
      <c r="A4521" s="1"/>
      <c r="B4521" s="1"/>
      <c r="C4521" s="1"/>
      <c r="D4521" s="1"/>
      <c r="E4521" s="1"/>
      <c r="F4521" s="1"/>
      <c r="G4521" s="1"/>
      <c r="H4521" s="1"/>
      <c r="I4521" s="1"/>
      <c r="J4521" s="1"/>
    </row>
    <row r="4522" ht="15.75" customHeight="1">
      <c r="A4522" s="1"/>
      <c r="B4522" s="1"/>
      <c r="C4522" s="1"/>
      <c r="D4522" s="1"/>
      <c r="E4522" s="1"/>
      <c r="F4522" s="1"/>
      <c r="G4522" s="1"/>
      <c r="H4522" s="1"/>
      <c r="I4522" s="1"/>
      <c r="J4522" s="1"/>
    </row>
    <row r="4523" ht="15.75" customHeight="1">
      <c r="A4523" s="1"/>
      <c r="B4523" s="1"/>
      <c r="C4523" s="1"/>
      <c r="D4523" s="1"/>
      <c r="E4523" s="1"/>
      <c r="F4523" s="1"/>
      <c r="G4523" s="1"/>
      <c r="H4523" s="1"/>
      <c r="I4523" s="1"/>
      <c r="J4523" s="1"/>
    </row>
    <row r="4524" ht="15.75" customHeight="1">
      <c r="A4524" s="1"/>
      <c r="B4524" s="1"/>
      <c r="C4524" s="1"/>
      <c r="D4524" s="1"/>
      <c r="E4524" s="1"/>
      <c r="F4524" s="1"/>
      <c r="G4524" s="1"/>
      <c r="H4524" s="1"/>
      <c r="I4524" s="1"/>
      <c r="J4524" s="1"/>
    </row>
    <row r="4525" ht="15.75" customHeight="1">
      <c r="A4525" s="1"/>
      <c r="B4525" s="1"/>
      <c r="C4525" s="1"/>
      <c r="D4525" s="1"/>
      <c r="E4525" s="1"/>
      <c r="F4525" s="1"/>
      <c r="G4525" s="1"/>
      <c r="H4525" s="1"/>
      <c r="I4525" s="1"/>
      <c r="J4525" s="1"/>
    </row>
    <row r="4526" ht="15.75" customHeight="1">
      <c r="A4526" s="1"/>
      <c r="B4526" s="1"/>
      <c r="C4526" s="1"/>
      <c r="D4526" s="1"/>
      <c r="E4526" s="1"/>
      <c r="F4526" s="1"/>
      <c r="G4526" s="1"/>
      <c r="H4526" s="1"/>
      <c r="I4526" s="1"/>
      <c r="J4526" s="1"/>
    </row>
    <row r="4527" ht="15.75" customHeight="1">
      <c r="A4527" s="1"/>
      <c r="B4527" s="1"/>
      <c r="C4527" s="1"/>
      <c r="D4527" s="1"/>
      <c r="E4527" s="1"/>
      <c r="F4527" s="1"/>
      <c r="G4527" s="1"/>
      <c r="H4527" s="1"/>
      <c r="I4527" s="1"/>
      <c r="J4527" s="1"/>
    </row>
    <row r="4528" ht="15.75" customHeight="1">
      <c r="A4528" s="1"/>
      <c r="B4528" s="1"/>
      <c r="C4528" s="1"/>
      <c r="D4528" s="1"/>
      <c r="E4528" s="1"/>
      <c r="F4528" s="1"/>
      <c r="G4528" s="1"/>
      <c r="H4528" s="1"/>
      <c r="I4528" s="1"/>
      <c r="J4528" s="1"/>
    </row>
    <row r="4529" ht="15.75" customHeight="1">
      <c r="A4529" s="1"/>
      <c r="B4529" s="1"/>
      <c r="C4529" s="1"/>
      <c r="D4529" s="1"/>
      <c r="E4529" s="1"/>
      <c r="F4529" s="1"/>
      <c r="G4529" s="1"/>
      <c r="H4529" s="1"/>
      <c r="I4529" s="1"/>
      <c r="J4529" s="1"/>
    </row>
    <row r="4530" ht="15.75" customHeight="1">
      <c r="A4530" s="1"/>
      <c r="B4530" s="1"/>
      <c r="C4530" s="1"/>
      <c r="D4530" s="1"/>
      <c r="E4530" s="1"/>
      <c r="F4530" s="1"/>
      <c r="G4530" s="1"/>
      <c r="H4530" s="1"/>
      <c r="I4530" s="1"/>
      <c r="J4530" s="1"/>
    </row>
    <row r="4531" ht="15.75" customHeight="1">
      <c r="A4531" s="1"/>
      <c r="B4531" s="1"/>
      <c r="C4531" s="1"/>
      <c r="D4531" s="1"/>
      <c r="E4531" s="1"/>
      <c r="F4531" s="1"/>
      <c r="G4531" s="1"/>
      <c r="H4531" s="1"/>
      <c r="I4531" s="1"/>
      <c r="J4531" s="1"/>
    </row>
    <row r="4532" ht="15.75" customHeight="1">
      <c r="A4532" s="1"/>
      <c r="B4532" s="1"/>
      <c r="C4532" s="1"/>
      <c r="D4532" s="1"/>
      <c r="E4532" s="1"/>
      <c r="F4532" s="1"/>
      <c r="G4532" s="1"/>
      <c r="H4532" s="1"/>
      <c r="I4532" s="1"/>
      <c r="J4532" s="1"/>
    </row>
    <row r="4533" ht="15.75" customHeight="1">
      <c r="A4533" s="1"/>
      <c r="B4533" s="1"/>
      <c r="C4533" s="1"/>
      <c r="D4533" s="1"/>
      <c r="E4533" s="1"/>
      <c r="F4533" s="1"/>
      <c r="G4533" s="1"/>
      <c r="H4533" s="1"/>
      <c r="I4533" s="1"/>
      <c r="J4533" s="1"/>
    </row>
    <row r="4534" ht="15.75" customHeight="1">
      <c r="A4534" s="1"/>
      <c r="B4534" s="1"/>
      <c r="C4534" s="1"/>
      <c r="D4534" s="1"/>
      <c r="E4534" s="1"/>
      <c r="F4534" s="1"/>
      <c r="G4534" s="1"/>
      <c r="H4534" s="1"/>
      <c r="I4534" s="1"/>
      <c r="J4534" s="1"/>
    </row>
    <row r="4535" ht="15.75" customHeight="1">
      <c r="A4535" s="1"/>
      <c r="B4535" s="1"/>
      <c r="C4535" s="1"/>
      <c r="D4535" s="1"/>
      <c r="E4535" s="1"/>
      <c r="F4535" s="1"/>
      <c r="G4535" s="1"/>
      <c r="H4535" s="1"/>
      <c r="I4535" s="1"/>
      <c r="J4535" s="1"/>
    </row>
    <row r="4536" ht="15.75" customHeight="1">
      <c r="A4536" s="1"/>
      <c r="B4536" s="1"/>
      <c r="C4536" s="1"/>
      <c r="D4536" s="1"/>
      <c r="E4536" s="1"/>
      <c r="F4536" s="1"/>
      <c r="G4536" s="1"/>
      <c r="H4536" s="1"/>
      <c r="I4536" s="1"/>
      <c r="J4536" s="1"/>
    </row>
    <row r="4537" ht="15.75" customHeight="1">
      <c r="A4537" s="1"/>
      <c r="B4537" s="1"/>
      <c r="C4537" s="1"/>
      <c r="D4537" s="1"/>
      <c r="E4537" s="1"/>
      <c r="F4537" s="1"/>
      <c r="G4537" s="1"/>
      <c r="H4537" s="1"/>
      <c r="I4537" s="1"/>
      <c r="J4537" s="1"/>
    </row>
    <row r="4538" ht="15.75" customHeight="1">
      <c r="A4538" s="1"/>
      <c r="B4538" s="1"/>
      <c r="C4538" s="1"/>
      <c r="D4538" s="1"/>
      <c r="E4538" s="1"/>
      <c r="F4538" s="1"/>
      <c r="G4538" s="1"/>
      <c r="H4538" s="1"/>
      <c r="I4538" s="1"/>
      <c r="J4538" s="1"/>
    </row>
    <row r="4539" ht="15.75" customHeight="1">
      <c r="A4539" s="1"/>
      <c r="B4539" s="1"/>
      <c r="C4539" s="1"/>
      <c r="D4539" s="1"/>
      <c r="E4539" s="1"/>
      <c r="F4539" s="1"/>
      <c r="G4539" s="1"/>
      <c r="H4539" s="1"/>
      <c r="I4539" s="1"/>
      <c r="J4539" s="1"/>
    </row>
    <row r="4540" ht="15.75" customHeight="1">
      <c r="A4540" s="1"/>
      <c r="B4540" s="1"/>
      <c r="C4540" s="1"/>
      <c r="D4540" s="1"/>
      <c r="E4540" s="1"/>
      <c r="F4540" s="1"/>
      <c r="G4540" s="1"/>
      <c r="H4540" s="1"/>
      <c r="I4540" s="1"/>
      <c r="J4540" s="1"/>
    </row>
    <row r="4541" ht="15.75" customHeight="1">
      <c r="A4541" s="1"/>
      <c r="B4541" s="1"/>
      <c r="C4541" s="1"/>
      <c r="D4541" s="1"/>
      <c r="E4541" s="1"/>
      <c r="F4541" s="1"/>
      <c r="G4541" s="1"/>
      <c r="H4541" s="1"/>
      <c r="I4541" s="1"/>
      <c r="J4541" s="1"/>
    </row>
    <row r="4542" ht="15.75" customHeight="1">
      <c r="A4542" s="1"/>
      <c r="B4542" s="1"/>
      <c r="C4542" s="1"/>
      <c r="D4542" s="1"/>
      <c r="E4542" s="1"/>
      <c r="F4542" s="1"/>
      <c r="G4542" s="1"/>
      <c r="H4542" s="1"/>
      <c r="I4542" s="1"/>
      <c r="J4542" s="1"/>
    </row>
    <row r="4543" ht="15.75" customHeight="1">
      <c r="A4543" s="1"/>
      <c r="B4543" s="1"/>
      <c r="C4543" s="1"/>
      <c r="D4543" s="1"/>
      <c r="E4543" s="1"/>
      <c r="F4543" s="1"/>
      <c r="G4543" s="1"/>
      <c r="H4543" s="1"/>
      <c r="I4543" s="1"/>
      <c r="J4543" s="1"/>
    </row>
    <row r="4544" ht="15.75" customHeight="1">
      <c r="A4544" s="1"/>
      <c r="B4544" s="1"/>
      <c r="C4544" s="1"/>
      <c r="D4544" s="1"/>
      <c r="E4544" s="1"/>
      <c r="F4544" s="1"/>
      <c r="G4544" s="1"/>
      <c r="H4544" s="1"/>
      <c r="I4544" s="1"/>
      <c r="J4544" s="1"/>
    </row>
    <row r="4545" ht="15.75" customHeight="1">
      <c r="A4545" s="1"/>
      <c r="B4545" s="1"/>
      <c r="C4545" s="1"/>
      <c r="D4545" s="1"/>
      <c r="E4545" s="1"/>
      <c r="F4545" s="1"/>
      <c r="G4545" s="1"/>
      <c r="H4545" s="1"/>
      <c r="I4545" s="1"/>
      <c r="J4545" s="1"/>
    </row>
    <row r="4546" ht="15.75" customHeight="1">
      <c r="A4546" s="1"/>
      <c r="B4546" s="1"/>
      <c r="C4546" s="1"/>
      <c r="D4546" s="1"/>
      <c r="E4546" s="1"/>
      <c r="F4546" s="1"/>
      <c r="G4546" s="1"/>
      <c r="H4546" s="1"/>
      <c r="I4546" s="1"/>
      <c r="J4546" s="1"/>
    </row>
    <row r="4547" ht="15.75" customHeight="1">
      <c r="A4547" s="1"/>
      <c r="B4547" s="1"/>
      <c r="C4547" s="1"/>
      <c r="D4547" s="1"/>
      <c r="E4547" s="1"/>
      <c r="F4547" s="1"/>
      <c r="G4547" s="1"/>
      <c r="H4547" s="1"/>
      <c r="I4547" s="1"/>
      <c r="J4547" s="1"/>
    </row>
    <row r="4548" ht="15.75" customHeight="1">
      <c r="A4548" s="1"/>
      <c r="B4548" s="1"/>
      <c r="C4548" s="1"/>
      <c r="D4548" s="1"/>
      <c r="E4548" s="1"/>
      <c r="F4548" s="1"/>
      <c r="G4548" s="1"/>
      <c r="H4548" s="1"/>
      <c r="I4548" s="1"/>
      <c r="J4548" s="1"/>
    </row>
    <row r="4549" ht="15.75" customHeight="1">
      <c r="A4549" s="1"/>
      <c r="B4549" s="1"/>
      <c r="C4549" s="1"/>
      <c r="D4549" s="1"/>
      <c r="E4549" s="1"/>
      <c r="F4549" s="1"/>
      <c r="G4549" s="1"/>
      <c r="H4549" s="1"/>
      <c r="I4549" s="1"/>
      <c r="J4549" s="1"/>
    </row>
    <row r="4550" ht="15.75" customHeight="1">
      <c r="A4550" s="1"/>
      <c r="B4550" s="1"/>
      <c r="C4550" s="1"/>
      <c r="D4550" s="1"/>
      <c r="E4550" s="1"/>
      <c r="F4550" s="1"/>
      <c r="G4550" s="1"/>
      <c r="H4550" s="1"/>
      <c r="I4550" s="1"/>
      <c r="J4550" s="1"/>
    </row>
    <row r="4551" ht="15.75" customHeight="1">
      <c r="A4551" s="1"/>
      <c r="B4551" s="1"/>
      <c r="C4551" s="1"/>
      <c r="D4551" s="1"/>
      <c r="E4551" s="1"/>
      <c r="F4551" s="1"/>
      <c r="G4551" s="1"/>
      <c r="H4551" s="1"/>
      <c r="I4551" s="1"/>
      <c r="J4551" s="1"/>
    </row>
    <row r="4552" ht="15.75" customHeight="1">
      <c r="A4552" s="1"/>
      <c r="B4552" s="1"/>
      <c r="C4552" s="1"/>
      <c r="D4552" s="1"/>
      <c r="E4552" s="1"/>
      <c r="F4552" s="1"/>
      <c r="G4552" s="1"/>
      <c r="H4552" s="1"/>
      <c r="I4552" s="1"/>
      <c r="J4552" s="1"/>
    </row>
    <row r="4553" ht="15.75" customHeight="1">
      <c r="A4553" s="1"/>
      <c r="B4553" s="1"/>
      <c r="C4553" s="1"/>
      <c r="D4553" s="1"/>
      <c r="E4553" s="1"/>
      <c r="F4553" s="1"/>
      <c r="G4553" s="1"/>
      <c r="H4553" s="1"/>
      <c r="I4553" s="1"/>
      <c r="J4553" s="1"/>
    </row>
    <row r="4554" ht="15.75" customHeight="1">
      <c r="A4554" s="1"/>
      <c r="B4554" s="1"/>
      <c r="C4554" s="1"/>
      <c r="D4554" s="1"/>
      <c r="E4554" s="1"/>
      <c r="F4554" s="1"/>
      <c r="G4554" s="1"/>
      <c r="H4554" s="1"/>
      <c r="I4554" s="1"/>
      <c r="J4554" s="1"/>
    </row>
    <row r="4555" ht="15.75" customHeight="1">
      <c r="A4555" s="1"/>
      <c r="B4555" s="1"/>
      <c r="C4555" s="1"/>
      <c r="D4555" s="1"/>
      <c r="E4555" s="1"/>
      <c r="F4555" s="1"/>
      <c r="G4555" s="1"/>
      <c r="H4555" s="1"/>
      <c r="I4555" s="1"/>
      <c r="J4555" s="1"/>
    </row>
    <row r="4556" ht="15.75" customHeight="1">
      <c r="A4556" s="1"/>
      <c r="B4556" s="1"/>
      <c r="C4556" s="1"/>
      <c r="D4556" s="1"/>
      <c r="E4556" s="1"/>
      <c r="F4556" s="1"/>
      <c r="G4556" s="1"/>
      <c r="H4556" s="1"/>
      <c r="I4556" s="1"/>
      <c r="J4556" s="1"/>
    </row>
    <row r="4557" ht="15.75" customHeight="1">
      <c r="A4557" s="1"/>
      <c r="B4557" s="1"/>
      <c r="C4557" s="1"/>
      <c r="D4557" s="1"/>
      <c r="E4557" s="1"/>
      <c r="F4557" s="1"/>
      <c r="G4557" s="1"/>
      <c r="H4557" s="1"/>
      <c r="I4557" s="1"/>
      <c r="J4557" s="1"/>
    </row>
    <row r="4558" ht="15.75" customHeight="1">
      <c r="A4558" s="1"/>
      <c r="B4558" s="1"/>
      <c r="C4558" s="1"/>
      <c r="D4558" s="1"/>
      <c r="E4558" s="1"/>
      <c r="F4558" s="1"/>
      <c r="G4558" s="1"/>
      <c r="H4558" s="1"/>
      <c r="I4558" s="1"/>
      <c r="J4558" s="1"/>
    </row>
    <row r="4559" ht="15.75" customHeight="1">
      <c r="A4559" s="1"/>
      <c r="B4559" s="1"/>
      <c r="C4559" s="1"/>
      <c r="D4559" s="1"/>
      <c r="E4559" s="1"/>
      <c r="F4559" s="1"/>
      <c r="G4559" s="1"/>
      <c r="H4559" s="1"/>
      <c r="I4559" s="1"/>
      <c r="J4559" s="1"/>
    </row>
    <row r="4560" ht="15.75" customHeight="1">
      <c r="A4560" s="1"/>
      <c r="B4560" s="1"/>
      <c r="C4560" s="1"/>
      <c r="D4560" s="1"/>
      <c r="E4560" s="1"/>
      <c r="F4560" s="1"/>
      <c r="G4560" s="1"/>
      <c r="H4560" s="1"/>
      <c r="I4560" s="1"/>
      <c r="J4560" s="1"/>
    </row>
    <row r="4561" ht="15.75" customHeight="1">
      <c r="A4561" s="1"/>
      <c r="B4561" s="1"/>
      <c r="C4561" s="1"/>
      <c r="D4561" s="1"/>
      <c r="E4561" s="1"/>
      <c r="F4561" s="1"/>
      <c r="G4561" s="1"/>
      <c r="H4561" s="1"/>
      <c r="I4561" s="1"/>
      <c r="J4561" s="1"/>
    </row>
    <row r="4562" ht="15.75" customHeight="1">
      <c r="A4562" s="1"/>
      <c r="B4562" s="1"/>
      <c r="C4562" s="1"/>
      <c r="D4562" s="1"/>
      <c r="E4562" s="1"/>
      <c r="F4562" s="1"/>
      <c r="G4562" s="1"/>
      <c r="H4562" s="1"/>
      <c r="I4562" s="1"/>
      <c r="J4562" s="1"/>
    </row>
    <row r="4563" ht="15.75" customHeight="1">
      <c r="A4563" s="1"/>
      <c r="B4563" s="1"/>
      <c r="C4563" s="1"/>
      <c r="D4563" s="1"/>
      <c r="E4563" s="1"/>
      <c r="F4563" s="1"/>
      <c r="G4563" s="1"/>
      <c r="H4563" s="1"/>
      <c r="I4563" s="1"/>
      <c r="J4563" s="1"/>
    </row>
    <row r="4564" ht="15.75" customHeight="1">
      <c r="A4564" s="1"/>
      <c r="B4564" s="1"/>
      <c r="C4564" s="1"/>
      <c r="D4564" s="1"/>
      <c r="E4564" s="1"/>
      <c r="F4564" s="1"/>
      <c r="G4564" s="1"/>
      <c r="H4564" s="1"/>
      <c r="I4564" s="1"/>
      <c r="J4564" s="1"/>
    </row>
    <row r="4565" ht="15.75" customHeight="1">
      <c r="A4565" s="1"/>
      <c r="B4565" s="1"/>
      <c r="C4565" s="1"/>
      <c r="D4565" s="1"/>
      <c r="E4565" s="1"/>
      <c r="F4565" s="1"/>
      <c r="G4565" s="1"/>
      <c r="H4565" s="1"/>
      <c r="I4565" s="1"/>
      <c r="J4565" s="1"/>
    </row>
    <row r="4566" ht="15.75" customHeight="1">
      <c r="A4566" s="1"/>
      <c r="B4566" s="1"/>
      <c r="C4566" s="1"/>
      <c r="D4566" s="1"/>
      <c r="E4566" s="1"/>
      <c r="F4566" s="1"/>
      <c r="G4566" s="1"/>
      <c r="H4566" s="1"/>
      <c r="I4566" s="1"/>
      <c r="J4566" s="1"/>
    </row>
    <row r="4567" ht="15.75" customHeight="1">
      <c r="A4567" s="1"/>
      <c r="B4567" s="1"/>
      <c r="C4567" s="1"/>
      <c r="D4567" s="1"/>
      <c r="E4567" s="1"/>
      <c r="F4567" s="1"/>
      <c r="G4567" s="1"/>
      <c r="H4567" s="1"/>
      <c r="I4567" s="1"/>
      <c r="J4567" s="1"/>
    </row>
    <row r="4568" ht="15.75" customHeight="1">
      <c r="A4568" s="1"/>
      <c r="B4568" s="1"/>
      <c r="C4568" s="1"/>
      <c r="D4568" s="1"/>
      <c r="E4568" s="1"/>
      <c r="F4568" s="1"/>
      <c r="G4568" s="1"/>
      <c r="H4568" s="1"/>
      <c r="I4568" s="1"/>
      <c r="J4568" s="1"/>
    </row>
    <row r="4569" ht="15.75" customHeight="1">
      <c r="A4569" s="1"/>
      <c r="B4569" s="1"/>
      <c r="C4569" s="1"/>
      <c r="D4569" s="1"/>
      <c r="E4569" s="1"/>
      <c r="F4569" s="1"/>
      <c r="G4569" s="1"/>
      <c r="H4569" s="1"/>
      <c r="I4569" s="1"/>
      <c r="J4569" s="1"/>
    </row>
    <row r="4570" ht="15.75" customHeight="1">
      <c r="A4570" s="1"/>
      <c r="B4570" s="1"/>
      <c r="C4570" s="1"/>
      <c r="D4570" s="1"/>
      <c r="E4570" s="1"/>
      <c r="F4570" s="1"/>
      <c r="G4570" s="1"/>
      <c r="H4570" s="1"/>
      <c r="I4570" s="1"/>
      <c r="J4570" s="1"/>
    </row>
    <row r="4571" ht="15.75" customHeight="1">
      <c r="A4571" s="1"/>
      <c r="B4571" s="1"/>
      <c r="C4571" s="1"/>
      <c r="D4571" s="1"/>
      <c r="E4571" s="1"/>
      <c r="F4571" s="1"/>
      <c r="G4571" s="1"/>
      <c r="H4571" s="1"/>
      <c r="I4571" s="1"/>
      <c r="J4571" s="1"/>
    </row>
    <row r="4572" ht="15.75" customHeight="1">
      <c r="A4572" s="1"/>
      <c r="B4572" s="1"/>
      <c r="C4572" s="1"/>
      <c r="D4572" s="1"/>
      <c r="E4572" s="1"/>
      <c r="F4572" s="1"/>
      <c r="G4572" s="1"/>
      <c r="H4572" s="1"/>
      <c r="I4572" s="1"/>
      <c r="J4572" s="1"/>
    </row>
    <row r="4573" ht="15.75" customHeight="1">
      <c r="A4573" s="1"/>
      <c r="B4573" s="1"/>
      <c r="C4573" s="1"/>
      <c r="D4573" s="1"/>
      <c r="E4573" s="1"/>
      <c r="F4573" s="1"/>
      <c r="G4573" s="1"/>
      <c r="H4573" s="1"/>
      <c r="I4573" s="1"/>
      <c r="J4573" s="1"/>
    </row>
    <row r="4574" ht="15.75" customHeight="1">
      <c r="A4574" s="1"/>
      <c r="B4574" s="1"/>
      <c r="C4574" s="1"/>
      <c r="D4574" s="1"/>
      <c r="E4574" s="1"/>
      <c r="F4574" s="1"/>
      <c r="G4574" s="1"/>
      <c r="H4574" s="1"/>
      <c r="I4574" s="1"/>
      <c r="J4574" s="1"/>
    </row>
    <row r="4575" ht="15.75" customHeight="1">
      <c r="A4575" s="1"/>
      <c r="B4575" s="1"/>
      <c r="C4575" s="1"/>
      <c r="D4575" s="1"/>
      <c r="E4575" s="1"/>
      <c r="F4575" s="1"/>
      <c r="G4575" s="1"/>
      <c r="H4575" s="1"/>
      <c r="I4575" s="1"/>
      <c r="J4575" s="1"/>
    </row>
    <row r="4576" ht="15.75" customHeight="1">
      <c r="A4576" s="1"/>
      <c r="B4576" s="1"/>
      <c r="C4576" s="1"/>
      <c r="D4576" s="1"/>
      <c r="E4576" s="1"/>
      <c r="F4576" s="1"/>
      <c r="G4576" s="1"/>
      <c r="H4576" s="1"/>
      <c r="I4576" s="1"/>
      <c r="J4576" s="1"/>
    </row>
    <row r="4577" ht="15.75" customHeight="1">
      <c r="A4577" s="1"/>
      <c r="B4577" s="1"/>
      <c r="C4577" s="1"/>
      <c r="D4577" s="1"/>
      <c r="E4577" s="1"/>
      <c r="F4577" s="1"/>
      <c r="G4577" s="1"/>
      <c r="H4577" s="1"/>
      <c r="I4577" s="1"/>
      <c r="J4577" s="1"/>
    </row>
    <row r="4578" ht="15.75" customHeight="1">
      <c r="A4578" s="1"/>
      <c r="B4578" s="1"/>
      <c r="C4578" s="1"/>
      <c r="D4578" s="1"/>
      <c r="E4578" s="1"/>
      <c r="F4578" s="1"/>
      <c r="G4578" s="1"/>
      <c r="H4578" s="1"/>
      <c r="I4578" s="1"/>
      <c r="J4578" s="1"/>
    </row>
    <row r="4579" ht="15.75" customHeight="1">
      <c r="A4579" s="1"/>
      <c r="B4579" s="1"/>
      <c r="C4579" s="1"/>
      <c r="D4579" s="1"/>
      <c r="E4579" s="1"/>
      <c r="F4579" s="1"/>
      <c r="G4579" s="1"/>
      <c r="H4579" s="1"/>
      <c r="I4579" s="1"/>
      <c r="J4579" s="1"/>
    </row>
    <row r="4580" ht="15.75" customHeight="1">
      <c r="A4580" s="1"/>
      <c r="B4580" s="1"/>
      <c r="C4580" s="1"/>
      <c r="D4580" s="1"/>
      <c r="E4580" s="1"/>
      <c r="F4580" s="1"/>
      <c r="G4580" s="1"/>
      <c r="H4580" s="1"/>
      <c r="I4580" s="1"/>
      <c r="J4580" s="1"/>
    </row>
    <row r="4581" ht="15.75" customHeight="1">
      <c r="A4581" s="1"/>
      <c r="B4581" s="1"/>
      <c r="C4581" s="1"/>
      <c r="D4581" s="1"/>
      <c r="E4581" s="1"/>
      <c r="F4581" s="1"/>
      <c r="G4581" s="1"/>
      <c r="H4581" s="1"/>
      <c r="I4581" s="1"/>
      <c r="J4581" s="1"/>
    </row>
    <row r="4582" ht="15.75" customHeight="1">
      <c r="A4582" s="1"/>
      <c r="B4582" s="1"/>
      <c r="C4582" s="1"/>
      <c r="D4582" s="1"/>
      <c r="E4582" s="1"/>
      <c r="F4582" s="1"/>
      <c r="G4582" s="1"/>
      <c r="H4582" s="1"/>
      <c r="I4582" s="1"/>
      <c r="J4582" s="1"/>
    </row>
    <row r="4583" ht="15.75" customHeight="1">
      <c r="A4583" s="1"/>
      <c r="B4583" s="1"/>
      <c r="C4583" s="1"/>
      <c r="D4583" s="1"/>
      <c r="E4583" s="1"/>
      <c r="F4583" s="1"/>
      <c r="G4583" s="1"/>
      <c r="H4583" s="1"/>
      <c r="I4583" s="1"/>
      <c r="J4583" s="1"/>
    </row>
    <row r="4584" ht="15.75" customHeight="1">
      <c r="A4584" s="1"/>
      <c r="B4584" s="1"/>
      <c r="C4584" s="1"/>
      <c r="D4584" s="1"/>
      <c r="E4584" s="1"/>
      <c r="F4584" s="1"/>
      <c r="G4584" s="1"/>
      <c r="H4584" s="1"/>
      <c r="I4584" s="1"/>
      <c r="J4584" s="1"/>
    </row>
    <row r="4585" ht="15.75" customHeight="1">
      <c r="A4585" s="1"/>
      <c r="B4585" s="1"/>
      <c r="C4585" s="1"/>
      <c r="D4585" s="1"/>
      <c r="E4585" s="1"/>
      <c r="F4585" s="1"/>
      <c r="G4585" s="1"/>
      <c r="H4585" s="1"/>
      <c r="I4585" s="1"/>
      <c r="J4585" s="1"/>
    </row>
    <row r="4586" ht="15.75" customHeight="1">
      <c r="A4586" s="1"/>
      <c r="B4586" s="1"/>
      <c r="C4586" s="1"/>
      <c r="D4586" s="1"/>
      <c r="E4586" s="1"/>
      <c r="F4586" s="1"/>
      <c r="G4586" s="1"/>
      <c r="H4586" s="1"/>
      <c r="I4586" s="1"/>
      <c r="J4586" s="1"/>
    </row>
    <row r="4587" ht="15.75" customHeight="1">
      <c r="A4587" s="1"/>
      <c r="B4587" s="1"/>
      <c r="C4587" s="1"/>
      <c r="D4587" s="1"/>
      <c r="E4587" s="1"/>
      <c r="F4587" s="1"/>
      <c r="G4587" s="1"/>
      <c r="H4587" s="1"/>
      <c r="I4587" s="1"/>
      <c r="J4587" s="1"/>
    </row>
    <row r="4588" ht="15.75" customHeight="1">
      <c r="A4588" s="1"/>
      <c r="B4588" s="1"/>
      <c r="C4588" s="1"/>
      <c r="D4588" s="1"/>
      <c r="E4588" s="1"/>
      <c r="F4588" s="1"/>
      <c r="G4588" s="1"/>
      <c r="H4588" s="1"/>
      <c r="I4588" s="1"/>
      <c r="J4588" s="1"/>
    </row>
    <row r="4589" ht="15.75" customHeight="1">
      <c r="A4589" s="1"/>
      <c r="B4589" s="1"/>
      <c r="C4589" s="1"/>
      <c r="D4589" s="1"/>
      <c r="E4589" s="1"/>
      <c r="F4589" s="1"/>
      <c r="G4589" s="1"/>
      <c r="H4589" s="1"/>
      <c r="I4589" s="1"/>
      <c r="J4589" s="1"/>
    </row>
    <row r="4590" ht="15.75" customHeight="1">
      <c r="A4590" s="1"/>
      <c r="B4590" s="1"/>
      <c r="C4590" s="1"/>
      <c r="D4590" s="1"/>
      <c r="E4590" s="1"/>
      <c r="F4590" s="1"/>
      <c r="G4590" s="1"/>
      <c r="H4590" s="1"/>
      <c r="I4590" s="1"/>
      <c r="J4590" s="1"/>
    </row>
    <row r="4591" ht="15.75" customHeight="1">
      <c r="A4591" s="1"/>
      <c r="B4591" s="1"/>
      <c r="C4591" s="1"/>
      <c r="D4591" s="1"/>
      <c r="E4591" s="1"/>
      <c r="F4591" s="1"/>
      <c r="G4591" s="1"/>
      <c r="H4591" s="1"/>
      <c r="I4591" s="1"/>
      <c r="J4591" s="1"/>
    </row>
    <row r="4592" ht="15.75" customHeight="1">
      <c r="A4592" s="1"/>
      <c r="B4592" s="1"/>
      <c r="C4592" s="1"/>
      <c r="D4592" s="1"/>
      <c r="E4592" s="1"/>
      <c r="F4592" s="1"/>
      <c r="G4592" s="1"/>
      <c r="H4592" s="1"/>
      <c r="I4592" s="1"/>
      <c r="J4592" s="1"/>
    </row>
    <row r="4593" ht="15.75" customHeight="1">
      <c r="A4593" s="1"/>
      <c r="B4593" s="1"/>
      <c r="C4593" s="1"/>
      <c r="D4593" s="1"/>
      <c r="E4593" s="1"/>
      <c r="F4593" s="1"/>
      <c r="G4593" s="1"/>
      <c r="H4593" s="1"/>
      <c r="I4593" s="1"/>
      <c r="J4593" s="1"/>
    </row>
    <row r="4594" ht="15.75" customHeight="1">
      <c r="A4594" s="1"/>
      <c r="B4594" s="1"/>
      <c r="C4594" s="1"/>
      <c r="D4594" s="1"/>
      <c r="E4594" s="1"/>
      <c r="F4594" s="1"/>
      <c r="G4594" s="1"/>
      <c r="H4594" s="1"/>
      <c r="I4594" s="1"/>
      <c r="J4594" s="1"/>
    </row>
    <row r="4595" ht="15.75" customHeight="1">
      <c r="A4595" s="1"/>
      <c r="B4595" s="1"/>
      <c r="C4595" s="1"/>
      <c r="D4595" s="1"/>
      <c r="E4595" s="1"/>
      <c r="F4595" s="1"/>
      <c r="G4595" s="1"/>
      <c r="H4595" s="1"/>
      <c r="I4595" s="1"/>
      <c r="J4595" s="1"/>
    </row>
    <row r="4596" ht="15.75" customHeight="1">
      <c r="A4596" s="1"/>
      <c r="B4596" s="1"/>
      <c r="C4596" s="1"/>
      <c r="D4596" s="1"/>
      <c r="E4596" s="1"/>
      <c r="F4596" s="1"/>
      <c r="G4596" s="1"/>
      <c r="H4596" s="1"/>
      <c r="I4596" s="1"/>
      <c r="J4596" s="1"/>
    </row>
    <row r="4597" ht="15.75" customHeight="1">
      <c r="A4597" s="1"/>
      <c r="B4597" s="1"/>
      <c r="C4597" s="1"/>
      <c r="D4597" s="1"/>
      <c r="E4597" s="1"/>
      <c r="F4597" s="1"/>
      <c r="G4597" s="1"/>
      <c r="H4597" s="1"/>
      <c r="I4597" s="1"/>
      <c r="J4597" s="1"/>
    </row>
    <row r="4598" ht="15.75" customHeight="1">
      <c r="A4598" s="1"/>
      <c r="B4598" s="1"/>
      <c r="C4598" s="1"/>
      <c r="D4598" s="1"/>
      <c r="E4598" s="1"/>
      <c r="F4598" s="1"/>
      <c r="G4598" s="1"/>
      <c r="H4598" s="1"/>
      <c r="I4598" s="1"/>
      <c r="J4598" s="1"/>
    </row>
    <row r="4599" ht="15.75" customHeight="1">
      <c r="A4599" s="1"/>
      <c r="B4599" s="1"/>
      <c r="C4599" s="1"/>
      <c r="D4599" s="1"/>
      <c r="E4599" s="1"/>
      <c r="F4599" s="1"/>
      <c r="G4599" s="1"/>
      <c r="H4599" s="1"/>
      <c r="I4599" s="1"/>
      <c r="J4599" s="1"/>
    </row>
    <row r="4600" ht="15.75" customHeight="1">
      <c r="A4600" s="1"/>
      <c r="B4600" s="1"/>
      <c r="C4600" s="1"/>
      <c r="D4600" s="1"/>
      <c r="E4600" s="1"/>
      <c r="F4600" s="1"/>
      <c r="G4600" s="1"/>
      <c r="H4600" s="1"/>
      <c r="I4600" s="1"/>
      <c r="J4600" s="1"/>
    </row>
    <row r="4601" ht="15.75" customHeight="1">
      <c r="A4601" s="1"/>
      <c r="B4601" s="1"/>
      <c r="C4601" s="1"/>
      <c r="D4601" s="1"/>
      <c r="E4601" s="1"/>
      <c r="F4601" s="1"/>
      <c r="G4601" s="1"/>
      <c r="H4601" s="1"/>
      <c r="I4601" s="1"/>
      <c r="J4601" s="1"/>
    </row>
    <row r="4602" ht="15.75" customHeight="1">
      <c r="A4602" s="1"/>
      <c r="B4602" s="1"/>
      <c r="C4602" s="1"/>
      <c r="D4602" s="1"/>
      <c r="E4602" s="1"/>
      <c r="F4602" s="1"/>
      <c r="G4602" s="1"/>
      <c r="H4602" s="1"/>
      <c r="I4602" s="1"/>
      <c r="J4602" s="1"/>
    </row>
    <row r="4603" ht="15.75" customHeight="1">
      <c r="A4603" s="1"/>
      <c r="B4603" s="1"/>
      <c r="C4603" s="1"/>
      <c r="D4603" s="1"/>
      <c r="E4603" s="1"/>
      <c r="F4603" s="1"/>
      <c r="G4603" s="1"/>
      <c r="H4603" s="1"/>
      <c r="I4603" s="1"/>
      <c r="J4603" s="1"/>
    </row>
    <row r="4604" ht="15.75" customHeight="1">
      <c r="A4604" s="1"/>
      <c r="B4604" s="1"/>
      <c r="C4604" s="1"/>
      <c r="D4604" s="1"/>
      <c r="E4604" s="1"/>
      <c r="F4604" s="1"/>
      <c r="G4604" s="1"/>
      <c r="H4604" s="1"/>
      <c r="I4604" s="1"/>
      <c r="J4604" s="1"/>
    </row>
    <row r="4605" ht="15.75" customHeight="1">
      <c r="A4605" s="1"/>
      <c r="B4605" s="1"/>
      <c r="C4605" s="1"/>
      <c r="D4605" s="1"/>
      <c r="E4605" s="1"/>
      <c r="F4605" s="1"/>
      <c r="G4605" s="1"/>
      <c r="H4605" s="1"/>
      <c r="I4605" s="1"/>
      <c r="J4605" s="1"/>
    </row>
    <row r="4606" ht="15.75" customHeight="1">
      <c r="A4606" s="1"/>
      <c r="B4606" s="1"/>
      <c r="C4606" s="1"/>
      <c r="D4606" s="1"/>
      <c r="E4606" s="1"/>
      <c r="F4606" s="1"/>
      <c r="G4606" s="1"/>
      <c r="H4606" s="1"/>
      <c r="I4606" s="1"/>
      <c r="J4606" s="1"/>
    </row>
    <row r="4607" ht="15.75" customHeight="1">
      <c r="A4607" s="1"/>
      <c r="B4607" s="1"/>
      <c r="C4607" s="1"/>
      <c r="D4607" s="1"/>
      <c r="E4607" s="1"/>
      <c r="F4607" s="1"/>
      <c r="G4607" s="1"/>
      <c r="H4607" s="1"/>
      <c r="I4607" s="1"/>
      <c r="J4607" s="1"/>
    </row>
    <row r="4608" ht="15.75" customHeight="1">
      <c r="A4608" s="1"/>
      <c r="B4608" s="1"/>
      <c r="C4608" s="1"/>
      <c r="D4608" s="1"/>
      <c r="E4608" s="1"/>
      <c r="F4608" s="1"/>
      <c r="G4608" s="1"/>
      <c r="H4608" s="1"/>
      <c r="I4608" s="1"/>
      <c r="J4608" s="1"/>
    </row>
    <row r="4609" ht="15.75" customHeight="1">
      <c r="A4609" s="1"/>
      <c r="B4609" s="1"/>
      <c r="C4609" s="1"/>
      <c r="D4609" s="1"/>
      <c r="E4609" s="1"/>
      <c r="F4609" s="1"/>
      <c r="G4609" s="1"/>
      <c r="H4609" s="1"/>
      <c r="I4609" s="1"/>
      <c r="J4609" s="1"/>
    </row>
    <row r="4610" ht="15.75" customHeight="1">
      <c r="A4610" s="1"/>
      <c r="B4610" s="1"/>
      <c r="C4610" s="1"/>
      <c r="D4610" s="1"/>
      <c r="E4610" s="1"/>
      <c r="F4610" s="1"/>
      <c r="G4610" s="1"/>
      <c r="H4610" s="1"/>
      <c r="I4610" s="1"/>
      <c r="J4610" s="1"/>
    </row>
    <row r="4611" ht="15.75" customHeight="1">
      <c r="A4611" s="1"/>
      <c r="B4611" s="1"/>
      <c r="C4611" s="1"/>
      <c r="D4611" s="1"/>
      <c r="E4611" s="1"/>
      <c r="F4611" s="1"/>
      <c r="G4611" s="1"/>
      <c r="H4611" s="1"/>
      <c r="I4611" s="1"/>
      <c r="J4611" s="1"/>
    </row>
    <row r="4612" ht="15.75" customHeight="1">
      <c r="A4612" s="1"/>
      <c r="B4612" s="1"/>
      <c r="C4612" s="1"/>
      <c r="D4612" s="1"/>
      <c r="E4612" s="1"/>
      <c r="F4612" s="1"/>
      <c r="G4612" s="1"/>
      <c r="H4612" s="1"/>
      <c r="I4612" s="1"/>
      <c r="J4612" s="1"/>
    </row>
    <row r="4613" ht="15.75" customHeight="1">
      <c r="A4613" s="1"/>
      <c r="B4613" s="1"/>
      <c r="C4613" s="1"/>
      <c r="D4613" s="1"/>
      <c r="E4613" s="1"/>
      <c r="F4613" s="1"/>
      <c r="G4613" s="1"/>
      <c r="H4613" s="1"/>
      <c r="I4613" s="1"/>
      <c r="J4613" s="1"/>
    </row>
    <row r="4614" ht="15.75" customHeight="1">
      <c r="A4614" s="1"/>
      <c r="B4614" s="1"/>
      <c r="C4614" s="1"/>
      <c r="D4614" s="1"/>
      <c r="E4614" s="1"/>
      <c r="F4614" s="1"/>
      <c r="G4614" s="1"/>
      <c r="H4614" s="1"/>
      <c r="I4614" s="1"/>
      <c r="J4614" s="1"/>
    </row>
    <row r="4615" ht="15.75" customHeight="1">
      <c r="A4615" s="1"/>
      <c r="B4615" s="1"/>
      <c r="C4615" s="1"/>
      <c r="D4615" s="1"/>
      <c r="E4615" s="1"/>
      <c r="F4615" s="1"/>
      <c r="G4615" s="1"/>
      <c r="H4615" s="1"/>
      <c r="I4615" s="1"/>
      <c r="J4615" s="1"/>
    </row>
    <row r="4616" ht="15.75" customHeight="1">
      <c r="A4616" s="1"/>
      <c r="B4616" s="1"/>
      <c r="C4616" s="1"/>
      <c r="D4616" s="1"/>
      <c r="E4616" s="1"/>
      <c r="F4616" s="1"/>
      <c r="G4616" s="1"/>
      <c r="H4616" s="1"/>
      <c r="I4616" s="1"/>
      <c r="J4616" s="1"/>
    </row>
    <row r="4617" ht="15.75" customHeight="1">
      <c r="A4617" s="1"/>
      <c r="B4617" s="1"/>
      <c r="C4617" s="1"/>
      <c r="D4617" s="1"/>
      <c r="E4617" s="1"/>
      <c r="F4617" s="1"/>
      <c r="G4617" s="1"/>
      <c r="H4617" s="1"/>
      <c r="I4617" s="1"/>
      <c r="J4617" s="1"/>
    </row>
    <row r="4618" ht="15.75" customHeight="1">
      <c r="A4618" s="1"/>
      <c r="B4618" s="1"/>
      <c r="C4618" s="1"/>
      <c r="D4618" s="1"/>
      <c r="E4618" s="1"/>
      <c r="F4618" s="1"/>
      <c r="G4618" s="1"/>
      <c r="H4618" s="1"/>
      <c r="I4618" s="1"/>
      <c r="J4618" s="1"/>
    </row>
    <row r="4619" ht="15.75" customHeight="1">
      <c r="A4619" s="1"/>
      <c r="B4619" s="1"/>
      <c r="C4619" s="1"/>
      <c r="D4619" s="1"/>
      <c r="E4619" s="1"/>
      <c r="F4619" s="1"/>
      <c r="G4619" s="1"/>
      <c r="H4619" s="1"/>
      <c r="I4619" s="1"/>
      <c r="J4619" s="1"/>
    </row>
    <row r="4620" ht="15.75" customHeight="1">
      <c r="A4620" s="1"/>
      <c r="B4620" s="1"/>
      <c r="C4620" s="1"/>
      <c r="D4620" s="1"/>
      <c r="E4620" s="1"/>
      <c r="F4620" s="1"/>
      <c r="G4620" s="1"/>
      <c r="H4620" s="1"/>
      <c r="I4620" s="1"/>
      <c r="J4620" s="1"/>
    </row>
    <row r="4621" ht="15.75" customHeight="1">
      <c r="A4621" s="1"/>
      <c r="B4621" s="1"/>
      <c r="C4621" s="1"/>
      <c r="D4621" s="1"/>
      <c r="E4621" s="1"/>
      <c r="F4621" s="1"/>
      <c r="G4621" s="1"/>
      <c r="H4621" s="1"/>
      <c r="I4621" s="1"/>
      <c r="J4621" s="1"/>
    </row>
    <row r="4622" ht="15.75" customHeight="1">
      <c r="A4622" s="1"/>
      <c r="B4622" s="1"/>
      <c r="C4622" s="1"/>
      <c r="D4622" s="1"/>
      <c r="E4622" s="1"/>
      <c r="F4622" s="1"/>
      <c r="G4622" s="1"/>
      <c r="H4622" s="1"/>
      <c r="I4622" s="1"/>
      <c r="J4622" s="1"/>
    </row>
    <row r="4623" ht="15.75" customHeight="1">
      <c r="A4623" s="1"/>
      <c r="B4623" s="1"/>
      <c r="C4623" s="1"/>
      <c r="D4623" s="1"/>
      <c r="E4623" s="1"/>
      <c r="F4623" s="1"/>
      <c r="G4623" s="1"/>
      <c r="H4623" s="1"/>
      <c r="I4623" s="1"/>
      <c r="J4623" s="1"/>
    </row>
    <row r="4624" ht="15.75" customHeight="1">
      <c r="A4624" s="1"/>
      <c r="B4624" s="1"/>
      <c r="C4624" s="1"/>
      <c r="D4624" s="1"/>
      <c r="E4624" s="1"/>
      <c r="F4624" s="1"/>
      <c r="G4624" s="1"/>
      <c r="H4624" s="1"/>
      <c r="I4624" s="1"/>
      <c r="J4624" s="1"/>
    </row>
    <row r="4625" ht="15.75" customHeight="1">
      <c r="A4625" s="1"/>
      <c r="B4625" s="1"/>
      <c r="C4625" s="1"/>
      <c r="D4625" s="1"/>
      <c r="E4625" s="1"/>
      <c r="F4625" s="1"/>
      <c r="G4625" s="1"/>
      <c r="H4625" s="1"/>
      <c r="I4625" s="1"/>
      <c r="J4625" s="1"/>
    </row>
    <row r="4626" ht="15.75" customHeight="1">
      <c r="A4626" s="1"/>
      <c r="B4626" s="1"/>
      <c r="C4626" s="1"/>
      <c r="D4626" s="1"/>
      <c r="E4626" s="1"/>
      <c r="F4626" s="1"/>
      <c r="G4626" s="1"/>
      <c r="H4626" s="1"/>
      <c r="I4626" s="1"/>
      <c r="J4626" s="1"/>
    </row>
    <row r="4627" ht="15.75" customHeight="1">
      <c r="A4627" s="1"/>
      <c r="B4627" s="1"/>
      <c r="C4627" s="1"/>
      <c r="D4627" s="1"/>
      <c r="E4627" s="1"/>
      <c r="F4627" s="1"/>
      <c r="G4627" s="1"/>
      <c r="H4627" s="1"/>
      <c r="I4627" s="1"/>
      <c r="J4627" s="1"/>
    </row>
    <row r="4628" ht="15.75" customHeight="1">
      <c r="A4628" s="1"/>
      <c r="B4628" s="1"/>
      <c r="C4628" s="1"/>
      <c r="D4628" s="1"/>
      <c r="E4628" s="1"/>
      <c r="F4628" s="1"/>
      <c r="G4628" s="1"/>
      <c r="H4628" s="1"/>
      <c r="I4628" s="1"/>
      <c r="J4628" s="1"/>
    </row>
    <row r="4629" ht="15.75" customHeight="1">
      <c r="A4629" s="1"/>
      <c r="B4629" s="1"/>
      <c r="C4629" s="1"/>
      <c r="D4629" s="1"/>
      <c r="E4629" s="1"/>
      <c r="F4629" s="1"/>
      <c r="G4629" s="1"/>
      <c r="H4629" s="1"/>
      <c r="I4629" s="1"/>
      <c r="J4629" s="1"/>
    </row>
    <row r="4630" ht="15.75" customHeight="1">
      <c r="A4630" s="1"/>
      <c r="B4630" s="1"/>
      <c r="C4630" s="1"/>
      <c r="D4630" s="1"/>
      <c r="E4630" s="1"/>
      <c r="F4630" s="1"/>
      <c r="G4630" s="1"/>
      <c r="H4630" s="1"/>
      <c r="I4630" s="1"/>
      <c r="J4630" s="1"/>
    </row>
    <row r="4631" ht="15.75" customHeight="1">
      <c r="A4631" s="1"/>
      <c r="B4631" s="1"/>
      <c r="C4631" s="1"/>
      <c r="D4631" s="1"/>
      <c r="E4631" s="1"/>
      <c r="F4631" s="1"/>
      <c r="G4631" s="1"/>
      <c r="H4631" s="1"/>
      <c r="I4631" s="1"/>
      <c r="J4631" s="1"/>
    </row>
    <row r="4632" ht="15.75" customHeight="1">
      <c r="A4632" s="1"/>
      <c r="B4632" s="1"/>
      <c r="C4632" s="1"/>
      <c r="D4632" s="1"/>
      <c r="E4632" s="1"/>
      <c r="F4632" s="1"/>
      <c r="G4632" s="1"/>
      <c r="H4632" s="1"/>
      <c r="I4632" s="1"/>
      <c r="J4632" s="1"/>
    </row>
    <row r="4633" ht="15.75" customHeight="1">
      <c r="A4633" s="1"/>
      <c r="B4633" s="1"/>
      <c r="C4633" s="1"/>
      <c r="D4633" s="1"/>
      <c r="E4633" s="1"/>
      <c r="F4633" s="1"/>
      <c r="G4633" s="1"/>
      <c r="H4633" s="1"/>
      <c r="I4633" s="1"/>
      <c r="J4633" s="1"/>
    </row>
    <row r="4634" ht="15.75" customHeight="1">
      <c r="A4634" s="1"/>
      <c r="B4634" s="1"/>
      <c r="C4634" s="1"/>
      <c r="D4634" s="1"/>
      <c r="E4634" s="1"/>
      <c r="F4634" s="1"/>
      <c r="G4634" s="1"/>
      <c r="H4634" s="1"/>
      <c r="I4634" s="1"/>
      <c r="J4634" s="1"/>
    </row>
    <row r="4635" ht="15.75" customHeight="1">
      <c r="A4635" s="1"/>
      <c r="B4635" s="1"/>
      <c r="C4635" s="1"/>
      <c r="D4635" s="1"/>
      <c r="E4635" s="1"/>
      <c r="F4635" s="1"/>
      <c r="G4635" s="1"/>
      <c r="H4635" s="1"/>
      <c r="I4635" s="1"/>
      <c r="J4635" s="1"/>
    </row>
    <row r="4636" ht="15.75" customHeight="1">
      <c r="A4636" s="1"/>
      <c r="B4636" s="1"/>
      <c r="C4636" s="1"/>
      <c r="D4636" s="1"/>
      <c r="E4636" s="1"/>
      <c r="F4636" s="1"/>
      <c r="G4636" s="1"/>
      <c r="H4636" s="1"/>
      <c r="I4636" s="1"/>
      <c r="J4636" s="1"/>
    </row>
    <row r="4637" ht="15.75" customHeight="1">
      <c r="A4637" s="1"/>
      <c r="B4637" s="1"/>
      <c r="C4637" s="1"/>
      <c r="D4637" s="1"/>
      <c r="E4637" s="1"/>
      <c r="F4637" s="1"/>
      <c r="G4637" s="1"/>
      <c r="H4637" s="1"/>
      <c r="I4637" s="1"/>
      <c r="J4637" s="1"/>
    </row>
    <row r="4638" ht="15.75" customHeight="1">
      <c r="A4638" s="1"/>
      <c r="B4638" s="1"/>
      <c r="C4638" s="1"/>
      <c r="D4638" s="1"/>
      <c r="E4638" s="1"/>
      <c r="F4638" s="1"/>
      <c r="G4638" s="1"/>
      <c r="H4638" s="1"/>
      <c r="I4638" s="1"/>
      <c r="J4638" s="1"/>
    </row>
    <row r="4639" ht="15.75" customHeight="1">
      <c r="A4639" s="1"/>
      <c r="B4639" s="1"/>
      <c r="C4639" s="1"/>
      <c r="D4639" s="1"/>
      <c r="E4639" s="1"/>
      <c r="F4639" s="1"/>
      <c r="G4639" s="1"/>
      <c r="H4639" s="1"/>
      <c r="I4639" s="1"/>
      <c r="J4639" s="1"/>
    </row>
    <row r="4640" ht="15.75" customHeight="1">
      <c r="A4640" s="1"/>
      <c r="B4640" s="1"/>
      <c r="C4640" s="1"/>
      <c r="D4640" s="1"/>
      <c r="E4640" s="1"/>
      <c r="F4640" s="1"/>
      <c r="G4640" s="1"/>
      <c r="H4640" s="1"/>
      <c r="I4640" s="1"/>
      <c r="J4640" s="1"/>
    </row>
    <row r="4641" ht="15.75" customHeight="1">
      <c r="A4641" s="1"/>
      <c r="B4641" s="1"/>
      <c r="C4641" s="1"/>
      <c r="D4641" s="1"/>
      <c r="E4641" s="1"/>
      <c r="F4641" s="1"/>
      <c r="G4641" s="1"/>
      <c r="H4641" s="1"/>
      <c r="I4641" s="1"/>
      <c r="J4641" s="1"/>
    </row>
    <row r="4642" ht="15.75" customHeight="1">
      <c r="A4642" s="1"/>
      <c r="B4642" s="1"/>
      <c r="C4642" s="1"/>
      <c r="D4642" s="1"/>
      <c r="E4642" s="1"/>
      <c r="F4642" s="1"/>
      <c r="G4642" s="1"/>
      <c r="H4642" s="1"/>
      <c r="I4642" s="1"/>
      <c r="J4642" s="1"/>
    </row>
    <row r="4643" ht="15.75" customHeight="1">
      <c r="A4643" s="1"/>
      <c r="B4643" s="1"/>
      <c r="C4643" s="1"/>
      <c r="D4643" s="1"/>
      <c r="E4643" s="1"/>
      <c r="F4643" s="1"/>
      <c r="G4643" s="1"/>
      <c r="H4643" s="1"/>
      <c r="I4643" s="1"/>
      <c r="J4643" s="1"/>
    </row>
    <row r="4644" ht="15.75" customHeight="1">
      <c r="A4644" s="1"/>
      <c r="B4644" s="1"/>
      <c r="C4644" s="1"/>
      <c r="D4644" s="1"/>
      <c r="E4644" s="1"/>
      <c r="F4644" s="1"/>
      <c r="G4644" s="1"/>
      <c r="H4644" s="1"/>
      <c r="I4644" s="1"/>
      <c r="J4644" s="1"/>
    </row>
    <row r="4645" ht="15.75" customHeight="1">
      <c r="A4645" s="1"/>
      <c r="B4645" s="1"/>
      <c r="C4645" s="1"/>
      <c r="D4645" s="1"/>
      <c r="E4645" s="1"/>
      <c r="F4645" s="1"/>
      <c r="G4645" s="1"/>
      <c r="H4645" s="1"/>
      <c r="I4645" s="1"/>
      <c r="J4645" s="1"/>
    </row>
    <row r="4646" ht="15.75" customHeight="1">
      <c r="A4646" s="1"/>
      <c r="B4646" s="1"/>
      <c r="C4646" s="1"/>
      <c r="D4646" s="1"/>
      <c r="E4646" s="1"/>
      <c r="F4646" s="1"/>
      <c r="G4646" s="1"/>
      <c r="H4646" s="1"/>
      <c r="I4646" s="1"/>
      <c r="J4646" s="1"/>
    </row>
    <row r="4647" ht="15.75" customHeight="1">
      <c r="A4647" s="1"/>
      <c r="B4647" s="1"/>
      <c r="C4647" s="1"/>
      <c r="D4647" s="1"/>
      <c r="E4647" s="1"/>
      <c r="F4647" s="1"/>
      <c r="G4647" s="1"/>
      <c r="H4647" s="1"/>
      <c r="I4647" s="1"/>
      <c r="J4647" s="1"/>
    </row>
    <row r="4648" ht="15.75" customHeight="1">
      <c r="A4648" s="1"/>
      <c r="B4648" s="1"/>
      <c r="C4648" s="1"/>
      <c r="D4648" s="1"/>
      <c r="E4648" s="1"/>
      <c r="F4648" s="1"/>
      <c r="G4648" s="1"/>
      <c r="H4648" s="1"/>
      <c r="I4648" s="1"/>
      <c r="J4648" s="1"/>
    </row>
    <row r="4649" ht="15.75" customHeight="1">
      <c r="A4649" s="1"/>
      <c r="B4649" s="1"/>
      <c r="C4649" s="1"/>
      <c r="D4649" s="1"/>
      <c r="E4649" s="1"/>
      <c r="F4649" s="1"/>
      <c r="G4649" s="1"/>
      <c r="H4649" s="1"/>
      <c r="I4649" s="1"/>
      <c r="J4649" s="1"/>
    </row>
    <row r="4650" ht="15.75" customHeight="1">
      <c r="A4650" s="1"/>
      <c r="B4650" s="1"/>
      <c r="C4650" s="1"/>
      <c r="D4650" s="1"/>
      <c r="E4650" s="1"/>
      <c r="F4650" s="1"/>
      <c r="G4650" s="1"/>
      <c r="H4650" s="1"/>
      <c r="I4650" s="1"/>
      <c r="J4650" s="1"/>
    </row>
    <row r="4651" ht="15.75" customHeight="1">
      <c r="A4651" s="1"/>
      <c r="B4651" s="1"/>
      <c r="C4651" s="1"/>
      <c r="D4651" s="1"/>
      <c r="E4651" s="1"/>
      <c r="F4651" s="1"/>
      <c r="G4651" s="1"/>
      <c r="H4651" s="1"/>
      <c r="I4651" s="1"/>
      <c r="J4651" s="1"/>
    </row>
    <row r="4652" ht="15.75" customHeight="1">
      <c r="A4652" s="1"/>
      <c r="B4652" s="1"/>
      <c r="C4652" s="1"/>
      <c r="D4652" s="1"/>
      <c r="E4652" s="1"/>
      <c r="F4652" s="1"/>
      <c r="G4652" s="1"/>
      <c r="H4652" s="1"/>
      <c r="I4652" s="1"/>
      <c r="J4652" s="1"/>
    </row>
    <row r="4653" ht="15.75" customHeight="1">
      <c r="A4653" s="1"/>
      <c r="B4653" s="1"/>
      <c r="C4653" s="1"/>
      <c r="D4653" s="1"/>
      <c r="E4653" s="1"/>
      <c r="F4653" s="1"/>
      <c r="G4653" s="1"/>
      <c r="H4653" s="1"/>
      <c r="I4653" s="1"/>
      <c r="J4653" s="1"/>
    </row>
    <row r="4654" ht="15.75" customHeight="1">
      <c r="A4654" s="1"/>
      <c r="B4654" s="1"/>
      <c r="C4654" s="1"/>
      <c r="D4654" s="1"/>
      <c r="E4654" s="1"/>
      <c r="F4654" s="1"/>
      <c r="G4654" s="1"/>
      <c r="H4654" s="1"/>
      <c r="I4654" s="1"/>
      <c r="J4654" s="1"/>
    </row>
    <row r="4655" ht="15.75" customHeight="1">
      <c r="A4655" s="1"/>
      <c r="B4655" s="1"/>
      <c r="C4655" s="1"/>
      <c r="D4655" s="1"/>
      <c r="E4655" s="1"/>
      <c r="F4655" s="1"/>
      <c r="G4655" s="1"/>
      <c r="H4655" s="1"/>
      <c r="I4655" s="1"/>
      <c r="J4655" s="1"/>
    </row>
    <row r="4656" ht="15.75" customHeight="1">
      <c r="A4656" s="1"/>
      <c r="B4656" s="1"/>
      <c r="C4656" s="1"/>
      <c r="D4656" s="1"/>
      <c r="E4656" s="1"/>
      <c r="F4656" s="1"/>
      <c r="G4656" s="1"/>
      <c r="H4656" s="1"/>
      <c r="I4656" s="1"/>
      <c r="J4656" s="1"/>
    </row>
    <row r="4657" ht="15.75" customHeight="1">
      <c r="A4657" s="1"/>
      <c r="B4657" s="1"/>
      <c r="C4657" s="1"/>
      <c r="D4657" s="1"/>
      <c r="E4657" s="1"/>
      <c r="F4657" s="1"/>
      <c r="G4657" s="1"/>
      <c r="H4657" s="1"/>
      <c r="I4657" s="1"/>
      <c r="J4657" s="1"/>
    </row>
    <row r="4658" ht="15.75" customHeight="1">
      <c r="A4658" s="1"/>
      <c r="B4658" s="1"/>
      <c r="C4658" s="1"/>
      <c r="D4658" s="1"/>
      <c r="E4658" s="1"/>
      <c r="F4658" s="1"/>
      <c r="G4658" s="1"/>
      <c r="H4658" s="1"/>
      <c r="I4658" s="1"/>
      <c r="J4658" s="1"/>
    </row>
    <row r="4659" ht="15.75" customHeight="1">
      <c r="A4659" s="1"/>
      <c r="B4659" s="1"/>
      <c r="C4659" s="1"/>
      <c r="D4659" s="1"/>
      <c r="E4659" s="1"/>
      <c r="F4659" s="1"/>
      <c r="G4659" s="1"/>
      <c r="H4659" s="1"/>
      <c r="I4659" s="1"/>
      <c r="J4659" s="1"/>
    </row>
    <row r="4660" ht="15.75" customHeight="1">
      <c r="A4660" s="1"/>
      <c r="B4660" s="1"/>
      <c r="C4660" s="1"/>
      <c r="D4660" s="1"/>
      <c r="E4660" s="1"/>
      <c r="F4660" s="1"/>
      <c r="G4660" s="1"/>
      <c r="H4660" s="1"/>
      <c r="I4660" s="1"/>
      <c r="J4660" s="1"/>
    </row>
    <row r="4661" ht="15.75" customHeight="1">
      <c r="A4661" s="1"/>
      <c r="B4661" s="1"/>
      <c r="C4661" s="1"/>
      <c r="D4661" s="1"/>
      <c r="E4661" s="1"/>
      <c r="F4661" s="1"/>
      <c r="G4661" s="1"/>
      <c r="H4661" s="1"/>
      <c r="I4661" s="1"/>
      <c r="J4661" s="1"/>
    </row>
    <row r="4662" ht="15.75" customHeight="1">
      <c r="A4662" s="1"/>
      <c r="B4662" s="1"/>
      <c r="C4662" s="1"/>
      <c r="D4662" s="1"/>
      <c r="E4662" s="1"/>
      <c r="F4662" s="1"/>
      <c r="G4662" s="1"/>
      <c r="H4662" s="1"/>
      <c r="I4662" s="1"/>
      <c r="J4662" s="1"/>
    </row>
    <row r="4663" ht="15.75" customHeight="1">
      <c r="A4663" s="1"/>
      <c r="B4663" s="1"/>
      <c r="C4663" s="1"/>
      <c r="D4663" s="1"/>
      <c r="E4663" s="1"/>
      <c r="F4663" s="1"/>
      <c r="G4663" s="1"/>
      <c r="H4663" s="1"/>
      <c r="I4663" s="1"/>
      <c r="J4663" s="1"/>
    </row>
    <row r="4664" ht="15.75" customHeight="1">
      <c r="A4664" s="1"/>
      <c r="B4664" s="1"/>
      <c r="C4664" s="1"/>
      <c r="D4664" s="1"/>
      <c r="E4664" s="1"/>
      <c r="F4664" s="1"/>
      <c r="G4664" s="1"/>
      <c r="H4664" s="1"/>
      <c r="I4664" s="1"/>
      <c r="J4664" s="1"/>
    </row>
    <row r="4665" ht="15.75" customHeight="1">
      <c r="A4665" s="1"/>
      <c r="B4665" s="1"/>
      <c r="C4665" s="1"/>
      <c r="D4665" s="1"/>
      <c r="E4665" s="1"/>
      <c r="F4665" s="1"/>
      <c r="G4665" s="1"/>
      <c r="H4665" s="1"/>
      <c r="I4665" s="1"/>
      <c r="J4665" s="1"/>
    </row>
    <row r="4666" ht="15.75" customHeight="1">
      <c r="A4666" s="1"/>
      <c r="B4666" s="1"/>
      <c r="C4666" s="1"/>
      <c r="D4666" s="1"/>
      <c r="E4666" s="1"/>
      <c r="F4666" s="1"/>
      <c r="G4666" s="1"/>
      <c r="H4666" s="1"/>
      <c r="I4666" s="1"/>
      <c r="J4666" s="1"/>
    </row>
    <row r="4667" ht="15.75" customHeight="1">
      <c r="A4667" s="1"/>
      <c r="B4667" s="1"/>
      <c r="C4667" s="1"/>
      <c r="D4667" s="1"/>
      <c r="E4667" s="1"/>
      <c r="F4667" s="1"/>
      <c r="G4667" s="1"/>
      <c r="H4667" s="1"/>
      <c r="I4667" s="1"/>
      <c r="J4667" s="1"/>
    </row>
    <row r="4668" ht="15.75" customHeight="1">
      <c r="A4668" s="1"/>
      <c r="B4668" s="1"/>
      <c r="C4668" s="1"/>
      <c r="D4668" s="1"/>
      <c r="E4668" s="1"/>
      <c r="F4668" s="1"/>
      <c r="G4668" s="1"/>
      <c r="H4668" s="1"/>
      <c r="I4668" s="1"/>
      <c r="J4668" s="1"/>
    </row>
    <row r="4669" ht="15.75" customHeight="1">
      <c r="A4669" s="1"/>
      <c r="B4669" s="1"/>
      <c r="C4669" s="1"/>
      <c r="D4669" s="1"/>
      <c r="E4669" s="1"/>
      <c r="F4669" s="1"/>
      <c r="G4669" s="1"/>
      <c r="H4669" s="1"/>
      <c r="I4669" s="1"/>
      <c r="J4669" s="1"/>
    </row>
    <row r="4670" ht="15.75" customHeight="1">
      <c r="A4670" s="1"/>
      <c r="B4670" s="1"/>
      <c r="C4670" s="1"/>
      <c r="D4670" s="1"/>
      <c r="E4670" s="1"/>
      <c r="F4670" s="1"/>
      <c r="G4670" s="1"/>
      <c r="H4670" s="1"/>
      <c r="I4670" s="1"/>
      <c r="J4670" s="1"/>
    </row>
    <row r="4671" ht="15.75" customHeight="1">
      <c r="A4671" s="1"/>
      <c r="B4671" s="1"/>
      <c r="C4671" s="1"/>
      <c r="D4671" s="1"/>
      <c r="E4671" s="1"/>
      <c r="F4671" s="1"/>
      <c r="G4671" s="1"/>
      <c r="H4671" s="1"/>
      <c r="I4671" s="1"/>
      <c r="J4671" s="1"/>
    </row>
    <row r="4672" ht="15.75" customHeight="1">
      <c r="A4672" s="1"/>
      <c r="B4672" s="1"/>
      <c r="C4672" s="1"/>
      <c r="D4672" s="1"/>
      <c r="E4672" s="1"/>
      <c r="F4672" s="1"/>
      <c r="G4672" s="1"/>
      <c r="H4672" s="1"/>
      <c r="I4672" s="1"/>
      <c r="J4672" s="1"/>
    </row>
    <row r="4673" ht="15.75" customHeight="1">
      <c r="A4673" s="1"/>
      <c r="B4673" s="1"/>
      <c r="C4673" s="1"/>
      <c r="D4673" s="1"/>
      <c r="E4673" s="1"/>
      <c r="F4673" s="1"/>
      <c r="G4673" s="1"/>
      <c r="H4673" s="1"/>
      <c r="I4673" s="1"/>
      <c r="J4673" s="1"/>
    </row>
    <row r="4674" ht="15.75" customHeight="1">
      <c r="A4674" s="1"/>
      <c r="B4674" s="1"/>
      <c r="C4674" s="1"/>
      <c r="D4674" s="1"/>
      <c r="E4674" s="1"/>
      <c r="F4674" s="1"/>
      <c r="G4674" s="1"/>
      <c r="H4674" s="1"/>
      <c r="I4674" s="1"/>
      <c r="J4674" s="1"/>
    </row>
    <row r="4675" ht="15.75" customHeight="1">
      <c r="A4675" s="1"/>
      <c r="B4675" s="1"/>
      <c r="C4675" s="1"/>
      <c r="D4675" s="1"/>
      <c r="E4675" s="1"/>
      <c r="F4675" s="1"/>
      <c r="G4675" s="1"/>
      <c r="H4675" s="1"/>
      <c r="I4675" s="1"/>
      <c r="J4675" s="1"/>
    </row>
    <row r="4676" ht="15.75" customHeight="1">
      <c r="A4676" s="1"/>
      <c r="B4676" s="1"/>
      <c r="C4676" s="1"/>
      <c r="D4676" s="1"/>
      <c r="E4676" s="1"/>
      <c r="F4676" s="1"/>
      <c r="G4676" s="1"/>
      <c r="H4676" s="1"/>
      <c r="I4676" s="1"/>
      <c r="J4676" s="1"/>
    </row>
    <row r="4677" ht="15.75" customHeight="1">
      <c r="A4677" s="1"/>
      <c r="B4677" s="1"/>
      <c r="C4677" s="1"/>
      <c r="D4677" s="1"/>
      <c r="E4677" s="1"/>
      <c r="F4677" s="1"/>
      <c r="G4677" s="1"/>
      <c r="H4677" s="1"/>
      <c r="I4677" s="1"/>
      <c r="J4677" s="1"/>
    </row>
    <row r="4678" ht="15.75" customHeight="1">
      <c r="A4678" s="1"/>
      <c r="B4678" s="1"/>
      <c r="C4678" s="1"/>
      <c r="D4678" s="1"/>
      <c r="E4678" s="1"/>
      <c r="F4678" s="1"/>
      <c r="G4678" s="1"/>
      <c r="H4678" s="1"/>
      <c r="I4678" s="1"/>
      <c r="J4678" s="1"/>
    </row>
    <row r="4679" ht="15.75" customHeight="1">
      <c r="A4679" s="1"/>
      <c r="B4679" s="1"/>
      <c r="C4679" s="1"/>
      <c r="D4679" s="1"/>
      <c r="E4679" s="1"/>
      <c r="F4679" s="1"/>
      <c r="G4679" s="1"/>
      <c r="H4679" s="1"/>
      <c r="I4679" s="1"/>
      <c r="J4679" s="1"/>
    </row>
    <row r="4680" ht="15.75" customHeight="1">
      <c r="A4680" s="1"/>
      <c r="B4680" s="1"/>
      <c r="C4680" s="1"/>
      <c r="D4680" s="1"/>
      <c r="E4680" s="1"/>
      <c r="F4680" s="1"/>
      <c r="G4680" s="1"/>
      <c r="H4680" s="1"/>
      <c r="I4680" s="1"/>
      <c r="J4680" s="1"/>
    </row>
    <row r="4681" ht="15.75" customHeight="1">
      <c r="A4681" s="1"/>
      <c r="B4681" s="1"/>
      <c r="C4681" s="1"/>
      <c r="D4681" s="1"/>
      <c r="E4681" s="1"/>
      <c r="F4681" s="1"/>
      <c r="G4681" s="1"/>
      <c r="H4681" s="1"/>
      <c r="I4681" s="1"/>
      <c r="J4681" s="1"/>
    </row>
    <row r="4682" ht="15.75" customHeight="1">
      <c r="A4682" s="1"/>
      <c r="B4682" s="1"/>
      <c r="C4682" s="1"/>
      <c r="D4682" s="1"/>
      <c r="E4682" s="1"/>
      <c r="F4682" s="1"/>
      <c r="G4682" s="1"/>
      <c r="H4682" s="1"/>
      <c r="I4682" s="1"/>
      <c r="J4682" s="1"/>
    </row>
    <row r="4683" ht="15.75" customHeight="1">
      <c r="A4683" s="1"/>
      <c r="B4683" s="1"/>
      <c r="C4683" s="1"/>
      <c r="D4683" s="1"/>
      <c r="E4683" s="1"/>
      <c r="F4683" s="1"/>
      <c r="G4683" s="1"/>
      <c r="H4683" s="1"/>
      <c r="I4683" s="1"/>
      <c r="J4683" s="1"/>
    </row>
    <row r="4684" ht="15.75" customHeight="1">
      <c r="A4684" s="1"/>
      <c r="B4684" s="1"/>
      <c r="C4684" s="1"/>
      <c r="D4684" s="1"/>
      <c r="E4684" s="1"/>
      <c r="F4684" s="1"/>
      <c r="G4684" s="1"/>
      <c r="H4684" s="1"/>
      <c r="I4684" s="1"/>
      <c r="J4684" s="1"/>
    </row>
    <row r="4685" ht="15.75" customHeight="1">
      <c r="A4685" s="1"/>
      <c r="B4685" s="1"/>
      <c r="C4685" s="1"/>
      <c r="D4685" s="1"/>
      <c r="E4685" s="1"/>
      <c r="F4685" s="1"/>
      <c r="G4685" s="1"/>
      <c r="H4685" s="1"/>
      <c r="I4685" s="1"/>
      <c r="J4685" s="1"/>
    </row>
    <row r="4686" ht="15.75" customHeight="1">
      <c r="A4686" s="1"/>
      <c r="B4686" s="1"/>
      <c r="C4686" s="1"/>
      <c r="D4686" s="1"/>
      <c r="E4686" s="1"/>
      <c r="F4686" s="1"/>
      <c r="G4686" s="1"/>
      <c r="H4686" s="1"/>
      <c r="I4686" s="1"/>
      <c r="J4686" s="1"/>
    </row>
    <row r="4687" ht="15.75" customHeight="1">
      <c r="A4687" s="1"/>
      <c r="B4687" s="1"/>
      <c r="C4687" s="1"/>
      <c r="D4687" s="1"/>
      <c r="E4687" s="1"/>
      <c r="F4687" s="1"/>
      <c r="G4687" s="1"/>
      <c r="H4687" s="1"/>
      <c r="I4687" s="1"/>
      <c r="J4687" s="1"/>
    </row>
    <row r="4688" ht="15.75" customHeight="1">
      <c r="A4688" s="1"/>
      <c r="B4688" s="1"/>
      <c r="C4688" s="1"/>
      <c r="D4688" s="1"/>
      <c r="E4688" s="1"/>
      <c r="F4688" s="1"/>
      <c r="G4688" s="1"/>
      <c r="H4688" s="1"/>
      <c r="I4688" s="1"/>
      <c r="J4688" s="1"/>
    </row>
    <row r="4689" ht="15.75" customHeight="1">
      <c r="A4689" s="1"/>
      <c r="B4689" s="1"/>
      <c r="C4689" s="1"/>
      <c r="D4689" s="1"/>
      <c r="E4689" s="1"/>
      <c r="F4689" s="1"/>
      <c r="G4689" s="1"/>
      <c r="H4689" s="1"/>
      <c r="I4689" s="1"/>
      <c r="J4689" s="1"/>
    </row>
    <row r="4690" ht="15.75" customHeight="1">
      <c r="A4690" s="1"/>
      <c r="B4690" s="1"/>
      <c r="C4690" s="1"/>
      <c r="D4690" s="1"/>
      <c r="E4690" s="1"/>
      <c r="F4690" s="1"/>
      <c r="G4690" s="1"/>
      <c r="H4690" s="1"/>
      <c r="I4690" s="1"/>
      <c r="J4690" s="1"/>
    </row>
    <row r="4691" ht="15.75" customHeight="1">
      <c r="A4691" s="1"/>
      <c r="B4691" s="1"/>
      <c r="C4691" s="1"/>
      <c r="D4691" s="1"/>
      <c r="E4691" s="1"/>
      <c r="F4691" s="1"/>
      <c r="G4691" s="1"/>
      <c r="H4691" s="1"/>
      <c r="I4691" s="1"/>
      <c r="J4691" s="1"/>
    </row>
    <row r="4692" ht="15.75" customHeight="1">
      <c r="A4692" s="1"/>
      <c r="B4692" s="1"/>
      <c r="C4692" s="1"/>
      <c r="D4692" s="1"/>
      <c r="E4692" s="1"/>
      <c r="F4692" s="1"/>
      <c r="G4692" s="1"/>
      <c r="H4692" s="1"/>
      <c r="I4692" s="1"/>
      <c r="J4692" s="1"/>
    </row>
    <row r="4693" ht="15.75" customHeight="1">
      <c r="A4693" s="1"/>
      <c r="B4693" s="1"/>
      <c r="C4693" s="1"/>
      <c r="D4693" s="1"/>
      <c r="E4693" s="1"/>
      <c r="F4693" s="1"/>
      <c r="G4693" s="1"/>
      <c r="H4693" s="1"/>
      <c r="I4693" s="1"/>
      <c r="J4693" s="1"/>
    </row>
    <row r="4694" ht="15.75" customHeight="1">
      <c r="A4694" s="1"/>
      <c r="B4694" s="1"/>
      <c r="C4694" s="1"/>
      <c r="D4694" s="1"/>
      <c r="E4694" s="1"/>
      <c r="F4694" s="1"/>
      <c r="G4694" s="1"/>
      <c r="H4694" s="1"/>
      <c r="I4694" s="1"/>
      <c r="J4694" s="1"/>
    </row>
    <row r="4695" ht="15.75" customHeight="1">
      <c r="A4695" s="1"/>
      <c r="B4695" s="1"/>
      <c r="C4695" s="1"/>
      <c r="D4695" s="1"/>
      <c r="E4695" s="1"/>
      <c r="F4695" s="1"/>
      <c r="G4695" s="1"/>
      <c r="H4695" s="1"/>
      <c r="I4695" s="1"/>
      <c r="J4695" s="1"/>
    </row>
    <row r="4696" ht="15.75" customHeight="1">
      <c r="A4696" s="1"/>
      <c r="B4696" s="1"/>
      <c r="C4696" s="1"/>
      <c r="D4696" s="1"/>
      <c r="E4696" s="1"/>
      <c r="F4696" s="1"/>
      <c r="G4696" s="1"/>
      <c r="H4696" s="1"/>
      <c r="I4696" s="1"/>
      <c r="J4696" s="1"/>
    </row>
    <row r="4697" ht="15.75" customHeight="1">
      <c r="A4697" s="1"/>
      <c r="B4697" s="1"/>
      <c r="C4697" s="1"/>
      <c r="D4697" s="1"/>
      <c r="E4697" s="1"/>
      <c r="F4697" s="1"/>
      <c r="G4697" s="1"/>
      <c r="H4697" s="1"/>
      <c r="I4697" s="1"/>
      <c r="J4697" s="1"/>
    </row>
    <row r="4698" ht="15.75" customHeight="1">
      <c r="A4698" s="1"/>
      <c r="B4698" s="1"/>
      <c r="C4698" s="1"/>
      <c r="D4698" s="1"/>
      <c r="E4698" s="1"/>
      <c r="F4698" s="1"/>
      <c r="G4698" s="1"/>
      <c r="H4698" s="1"/>
      <c r="I4698" s="1"/>
      <c r="J4698" s="1"/>
    </row>
    <row r="4699" ht="15.75" customHeight="1">
      <c r="A4699" s="1"/>
      <c r="B4699" s="1"/>
      <c r="C4699" s="1"/>
      <c r="D4699" s="1"/>
      <c r="E4699" s="1"/>
      <c r="F4699" s="1"/>
      <c r="G4699" s="1"/>
      <c r="H4699" s="1"/>
      <c r="I4699" s="1"/>
      <c r="J4699" s="1"/>
    </row>
    <row r="4700" ht="15.75" customHeight="1">
      <c r="A4700" s="1"/>
      <c r="B4700" s="1"/>
      <c r="C4700" s="1"/>
      <c r="D4700" s="1"/>
      <c r="E4700" s="1"/>
      <c r="F4700" s="1"/>
      <c r="G4700" s="1"/>
      <c r="H4700" s="1"/>
      <c r="I4700" s="1"/>
      <c r="J4700" s="1"/>
    </row>
    <row r="4701" ht="15.75" customHeight="1">
      <c r="A4701" s="1"/>
      <c r="B4701" s="1"/>
      <c r="C4701" s="1"/>
      <c r="D4701" s="1"/>
      <c r="E4701" s="1"/>
      <c r="F4701" s="1"/>
      <c r="G4701" s="1"/>
      <c r="H4701" s="1"/>
      <c r="I4701" s="1"/>
      <c r="J4701" s="1"/>
    </row>
    <row r="4702" ht="15.75" customHeight="1">
      <c r="A4702" s="1"/>
      <c r="B4702" s="1"/>
      <c r="C4702" s="1"/>
      <c r="D4702" s="1"/>
      <c r="E4702" s="1"/>
      <c r="F4702" s="1"/>
      <c r="G4702" s="1"/>
      <c r="H4702" s="1"/>
      <c r="I4702" s="1"/>
      <c r="J4702" s="1"/>
    </row>
    <row r="4703" ht="15.75" customHeight="1">
      <c r="A4703" s="1"/>
      <c r="B4703" s="1"/>
      <c r="C4703" s="1"/>
      <c r="D4703" s="1"/>
      <c r="E4703" s="1"/>
      <c r="F4703" s="1"/>
      <c r="G4703" s="1"/>
      <c r="H4703" s="1"/>
      <c r="I4703" s="1"/>
      <c r="J4703" s="1"/>
    </row>
    <row r="4704" ht="15.75" customHeight="1">
      <c r="A4704" s="1"/>
      <c r="B4704" s="1"/>
      <c r="C4704" s="1"/>
      <c r="D4704" s="1"/>
      <c r="E4704" s="1"/>
      <c r="F4704" s="1"/>
      <c r="G4704" s="1"/>
      <c r="H4704" s="1"/>
      <c r="I4704" s="1"/>
      <c r="J4704" s="1"/>
    </row>
    <row r="4705" ht="15.75" customHeight="1">
      <c r="A4705" s="1"/>
      <c r="B4705" s="1"/>
      <c r="C4705" s="1"/>
      <c r="D4705" s="1"/>
      <c r="E4705" s="1"/>
      <c r="F4705" s="1"/>
      <c r="G4705" s="1"/>
      <c r="H4705" s="1"/>
      <c r="I4705" s="1"/>
      <c r="J4705" s="1"/>
    </row>
    <row r="4706" ht="15.75" customHeight="1">
      <c r="A4706" s="1"/>
      <c r="B4706" s="1"/>
      <c r="C4706" s="1"/>
      <c r="D4706" s="1"/>
      <c r="E4706" s="1"/>
      <c r="F4706" s="1"/>
      <c r="G4706" s="1"/>
      <c r="H4706" s="1"/>
      <c r="I4706" s="1"/>
      <c r="J4706" s="1"/>
    </row>
    <row r="4707" ht="15.75" customHeight="1">
      <c r="A4707" s="1"/>
      <c r="B4707" s="1"/>
      <c r="C4707" s="1"/>
      <c r="D4707" s="1"/>
      <c r="E4707" s="1"/>
      <c r="F4707" s="1"/>
      <c r="G4707" s="1"/>
      <c r="H4707" s="1"/>
      <c r="I4707" s="1"/>
      <c r="J4707" s="1"/>
    </row>
    <row r="4708" ht="15.75" customHeight="1">
      <c r="A4708" s="1"/>
      <c r="B4708" s="1"/>
      <c r="C4708" s="1"/>
      <c r="D4708" s="1"/>
      <c r="E4708" s="1"/>
      <c r="F4708" s="1"/>
      <c r="G4708" s="1"/>
      <c r="H4708" s="1"/>
      <c r="I4708" s="1"/>
      <c r="J4708" s="1"/>
    </row>
    <row r="4709" ht="15.75" customHeight="1">
      <c r="A4709" s="1"/>
      <c r="B4709" s="1"/>
      <c r="C4709" s="1"/>
      <c r="D4709" s="1"/>
      <c r="E4709" s="1"/>
      <c r="F4709" s="1"/>
      <c r="G4709" s="1"/>
      <c r="H4709" s="1"/>
      <c r="I4709" s="1"/>
      <c r="J4709" s="1"/>
    </row>
    <row r="4710" ht="15.75" customHeight="1">
      <c r="A4710" s="1"/>
      <c r="B4710" s="1"/>
      <c r="C4710" s="1"/>
      <c r="D4710" s="1"/>
      <c r="E4710" s="1"/>
      <c r="F4710" s="1"/>
      <c r="G4710" s="1"/>
      <c r="H4710" s="1"/>
      <c r="I4710" s="1"/>
      <c r="J4710" s="1"/>
    </row>
    <row r="4711" ht="15.75" customHeight="1">
      <c r="A4711" s="1"/>
      <c r="B4711" s="1"/>
      <c r="C4711" s="1"/>
      <c r="D4711" s="1"/>
      <c r="E4711" s="1"/>
      <c r="F4711" s="1"/>
      <c r="G4711" s="1"/>
      <c r="H4711" s="1"/>
      <c r="I4711" s="1"/>
      <c r="J4711" s="1"/>
    </row>
    <row r="4712" ht="15.75" customHeight="1">
      <c r="A4712" s="1"/>
      <c r="B4712" s="1"/>
      <c r="C4712" s="1"/>
      <c r="D4712" s="1"/>
      <c r="E4712" s="1"/>
      <c r="F4712" s="1"/>
      <c r="G4712" s="1"/>
      <c r="H4712" s="1"/>
      <c r="I4712" s="1"/>
      <c r="J4712" s="1"/>
    </row>
    <row r="4713" ht="15.75" customHeight="1">
      <c r="A4713" s="1"/>
      <c r="B4713" s="1"/>
      <c r="C4713" s="1"/>
      <c r="D4713" s="1"/>
      <c r="E4713" s="1"/>
      <c r="F4713" s="1"/>
      <c r="G4713" s="1"/>
      <c r="H4713" s="1"/>
      <c r="I4713" s="1"/>
      <c r="J4713" s="1"/>
    </row>
    <row r="4714" ht="15.75" customHeight="1">
      <c r="A4714" s="1"/>
      <c r="B4714" s="1"/>
      <c r="C4714" s="1"/>
      <c r="D4714" s="1"/>
      <c r="E4714" s="1"/>
      <c r="F4714" s="1"/>
      <c r="G4714" s="1"/>
      <c r="H4714" s="1"/>
      <c r="I4714" s="1"/>
      <c r="J4714" s="1"/>
    </row>
    <row r="4715" ht="15.75" customHeight="1">
      <c r="A4715" s="1"/>
      <c r="B4715" s="1"/>
      <c r="C4715" s="1"/>
      <c r="D4715" s="1"/>
      <c r="E4715" s="1"/>
      <c r="F4715" s="1"/>
      <c r="G4715" s="1"/>
      <c r="H4715" s="1"/>
      <c r="I4715" s="1"/>
      <c r="J4715" s="1"/>
    </row>
    <row r="4716" ht="15.75" customHeight="1">
      <c r="A4716" s="1"/>
      <c r="B4716" s="1"/>
      <c r="C4716" s="1"/>
      <c r="D4716" s="1"/>
      <c r="E4716" s="1"/>
      <c r="F4716" s="1"/>
      <c r="G4716" s="1"/>
      <c r="H4716" s="1"/>
      <c r="I4716" s="1"/>
      <c r="J4716" s="1"/>
    </row>
    <row r="4717" ht="15.75" customHeight="1">
      <c r="A4717" s="1"/>
      <c r="B4717" s="1"/>
      <c r="C4717" s="1"/>
      <c r="D4717" s="1"/>
      <c r="E4717" s="1"/>
      <c r="F4717" s="1"/>
      <c r="G4717" s="1"/>
      <c r="H4717" s="1"/>
      <c r="I4717" s="1"/>
      <c r="J4717" s="1"/>
    </row>
    <row r="4718" ht="15.75" customHeight="1">
      <c r="A4718" s="1"/>
      <c r="B4718" s="1"/>
      <c r="C4718" s="1"/>
      <c r="D4718" s="1"/>
      <c r="E4718" s="1"/>
      <c r="F4718" s="1"/>
      <c r="G4718" s="1"/>
      <c r="H4718" s="1"/>
      <c r="I4718" s="1"/>
      <c r="J4718" s="1"/>
    </row>
    <row r="4719" ht="15.75" customHeight="1">
      <c r="A4719" s="1"/>
      <c r="B4719" s="1"/>
      <c r="C4719" s="1"/>
      <c r="D4719" s="1"/>
      <c r="E4719" s="1"/>
      <c r="F4719" s="1"/>
      <c r="G4719" s="1"/>
      <c r="H4719" s="1"/>
      <c r="I4719" s="1"/>
      <c r="J4719" s="1"/>
    </row>
    <row r="4720" ht="15.75" customHeight="1">
      <c r="A4720" s="1"/>
      <c r="B4720" s="1"/>
      <c r="C4720" s="1"/>
      <c r="D4720" s="1"/>
      <c r="E4720" s="1"/>
      <c r="F4720" s="1"/>
      <c r="G4720" s="1"/>
      <c r="H4720" s="1"/>
      <c r="I4720" s="1"/>
      <c r="J4720" s="1"/>
    </row>
    <row r="4721" ht="15.75" customHeight="1">
      <c r="A4721" s="1"/>
      <c r="B4721" s="1"/>
      <c r="C4721" s="1"/>
      <c r="D4721" s="1"/>
      <c r="E4721" s="1"/>
      <c r="F4721" s="1"/>
      <c r="G4721" s="1"/>
      <c r="H4721" s="1"/>
      <c r="I4721" s="1"/>
      <c r="J4721" s="1"/>
    </row>
    <row r="4722" ht="15.75" customHeight="1">
      <c r="A4722" s="1"/>
      <c r="B4722" s="1"/>
      <c r="C4722" s="1"/>
      <c r="D4722" s="1"/>
      <c r="E4722" s="1"/>
      <c r="F4722" s="1"/>
      <c r="G4722" s="1"/>
      <c r="H4722" s="1"/>
      <c r="I4722" s="1"/>
      <c r="J4722" s="1"/>
    </row>
    <row r="4723" ht="15.75" customHeight="1">
      <c r="A4723" s="1"/>
      <c r="B4723" s="1"/>
      <c r="C4723" s="1"/>
      <c r="D4723" s="1"/>
      <c r="E4723" s="1"/>
      <c r="F4723" s="1"/>
      <c r="G4723" s="1"/>
      <c r="H4723" s="1"/>
      <c r="I4723" s="1"/>
      <c r="J4723" s="1"/>
    </row>
    <row r="4724" ht="15.75" customHeight="1">
      <c r="A4724" s="1"/>
      <c r="B4724" s="1"/>
      <c r="C4724" s="1"/>
      <c r="D4724" s="1"/>
      <c r="E4724" s="1"/>
      <c r="F4724" s="1"/>
      <c r="G4724" s="1"/>
      <c r="H4724" s="1"/>
      <c r="I4724" s="1"/>
      <c r="J4724" s="1"/>
    </row>
    <row r="4725" ht="15.75" customHeight="1">
      <c r="A4725" s="1"/>
      <c r="B4725" s="1"/>
      <c r="C4725" s="1"/>
      <c r="D4725" s="1"/>
      <c r="E4725" s="1"/>
      <c r="F4725" s="1"/>
      <c r="G4725" s="1"/>
      <c r="H4725" s="1"/>
      <c r="I4725" s="1"/>
      <c r="J4725" s="1"/>
    </row>
    <row r="4726" ht="15.75" customHeight="1">
      <c r="A4726" s="1"/>
      <c r="B4726" s="1"/>
      <c r="C4726" s="1"/>
      <c r="D4726" s="1"/>
      <c r="E4726" s="1"/>
      <c r="F4726" s="1"/>
      <c r="G4726" s="1"/>
      <c r="H4726" s="1"/>
      <c r="I4726" s="1"/>
      <c r="J4726" s="1"/>
    </row>
    <row r="4727" ht="15.75" customHeight="1">
      <c r="A4727" s="1"/>
      <c r="B4727" s="1"/>
      <c r="C4727" s="1"/>
      <c r="D4727" s="1"/>
      <c r="E4727" s="1"/>
      <c r="F4727" s="1"/>
      <c r="G4727" s="1"/>
      <c r="H4727" s="1"/>
      <c r="I4727" s="1"/>
      <c r="J4727" s="1"/>
    </row>
    <row r="4728" ht="15.75" customHeight="1">
      <c r="A4728" s="1"/>
      <c r="B4728" s="1"/>
      <c r="C4728" s="1"/>
      <c r="D4728" s="1"/>
      <c r="E4728" s="1"/>
      <c r="F4728" s="1"/>
      <c r="G4728" s="1"/>
      <c r="H4728" s="1"/>
      <c r="I4728" s="1"/>
      <c r="J4728" s="1"/>
    </row>
    <row r="4729" ht="15.75" customHeight="1">
      <c r="A4729" s="1"/>
      <c r="B4729" s="1"/>
      <c r="C4729" s="1"/>
      <c r="D4729" s="1"/>
      <c r="E4729" s="1"/>
      <c r="F4729" s="1"/>
      <c r="G4729" s="1"/>
      <c r="H4729" s="1"/>
      <c r="I4729" s="1"/>
      <c r="J4729" s="1"/>
    </row>
    <row r="4730" ht="15.75" customHeight="1">
      <c r="A4730" s="1"/>
      <c r="B4730" s="1"/>
      <c r="C4730" s="1"/>
      <c r="D4730" s="1"/>
      <c r="E4730" s="1"/>
      <c r="F4730" s="1"/>
      <c r="G4730" s="1"/>
      <c r="H4730" s="1"/>
      <c r="I4730" s="1"/>
      <c r="J4730" s="1"/>
    </row>
    <row r="4731" ht="15.75" customHeight="1">
      <c r="A4731" s="1"/>
      <c r="B4731" s="1"/>
      <c r="C4731" s="1"/>
      <c r="D4731" s="1"/>
      <c r="E4731" s="1"/>
      <c r="F4731" s="1"/>
      <c r="G4731" s="1"/>
      <c r="H4731" s="1"/>
      <c r="I4731" s="1"/>
      <c r="J4731" s="1"/>
    </row>
    <row r="4732" ht="15.75" customHeight="1">
      <c r="A4732" s="1"/>
      <c r="B4732" s="1"/>
      <c r="C4732" s="1"/>
      <c r="D4732" s="1"/>
      <c r="E4732" s="1"/>
      <c r="F4732" s="1"/>
      <c r="G4732" s="1"/>
      <c r="H4732" s="1"/>
      <c r="I4732" s="1"/>
      <c r="J4732" s="1"/>
    </row>
    <row r="4733" ht="15.75" customHeight="1">
      <c r="A4733" s="1"/>
      <c r="B4733" s="1"/>
      <c r="C4733" s="1"/>
      <c r="D4733" s="1"/>
      <c r="E4733" s="1"/>
      <c r="F4733" s="1"/>
      <c r="G4733" s="1"/>
      <c r="H4733" s="1"/>
      <c r="I4733" s="1"/>
      <c r="J4733" s="1"/>
    </row>
    <row r="4734" ht="15.75" customHeight="1">
      <c r="A4734" s="1"/>
      <c r="B4734" s="1"/>
      <c r="C4734" s="1"/>
      <c r="D4734" s="1"/>
      <c r="E4734" s="1"/>
      <c r="F4734" s="1"/>
      <c r="G4734" s="1"/>
      <c r="H4734" s="1"/>
      <c r="I4734" s="1"/>
      <c r="J4734" s="1"/>
    </row>
    <row r="4735" ht="15.75" customHeight="1">
      <c r="A4735" s="1"/>
      <c r="B4735" s="1"/>
      <c r="C4735" s="1"/>
      <c r="D4735" s="1"/>
      <c r="E4735" s="1"/>
      <c r="F4735" s="1"/>
      <c r="G4735" s="1"/>
      <c r="H4735" s="1"/>
      <c r="I4735" s="1"/>
      <c r="J4735" s="1"/>
    </row>
    <row r="4736" ht="15.75" customHeight="1">
      <c r="A4736" s="1"/>
      <c r="B4736" s="1"/>
      <c r="C4736" s="1"/>
      <c r="D4736" s="1"/>
      <c r="E4736" s="1"/>
      <c r="F4736" s="1"/>
      <c r="G4736" s="1"/>
      <c r="H4736" s="1"/>
      <c r="I4736" s="1"/>
      <c r="J4736" s="1"/>
    </row>
    <row r="4737" ht="15.75" customHeight="1">
      <c r="A4737" s="1"/>
      <c r="B4737" s="1"/>
      <c r="C4737" s="1"/>
      <c r="D4737" s="1"/>
      <c r="E4737" s="1"/>
      <c r="F4737" s="1"/>
      <c r="G4737" s="1"/>
      <c r="H4737" s="1"/>
      <c r="I4737" s="1"/>
      <c r="J4737" s="1"/>
    </row>
    <row r="4738" ht="15.75" customHeight="1">
      <c r="A4738" s="1"/>
      <c r="B4738" s="1"/>
      <c r="C4738" s="1"/>
      <c r="D4738" s="1"/>
      <c r="E4738" s="1"/>
      <c r="F4738" s="1"/>
      <c r="G4738" s="1"/>
      <c r="H4738" s="1"/>
      <c r="I4738" s="1"/>
      <c r="J4738" s="1"/>
    </row>
    <row r="4739" ht="15.75" customHeight="1">
      <c r="A4739" s="1"/>
      <c r="B4739" s="1"/>
      <c r="C4739" s="1"/>
      <c r="D4739" s="1"/>
      <c r="E4739" s="1"/>
      <c r="F4739" s="1"/>
      <c r="G4739" s="1"/>
      <c r="H4739" s="1"/>
      <c r="I4739" s="1"/>
      <c r="J4739" s="1"/>
    </row>
    <row r="4740" ht="15.75" customHeight="1">
      <c r="A4740" s="1"/>
      <c r="B4740" s="1"/>
      <c r="C4740" s="1"/>
      <c r="D4740" s="1"/>
      <c r="E4740" s="1"/>
      <c r="F4740" s="1"/>
      <c r="G4740" s="1"/>
      <c r="H4740" s="1"/>
      <c r="I4740" s="1"/>
      <c r="J4740" s="1"/>
    </row>
    <row r="4741" ht="15.75" customHeight="1">
      <c r="A4741" s="1"/>
      <c r="B4741" s="1"/>
      <c r="C4741" s="1"/>
      <c r="D4741" s="1"/>
      <c r="E4741" s="1"/>
      <c r="F4741" s="1"/>
      <c r="G4741" s="1"/>
      <c r="H4741" s="1"/>
      <c r="I4741" s="1"/>
      <c r="J4741" s="1"/>
    </row>
    <row r="4742" ht="15.75" customHeight="1">
      <c r="A4742" s="1"/>
      <c r="B4742" s="1"/>
      <c r="C4742" s="1"/>
      <c r="D4742" s="1"/>
      <c r="E4742" s="1"/>
      <c r="F4742" s="1"/>
      <c r="G4742" s="1"/>
      <c r="H4742" s="1"/>
      <c r="I4742" s="1"/>
      <c r="J4742" s="1"/>
    </row>
    <row r="4743" ht="15.75" customHeight="1">
      <c r="A4743" s="1"/>
      <c r="B4743" s="1"/>
      <c r="C4743" s="1"/>
      <c r="D4743" s="1"/>
      <c r="E4743" s="1"/>
      <c r="F4743" s="1"/>
      <c r="G4743" s="1"/>
      <c r="H4743" s="1"/>
      <c r="I4743" s="1"/>
      <c r="J4743" s="1"/>
    </row>
    <row r="4744" ht="15.75" customHeight="1">
      <c r="A4744" s="1"/>
      <c r="B4744" s="1"/>
      <c r="C4744" s="1"/>
      <c r="D4744" s="1"/>
      <c r="E4744" s="1"/>
      <c r="F4744" s="1"/>
      <c r="G4744" s="1"/>
      <c r="H4744" s="1"/>
      <c r="I4744" s="1"/>
      <c r="J4744" s="1"/>
    </row>
    <row r="4745" ht="15.75" customHeight="1">
      <c r="A4745" s="1"/>
      <c r="B4745" s="1"/>
      <c r="C4745" s="1"/>
      <c r="D4745" s="1"/>
      <c r="E4745" s="1"/>
      <c r="F4745" s="1"/>
      <c r="G4745" s="1"/>
      <c r="H4745" s="1"/>
      <c r="I4745" s="1"/>
      <c r="J4745" s="1"/>
    </row>
    <row r="4746" ht="15.75" customHeight="1">
      <c r="A4746" s="1"/>
      <c r="B4746" s="1"/>
      <c r="C4746" s="1"/>
      <c r="D4746" s="1"/>
      <c r="E4746" s="1"/>
      <c r="F4746" s="1"/>
      <c r="G4746" s="1"/>
      <c r="H4746" s="1"/>
      <c r="I4746" s="1"/>
      <c r="J4746" s="1"/>
    </row>
    <row r="4747" ht="15.75" customHeight="1">
      <c r="A4747" s="1"/>
      <c r="B4747" s="1"/>
      <c r="C4747" s="1"/>
      <c r="D4747" s="1"/>
      <c r="E4747" s="1"/>
      <c r="F4747" s="1"/>
      <c r="G4747" s="1"/>
      <c r="H4747" s="1"/>
      <c r="I4747" s="1"/>
      <c r="J4747" s="1"/>
    </row>
    <row r="4748" ht="15.75" customHeight="1">
      <c r="A4748" s="1"/>
      <c r="B4748" s="1"/>
      <c r="C4748" s="1"/>
      <c r="D4748" s="1"/>
      <c r="E4748" s="1"/>
      <c r="F4748" s="1"/>
      <c r="G4748" s="1"/>
      <c r="H4748" s="1"/>
      <c r="I4748" s="1"/>
      <c r="J4748" s="1"/>
    </row>
    <row r="4749" ht="15.75" customHeight="1">
      <c r="A4749" s="1"/>
      <c r="B4749" s="1"/>
      <c r="C4749" s="1"/>
      <c r="D4749" s="1"/>
      <c r="E4749" s="1"/>
      <c r="F4749" s="1"/>
      <c r="G4749" s="1"/>
      <c r="H4749" s="1"/>
      <c r="I4749" s="1"/>
      <c r="J4749" s="1"/>
    </row>
    <row r="4750" ht="15.75" customHeight="1">
      <c r="A4750" s="1"/>
      <c r="B4750" s="1"/>
      <c r="C4750" s="1"/>
      <c r="D4750" s="1"/>
      <c r="E4750" s="1"/>
      <c r="F4750" s="1"/>
      <c r="G4750" s="1"/>
      <c r="H4750" s="1"/>
      <c r="I4750" s="1"/>
      <c r="J4750" s="1"/>
    </row>
    <row r="4751" ht="15.75" customHeight="1">
      <c r="A4751" s="1"/>
      <c r="B4751" s="1"/>
      <c r="C4751" s="1"/>
      <c r="D4751" s="1"/>
      <c r="E4751" s="1"/>
      <c r="F4751" s="1"/>
      <c r="G4751" s="1"/>
      <c r="H4751" s="1"/>
      <c r="I4751" s="1"/>
      <c r="J4751" s="1"/>
    </row>
    <row r="4752" ht="15.75" customHeight="1">
      <c r="A4752" s="1"/>
      <c r="B4752" s="1"/>
      <c r="C4752" s="1"/>
      <c r="D4752" s="1"/>
      <c r="E4752" s="1"/>
      <c r="F4752" s="1"/>
      <c r="G4752" s="1"/>
      <c r="H4752" s="1"/>
      <c r="I4752" s="1"/>
      <c r="J4752" s="1"/>
    </row>
    <row r="4753" ht="15.75" customHeight="1">
      <c r="A4753" s="1"/>
      <c r="B4753" s="1"/>
      <c r="C4753" s="1"/>
      <c r="D4753" s="1"/>
      <c r="E4753" s="1"/>
      <c r="F4753" s="1"/>
      <c r="G4753" s="1"/>
      <c r="H4753" s="1"/>
      <c r="I4753" s="1"/>
      <c r="J4753" s="1"/>
    </row>
    <row r="4754" ht="15.75" customHeight="1">
      <c r="A4754" s="1"/>
      <c r="B4754" s="1"/>
      <c r="C4754" s="1"/>
      <c r="D4754" s="1"/>
      <c r="E4754" s="1"/>
      <c r="F4754" s="1"/>
      <c r="G4754" s="1"/>
      <c r="H4754" s="1"/>
      <c r="I4754" s="1"/>
      <c r="J4754" s="1"/>
    </row>
    <row r="4755" ht="15.75" customHeight="1">
      <c r="A4755" s="1"/>
      <c r="B4755" s="1"/>
      <c r="C4755" s="1"/>
      <c r="D4755" s="1"/>
      <c r="E4755" s="1"/>
      <c r="F4755" s="1"/>
      <c r="G4755" s="1"/>
      <c r="H4755" s="1"/>
      <c r="I4755" s="1"/>
      <c r="J4755" s="1"/>
    </row>
    <row r="4756" ht="15.75" customHeight="1">
      <c r="A4756" s="1"/>
      <c r="B4756" s="1"/>
      <c r="C4756" s="1"/>
      <c r="D4756" s="1"/>
      <c r="E4756" s="1"/>
      <c r="F4756" s="1"/>
      <c r="G4756" s="1"/>
      <c r="H4756" s="1"/>
      <c r="I4756" s="1"/>
      <c r="J4756" s="1"/>
    </row>
    <row r="4757" ht="15.75" customHeight="1">
      <c r="A4757" s="1"/>
      <c r="B4757" s="1"/>
      <c r="C4757" s="1"/>
      <c r="D4757" s="1"/>
      <c r="E4757" s="1"/>
      <c r="F4757" s="1"/>
      <c r="G4757" s="1"/>
      <c r="H4757" s="1"/>
      <c r="I4757" s="1"/>
      <c r="J4757" s="1"/>
    </row>
    <row r="4758" ht="15.75" customHeight="1">
      <c r="A4758" s="1"/>
      <c r="B4758" s="1"/>
      <c r="C4758" s="1"/>
      <c r="D4758" s="1"/>
      <c r="E4758" s="1"/>
      <c r="F4758" s="1"/>
      <c r="G4758" s="1"/>
      <c r="H4758" s="1"/>
      <c r="I4758" s="1"/>
      <c r="J4758" s="1"/>
    </row>
    <row r="4759" ht="15.75" customHeight="1">
      <c r="A4759" s="1"/>
      <c r="B4759" s="1"/>
      <c r="C4759" s="1"/>
      <c r="D4759" s="1"/>
      <c r="E4759" s="1"/>
      <c r="F4759" s="1"/>
      <c r="G4759" s="1"/>
      <c r="H4759" s="1"/>
      <c r="I4759" s="1"/>
      <c r="J4759" s="1"/>
    </row>
    <row r="4760" ht="15.75" customHeight="1">
      <c r="A4760" s="1"/>
      <c r="B4760" s="1"/>
      <c r="C4760" s="1"/>
      <c r="D4760" s="1"/>
      <c r="E4760" s="1"/>
      <c r="F4760" s="1"/>
      <c r="G4760" s="1"/>
      <c r="H4760" s="1"/>
      <c r="I4760" s="1"/>
      <c r="J4760" s="1"/>
    </row>
    <row r="4761" ht="15.75" customHeight="1">
      <c r="A4761" s="1"/>
      <c r="B4761" s="1"/>
      <c r="C4761" s="1"/>
      <c r="D4761" s="1"/>
      <c r="E4761" s="1"/>
      <c r="F4761" s="1"/>
      <c r="G4761" s="1"/>
      <c r="H4761" s="1"/>
      <c r="I4761" s="1"/>
      <c r="J4761" s="1"/>
    </row>
    <row r="4762" ht="15.75" customHeight="1">
      <c r="A4762" s="1"/>
      <c r="B4762" s="1"/>
      <c r="C4762" s="1"/>
      <c r="D4762" s="1"/>
      <c r="E4762" s="1"/>
      <c r="F4762" s="1"/>
      <c r="G4762" s="1"/>
      <c r="H4762" s="1"/>
      <c r="I4762" s="1"/>
      <c r="J4762" s="1"/>
    </row>
    <row r="4763" ht="15.75" customHeight="1">
      <c r="A4763" s="1"/>
      <c r="B4763" s="1"/>
      <c r="C4763" s="1"/>
      <c r="D4763" s="1"/>
      <c r="E4763" s="1"/>
      <c r="F4763" s="1"/>
      <c r="G4763" s="1"/>
      <c r="H4763" s="1"/>
      <c r="I4763" s="1"/>
      <c r="J4763" s="1"/>
    </row>
    <row r="4764" ht="15.75" customHeight="1">
      <c r="A4764" s="1"/>
      <c r="B4764" s="1"/>
      <c r="C4764" s="1"/>
      <c r="D4764" s="1"/>
      <c r="E4764" s="1"/>
      <c r="F4764" s="1"/>
      <c r="G4764" s="1"/>
      <c r="H4764" s="1"/>
      <c r="I4764" s="1"/>
      <c r="J4764" s="1"/>
    </row>
    <row r="4765" ht="15.75" customHeight="1">
      <c r="A4765" s="1"/>
      <c r="B4765" s="1"/>
      <c r="C4765" s="1"/>
      <c r="D4765" s="1"/>
      <c r="E4765" s="1"/>
      <c r="F4765" s="1"/>
      <c r="G4765" s="1"/>
      <c r="H4765" s="1"/>
      <c r="I4765" s="1"/>
      <c r="J4765" s="1"/>
    </row>
    <row r="4766" ht="15.75" customHeight="1">
      <c r="A4766" s="1"/>
      <c r="B4766" s="1"/>
      <c r="C4766" s="1"/>
      <c r="D4766" s="1"/>
      <c r="E4766" s="1"/>
      <c r="F4766" s="1"/>
      <c r="G4766" s="1"/>
      <c r="H4766" s="1"/>
      <c r="I4766" s="1"/>
      <c r="J4766" s="1"/>
    </row>
    <row r="4767" ht="15.75" customHeight="1">
      <c r="A4767" s="1"/>
      <c r="B4767" s="1"/>
      <c r="C4767" s="1"/>
      <c r="D4767" s="1"/>
      <c r="E4767" s="1"/>
      <c r="F4767" s="1"/>
      <c r="G4767" s="1"/>
      <c r="H4767" s="1"/>
      <c r="I4767" s="1"/>
      <c r="J4767" s="1"/>
    </row>
    <row r="4768" ht="15.75" customHeight="1">
      <c r="A4768" s="1"/>
      <c r="B4768" s="1"/>
      <c r="C4768" s="1"/>
      <c r="D4768" s="1"/>
      <c r="E4768" s="1"/>
      <c r="F4768" s="1"/>
      <c r="G4768" s="1"/>
      <c r="H4768" s="1"/>
      <c r="I4768" s="1"/>
      <c r="J4768" s="1"/>
    </row>
    <row r="4769" ht="15.75" customHeight="1">
      <c r="A4769" s="1"/>
      <c r="B4769" s="1"/>
      <c r="C4769" s="1"/>
      <c r="D4769" s="1"/>
      <c r="E4769" s="1"/>
      <c r="F4769" s="1"/>
      <c r="G4769" s="1"/>
      <c r="H4769" s="1"/>
      <c r="I4769" s="1"/>
      <c r="J4769" s="1"/>
    </row>
    <row r="4770" ht="15.75" customHeight="1">
      <c r="A4770" s="1"/>
      <c r="B4770" s="1"/>
      <c r="C4770" s="1"/>
      <c r="D4770" s="1"/>
      <c r="E4770" s="1"/>
      <c r="F4770" s="1"/>
      <c r="G4770" s="1"/>
      <c r="H4770" s="1"/>
      <c r="I4770" s="1"/>
      <c r="J4770" s="1"/>
    </row>
    <row r="4771" ht="15.75" customHeight="1">
      <c r="A4771" s="1"/>
      <c r="B4771" s="1"/>
      <c r="C4771" s="1"/>
      <c r="D4771" s="1"/>
      <c r="E4771" s="1"/>
      <c r="F4771" s="1"/>
      <c r="G4771" s="1"/>
      <c r="H4771" s="1"/>
      <c r="I4771" s="1"/>
      <c r="J4771" s="1"/>
    </row>
    <row r="4772" ht="15.75" customHeight="1">
      <c r="A4772" s="1"/>
      <c r="B4772" s="1"/>
      <c r="C4772" s="1"/>
      <c r="D4772" s="1"/>
      <c r="E4772" s="1"/>
      <c r="F4772" s="1"/>
      <c r="G4772" s="1"/>
      <c r="H4772" s="1"/>
      <c r="I4772" s="1"/>
      <c r="J4772" s="1"/>
    </row>
    <row r="4773" ht="15.75" customHeight="1">
      <c r="A4773" s="1"/>
      <c r="B4773" s="1"/>
      <c r="C4773" s="1"/>
      <c r="D4773" s="1"/>
      <c r="E4773" s="1"/>
      <c r="F4773" s="1"/>
      <c r="G4773" s="1"/>
      <c r="H4773" s="1"/>
      <c r="I4773" s="1"/>
      <c r="J4773" s="1"/>
    </row>
    <row r="4774" ht="15.75" customHeight="1">
      <c r="A4774" s="1"/>
      <c r="B4774" s="1"/>
      <c r="C4774" s="1"/>
      <c r="D4774" s="1"/>
      <c r="E4774" s="1"/>
      <c r="F4774" s="1"/>
      <c r="G4774" s="1"/>
      <c r="H4774" s="1"/>
      <c r="I4774" s="1"/>
      <c r="J4774" s="1"/>
    </row>
    <row r="4775" ht="15.75" customHeight="1">
      <c r="A4775" s="1"/>
      <c r="B4775" s="1"/>
      <c r="C4775" s="1"/>
      <c r="D4775" s="1"/>
      <c r="E4775" s="1"/>
      <c r="F4775" s="1"/>
      <c r="G4775" s="1"/>
      <c r="H4775" s="1"/>
      <c r="I4775" s="1"/>
      <c r="J4775" s="1"/>
    </row>
    <row r="4776" ht="15.75" customHeight="1">
      <c r="A4776" s="1"/>
      <c r="B4776" s="1"/>
      <c r="C4776" s="1"/>
      <c r="D4776" s="1"/>
      <c r="E4776" s="1"/>
      <c r="F4776" s="1"/>
      <c r="G4776" s="1"/>
      <c r="H4776" s="1"/>
      <c r="I4776" s="1"/>
      <c r="J4776" s="1"/>
    </row>
    <row r="4777" ht="15.75" customHeight="1">
      <c r="A4777" s="1"/>
      <c r="B4777" s="1"/>
      <c r="C4777" s="1"/>
      <c r="D4777" s="1"/>
      <c r="E4777" s="1"/>
      <c r="F4777" s="1"/>
      <c r="G4777" s="1"/>
      <c r="H4777" s="1"/>
      <c r="I4777" s="1"/>
      <c r="J4777" s="1"/>
    </row>
    <row r="4778" ht="15.75" customHeight="1">
      <c r="A4778" s="1"/>
      <c r="B4778" s="1"/>
      <c r="C4778" s="1"/>
      <c r="D4778" s="1"/>
      <c r="E4778" s="1"/>
      <c r="F4778" s="1"/>
      <c r="G4778" s="1"/>
      <c r="H4778" s="1"/>
      <c r="I4778" s="1"/>
      <c r="J4778" s="1"/>
    </row>
    <row r="4779" ht="15.75" customHeight="1">
      <c r="A4779" s="1"/>
      <c r="B4779" s="1"/>
      <c r="C4779" s="1"/>
      <c r="D4779" s="1"/>
      <c r="E4779" s="1"/>
      <c r="F4779" s="1"/>
      <c r="G4779" s="1"/>
      <c r="H4779" s="1"/>
      <c r="I4779" s="1"/>
      <c r="J4779" s="1"/>
    </row>
    <row r="4780" ht="15.75" customHeight="1">
      <c r="A4780" s="1"/>
      <c r="B4780" s="1"/>
      <c r="C4780" s="1"/>
      <c r="D4780" s="1"/>
      <c r="E4780" s="1"/>
      <c r="F4780" s="1"/>
      <c r="G4780" s="1"/>
      <c r="H4780" s="1"/>
      <c r="I4780" s="1"/>
      <c r="J4780" s="1"/>
    </row>
    <row r="4781" ht="15.75" customHeight="1">
      <c r="A4781" s="1"/>
      <c r="B4781" s="1"/>
      <c r="C4781" s="1"/>
      <c r="D4781" s="1"/>
      <c r="E4781" s="1"/>
      <c r="F4781" s="1"/>
      <c r="G4781" s="1"/>
      <c r="H4781" s="1"/>
      <c r="I4781" s="1"/>
      <c r="J4781" s="1"/>
    </row>
    <row r="4782" ht="15.75" customHeight="1">
      <c r="A4782" s="1"/>
      <c r="B4782" s="1"/>
      <c r="C4782" s="1"/>
      <c r="D4782" s="1"/>
      <c r="E4782" s="1"/>
      <c r="F4782" s="1"/>
      <c r="G4782" s="1"/>
      <c r="H4782" s="1"/>
      <c r="I4782" s="1"/>
      <c r="J4782" s="1"/>
    </row>
    <row r="4783" ht="15.75" customHeight="1">
      <c r="A4783" s="1"/>
      <c r="B4783" s="1"/>
      <c r="C4783" s="1"/>
      <c r="D4783" s="1"/>
      <c r="E4783" s="1"/>
      <c r="F4783" s="1"/>
      <c r="G4783" s="1"/>
      <c r="H4783" s="1"/>
      <c r="I4783" s="1"/>
      <c r="J4783" s="1"/>
    </row>
    <row r="4784" ht="15.75" customHeight="1">
      <c r="A4784" s="1"/>
      <c r="B4784" s="1"/>
      <c r="C4784" s="1"/>
      <c r="D4784" s="1"/>
      <c r="E4784" s="1"/>
      <c r="F4784" s="1"/>
      <c r="G4784" s="1"/>
      <c r="H4784" s="1"/>
      <c r="I4784" s="1"/>
      <c r="J4784" s="1"/>
    </row>
    <row r="4785" ht="15.75" customHeight="1">
      <c r="A4785" s="1"/>
      <c r="B4785" s="1"/>
      <c r="C4785" s="1"/>
      <c r="D4785" s="1"/>
      <c r="E4785" s="1"/>
      <c r="F4785" s="1"/>
      <c r="G4785" s="1"/>
      <c r="H4785" s="1"/>
      <c r="I4785" s="1"/>
      <c r="J4785" s="1"/>
    </row>
    <row r="4786" ht="15.75" customHeight="1">
      <c r="A4786" s="1"/>
      <c r="B4786" s="1"/>
      <c r="C4786" s="1"/>
      <c r="D4786" s="1"/>
      <c r="E4786" s="1"/>
      <c r="F4786" s="1"/>
      <c r="G4786" s="1"/>
      <c r="H4786" s="1"/>
      <c r="I4786" s="1"/>
      <c r="J4786" s="1"/>
    </row>
    <row r="4787" ht="15.75" customHeight="1">
      <c r="A4787" s="1"/>
      <c r="B4787" s="1"/>
      <c r="C4787" s="1"/>
      <c r="D4787" s="1"/>
      <c r="E4787" s="1"/>
      <c r="F4787" s="1"/>
      <c r="G4787" s="1"/>
      <c r="H4787" s="1"/>
      <c r="I4787" s="1"/>
      <c r="J4787" s="1"/>
    </row>
    <row r="4788" ht="15.75" customHeight="1">
      <c r="A4788" s="1"/>
      <c r="B4788" s="1"/>
      <c r="C4788" s="1"/>
      <c r="D4788" s="1"/>
      <c r="E4788" s="1"/>
      <c r="F4788" s="1"/>
      <c r="G4788" s="1"/>
      <c r="H4788" s="1"/>
      <c r="I4788" s="1"/>
      <c r="J4788" s="1"/>
    </row>
    <row r="4789" ht="15.75" customHeight="1">
      <c r="A4789" s="1"/>
      <c r="B4789" s="1"/>
      <c r="C4789" s="1"/>
      <c r="D4789" s="1"/>
      <c r="E4789" s="1"/>
      <c r="F4789" s="1"/>
      <c r="G4789" s="1"/>
      <c r="H4789" s="1"/>
      <c r="I4789" s="1"/>
      <c r="J4789" s="1"/>
    </row>
    <row r="4790" ht="15.75" customHeight="1">
      <c r="A4790" s="1"/>
      <c r="B4790" s="1"/>
      <c r="C4790" s="1"/>
      <c r="D4790" s="1"/>
      <c r="E4790" s="1"/>
      <c r="F4790" s="1"/>
      <c r="G4790" s="1"/>
      <c r="H4790" s="1"/>
      <c r="I4790" s="1"/>
      <c r="J4790" s="1"/>
    </row>
    <row r="4791" ht="15.75" customHeight="1">
      <c r="A4791" s="1"/>
      <c r="B4791" s="1"/>
      <c r="C4791" s="1"/>
      <c r="D4791" s="1"/>
      <c r="E4791" s="1"/>
      <c r="F4791" s="1"/>
      <c r="G4791" s="1"/>
      <c r="H4791" s="1"/>
      <c r="I4791" s="1"/>
      <c r="J4791" s="1"/>
    </row>
    <row r="4792" ht="15.75" customHeight="1">
      <c r="A4792" s="1"/>
      <c r="B4792" s="1"/>
      <c r="C4792" s="1"/>
      <c r="D4792" s="1"/>
      <c r="E4792" s="1"/>
      <c r="F4792" s="1"/>
      <c r="G4792" s="1"/>
      <c r="H4792" s="1"/>
      <c r="I4792" s="1"/>
      <c r="J4792" s="1"/>
    </row>
    <row r="4793" ht="15.75" customHeight="1">
      <c r="A4793" s="1"/>
      <c r="B4793" s="1"/>
      <c r="C4793" s="1"/>
      <c r="D4793" s="1"/>
      <c r="E4793" s="1"/>
      <c r="F4793" s="1"/>
      <c r="G4793" s="1"/>
      <c r="H4793" s="1"/>
      <c r="I4793" s="1"/>
      <c r="J4793" s="1"/>
    </row>
    <row r="4794" ht="15.75" customHeight="1">
      <c r="A4794" s="1"/>
      <c r="B4794" s="1"/>
      <c r="C4794" s="1"/>
      <c r="D4794" s="1"/>
      <c r="E4794" s="1"/>
      <c r="F4794" s="1"/>
      <c r="G4794" s="1"/>
      <c r="H4794" s="1"/>
      <c r="I4794" s="1"/>
      <c r="J4794" s="1"/>
    </row>
    <row r="4795" ht="15.75" customHeight="1">
      <c r="A4795" s="1"/>
      <c r="B4795" s="1"/>
      <c r="C4795" s="1"/>
      <c r="D4795" s="1"/>
      <c r="E4795" s="1"/>
      <c r="F4795" s="1"/>
      <c r="G4795" s="1"/>
      <c r="H4795" s="1"/>
      <c r="I4795" s="1"/>
      <c r="J4795" s="1"/>
    </row>
    <row r="4796" ht="15.75" customHeight="1">
      <c r="A4796" s="1"/>
      <c r="B4796" s="1"/>
      <c r="C4796" s="1"/>
      <c r="D4796" s="1"/>
      <c r="E4796" s="1"/>
      <c r="F4796" s="1"/>
      <c r="G4796" s="1"/>
      <c r="H4796" s="1"/>
      <c r="I4796" s="1"/>
      <c r="J4796" s="1"/>
    </row>
    <row r="4797" ht="15.75" customHeight="1">
      <c r="A4797" s="1"/>
      <c r="B4797" s="1"/>
      <c r="C4797" s="1"/>
      <c r="D4797" s="1"/>
      <c r="E4797" s="1"/>
      <c r="F4797" s="1"/>
      <c r="G4797" s="1"/>
      <c r="H4797" s="1"/>
      <c r="I4797" s="1"/>
      <c r="J4797" s="1"/>
    </row>
    <row r="4798" ht="15.75" customHeight="1">
      <c r="A4798" s="1"/>
      <c r="B4798" s="1"/>
      <c r="C4798" s="1"/>
      <c r="D4798" s="1"/>
      <c r="E4798" s="1"/>
      <c r="F4798" s="1"/>
      <c r="G4798" s="1"/>
      <c r="H4798" s="1"/>
      <c r="I4798" s="1"/>
      <c r="J4798" s="1"/>
    </row>
    <row r="4799" ht="15.75" customHeight="1">
      <c r="A4799" s="1"/>
      <c r="B4799" s="1"/>
      <c r="C4799" s="1"/>
      <c r="D4799" s="1"/>
      <c r="E4799" s="1"/>
      <c r="F4799" s="1"/>
      <c r="G4799" s="1"/>
      <c r="H4799" s="1"/>
      <c r="I4799" s="1"/>
      <c r="J4799" s="1"/>
    </row>
    <row r="4800" ht="15.75" customHeight="1">
      <c r="A4800" s="1"/>
      <c r="B4800" s="1"/>
      <c r="C4800" s="1"/>
      <c r="D4800" s="1"/>
      <c r="E4800" s="1"/>
      <c r="F4800" s="1"/>
      <c r="G4800" s="1"/>
      <c r="H4800" s="1"/>
      <c r="I4800" s="1"/>
      <c r="J4800" s="1"/>
    </row>
    <row r="4801" ht="15.75" customHeight="1">
      <c r="A4801" s="1"/>
      <c r="B4801" s="1"/>
      <c r="C4801" s="1"/>
      <c r="D4801" s="1"/>
      <c r="E4801" s="1"/>
      <c r="F4801" s="1"/>
      <c r="G4801" s="1"/>
      <c r="H4801" s="1"/>
      <c r="I4801" s="1"/>
      <c r="J4801" s="1"/>
    </row>
    <row r="4802" ht="15.75" customHeight="1">
      <c r="A4802" s="1"/>
      <c r="B4802" s="1"/>
      <c r="C4802" s="1"/>
      <c r="D4802" s="1"/>
      <c r="E4802" s="1"/>
      <c r="F4802" s="1"/>
      <c r="G4802" s="1"/>
      <c r="H4802" s="1"/>
      <c r="I4802" s="1"/>
      <c r="J4802" s="1"/>
    </row>
    <row r="4803" ht="15.75" customHeight="1">
      <c r="A4803" s="1"/>
      <c r="B4803" s="1"/>
      <c r="C4803" s="1"/>
      <c r="D4803" s="1"/>
      <c r="E4803" s="1"/>
      <c r="F4803" s="1"/>
      <c r="G4803" s="1"/>
      <c r="H4803" s="1"/>
      <c r="I4803" s="1"/>
      <c r="J4803" s="1"/>
    </row>
    <row r="4804" ht="15.75" customHeight="1">
      <c r="A4804" s="1"/>
      <c r="B4804" s="1"/>
      <c r="C4804" s="1"/>
      <c r="D4804" s="1"/>
      <c r="E4804" s="1"/>
      <c r="F4804" s="1"/>
      <c r="G4804" s="1"/>
      <c r="H4804" s="1"/>
      <c r="I4804" s="1"/>
      <c r="J4804" s="1"/>
    </row>
    <row r="4805" ht="15.75" customHeight="1">
      <c r="A4805" s="1"/>
      <c r="B4805" s="1"/>
      <c r="C4805" s="1"/>
      <c r="D4805" s="1"/>
      <c r="E4805" s="1"/>
      <c r="F4805" s="1"/>
      <c r="G4805" s="1"/>
      <c r="H4805" s="1"/>
      <c r="I4805" s="1"/>
      <c r="J4805" s="1"/>
    </row>
    <row r="4806" ht="15.75" customHeight="1">
      <c r="A4806" s="1"/>
      <c r="B4806" s="1"/>
      <c r="C4806" s="1"/>
      <c r="D4806" s="1"/>
      <c r="E4806" s="1"/>
      <c r="F4806" s="1"/>
      <c r="G4806" s="1"/>
      <c r="H4806" s="1"/>
      <c r="I4806" s="1"/>
      <c r="J4806" s="1"/>
    </row>
    <row r="4807" ht="15.75" customHeight="1">
      <c r="A4807" s="1"/>
      <c r="B4807" s="1"/>
      <c r="C4807" s="1"/>
      <c r="D4807" s="1"/>
      <c r="E4807" s="1"/>
      <c r="F4807" s="1"/>
      <c r="G4807" s="1"/>
      <c r="H4807" s="1"/>
      <c r="I4807" s="1"/>
      <c r="J4807" s="1"/>
    </row>
    <row r="4808" ht="15.75" customHeight="1">
      <c r="A4808" s="1"/>
      <c r="B4808" s="1"/>
      <c r="C4808" s="1"/>
      <c r="D4808" s="1"/>
      <c r="E4808" s="1"/>
      <c r="F4808" s="1"/>
      <c r="G4808" s="1"/>
      <c r="H4808" s="1"/>
      <c r="I4808" s="1"/>
      <c r="J4808" s="1"/>
    </row>
    <row r="4809" ht="15.75" customHeight="1">
      <c r="A4809" s="1"/>
      <c r="B4809" s="1"/>
      <c r="C4809" s="1"/>
      <c r="D4809" s="1"/>
      <c r="E4809" s="1"/>
      <c r="F4809" s="1"/>
      <c r="G4809" s="1"/>
      <c r="H4809" s="1"/>
      <c r="I4809" s="1"/>
      <c r="J4809" s="1"/>
    </row>
    <row r="4810" ht="15.75" customHeight="1">
      <c r="A4810" s="1"/>
      <c r="B4810" s="1"/>
      <c r="C4810" s="1"/>
      <c r="D4810" s="1"/>
      <c r="E4810" s="1"/>
      <c r="F4810" s="1"/>
      <c r="G4810" s="1"/>
      <c r="H4810" s="1"/>
      <c r="I4810" s="1"/>
      <c r="J4810" s="1"/>
    </row>
    <row r="4811" ht="15.75" customHeight="1">
      <c r="A4811" s="1"/>
      <c r="B4811" s="1"/>
      <c r="C4811" s="1"/>
      <c r="D4811" s="1"/>
      <c r="E4811" s="1"/>
      <c r="F4811" s="1"/>
      <c r="G4811" s="1"/>
      <c r="H4811" s="1"/>
      <c r="I4811" s="1"/>
      <c r="J4811" s="1"/>
    </row>
    <row r="4812" ht="15.75" customHeight="1">
      <c r="A4812" s="1"/>
      <c r="B4812" s="1"/>
      <c r="C4812" s="1"/>
      <c r="D4812" s="1"/>
      <c r="E4812" s="1"/>
      <c r="F4812" s="1"/>
      <c r="G4812" s="1"/>
      <c r="H4812" s="1"/>
      <c r="I4812" s="1"/>
      <c r="J4812" s="1"/>
    </row>
    <row r="4813" ht="15.75" customHeight="1">
      <c r="A4813" s="1"/>
      <c r="B4813" s="1"/>
      <c r="C4813" s="1"/>
      <c r="D4813" s="1"/>
      <c r="E4813" s="1"/>
      <c r="F4813" s="1"/>
      <c r="G4813" s="1"/>
      <c r="H4813" s="1"/>
      <c r="I4813" s="1"/>
      <c r="J4813" s="1"/>
    </row>
    <row r="4814" ht="15.75" customHeight="1">
      <c r="A4814" s="1"/>
      <c r="B4814" s="1"/>
      <c r="C4814" s="1"/>
      <c r="D4814" s="1"/>
      <c r="E4814" s="1"/>
      <c r="F4814" s="1"/>
      <c r="G4814" s="1"/>
      <c r="H4814" s="1"/>
      <c r="I4814" s="1"/>
      <c r="J4814" s="1"/>
    </row>
    <row r="4815" ht="15.75" customHeight="1">
      <c r="A4815" s="1"/>
      <c r="B4815" s="1"/>
      <c r="C4815" s="1"/>
      <c r="D4815" s="1"/>
      <c r="E4815" s="1"/>
      <c r="F4815" s="1"/>
      <c r="G4815" s="1"/>
      <c r="H4815" s="1"/>
      <c r="I4815" s="1"/>
      <c r="J4815" s="1"/>
    </row>
    <row r="4816" ht="15.75" customHeight="1">
      <c r="A4816" s="1"/>
      <c r="B4816" s="1"/>
      <c r="C4816" s="1"/>
      <c r="D4816" s="1"/>
      <c r="E4816" s="1"/>
      <c r="F4816" s="1"/>
      <c r="G4816" s="1"/>
      <c r="H4816" s="1"/>
      <c r="I4816" s="1"/>
      <c r="J4816" s="1"/>
    </row>
    <row r="4817" ht="15.75" customHeight="1">
      <c r="A4817" s="1"/>
      <c r="B4817" s="1"/>
      <c r="C4817" s="1"/>
      <c r="D4817" s="1"/>
      <c r="E4817" s="1"/>
      <c r="F4817" s="1"/>
      <c r="G4817" s="1"/>
      <c r="H4817" s="1"/>
      <c r="I4817" s="1"/>
      <c r="J4817" s="1"/>
    </row>
    <row r="4818" ht="15.75" customHeight="1">
      <c r="A4818" s="1"/>
      <c r="B4818" s="1"/>
      <c r="C4818" s="1"/>
      <c r="D4818" s="1"/>
      <c r="E4818" s="1"/>
      <c r="F4818" s="1"/>
      <c r="G4818" s="1"/>
      <c r="H4818" s="1"/>
      <c r="I4818" s="1"/>
      <c r="J4818" s="1"/>
    </row>
    <row r="4819" ht="15.75" customHeight="1">
      <c r="A4819" s="1"/>
      <c r="B4819" s="1"/>
      <c r="C4819" s="1"/>
      <c r="D4819" s="1"/>
      <c r="E4819" s="1"/>
      <c r="F4819" s="1"/>
      <c r="G4819" s="1"/>
      <c r="H4819" s="1"/>
      <c r="I4819" s="1"/>
      <c r="J4819" s="1"/>
    </row>
    <row r="4820" ht="15.75" customHeight="1">
      <c r="A4820" s="1"/>
      <c r="B4820" s="1"/>
      <c r="C4820" s="1"/>
      <c r="D4820" s="1"/>
      <c r="E4820" s="1"/>
      <c r="F4820" s="1"/>
      <c r="G4820" s="1"/>
      <c r="H4820" s="1"/>
      <c r="I4820" s="1"/>
      <c r="J4820" s="1"/>
    </row>
    <row r="4821" ht="15.75" customHeight="1">
      <c r="A4821" s="1"/>
      <c r="B4821" s="1"/>
      <c r="C4821" s="1"/>
      <c r="D4821" s="1"/>
      <c r="E4821" s="1"/>
      <c r="F4821" s="1"/>
      <c r="G4821" s="1"/>
      <c r="H4821" s="1"/>
      <c r="I4821" s="1"/>
      <c r="J4821" s="1"/>
    </row>
    <row r="4822" ht="15.75" customHeight="1">
      <c r="A4822" s="1"/>
      <c r="B4822" s="1"/>
      <c r="C4822" s="1"/>
      <c r="D4822" s="1"/>
      <c r="E4822" s="1"/>
      <c r="F4822" s="1"/>
      <c r="G4822" s="1"/>
      <c r="H4822" s="1"/>
      <c r="I4822" s="1"/>
      <c r="J4822" s="1"/>
    </row>
    <row r="4823" ht="15.75" customHeight="1">
      <c r="A4823" s="1"/>
      <c r="B4823" s="1"/>
      <c r="C4823" s="1"/>
      <c r="D4823" s="1"/>
      <c r="E4823" s="1"/>
      <c r="F4823" s="1"/>
      <c r="G4823" s="1"/>
      <c r="H4823" s="1"/>
      <c r="I4823" s="1"/>
      <c r="J4823" s="1"/>
    </row>
    <row r="4824" ht="15.75" customHeight="1">
      <c r="A4824" s="1"/>
      <c r="B4824" s="1"/>
      <c r="C4824" s="1"/>
      <c r="D4824" s="1"/>
      <c r="E4824" s="1"/>
      <c r="F4824" s="1"/>
      <c r="G4824" s="1"/>
      <c r="H4824" s="1"/>
      <c r="I4824" s="1"/>
      <c r="J4824" s="1"/>
    </row>
    <row r="4825" ht="15.75" customHeight="1">
      <c r="A4825" s="1"/>
      <c r="B4825" s="1"/>
      <c r="C4825" s="1"/>
      <c r="D4825" s="1"/>
      <c r="E4825" s="1"/>
      <c r="F4825" s="1"/>
      <c r="G4825" s="1"/>
      <c r="H4825" s="1"/>
      <c r="I4825" s="1"/>
      <c r="J4825" s="1"/>
    </row>
    <row r="4826" ht="15.75" customHeight="1">
      <c r="A4826" s="1"/>
      <c r="B4826" s="1"/>
      <c r="C4826" s="1"/>
      <c r="D4826" s="1"/>
      <c r="E4826" s="1"/>
      <c r="F4826" s="1"/>
      <c r="G4826" s="1"/>
      <c r="H4826" s="1"/>
      <c r="I4826" s="1"/>
      <c r="J4826" s="1"/>
    </row>
    <row r="4827" ht="15.75" customHeight="1">
      <c r="A4827" s="1"/>
      <c r="B4827" s="1"/>
      <c r="C4827" s="1"/>
      <c r="D4827" s="1"/>
      <c r="E4827" s="1"/>
      <c r="F4827" s="1"/>
      <c r="G4827" s="1"/>
      <c r="H4827" s="1"/>
      <c r="I4827" s="1"/>
      <c r="J4827" s="1"/>
    </row>
    <row r="4828" ht="15.75" customHeight="1">
      <c r="A4828" s="1"/>
      <c r="B4828" s="1"/>
      <c r="C4828" s="1"/>
      <c r="D4828" s="1"/>
      <c r="E4828" s="1"/>
      <c r="F4828" s="1"/>
      <c r="G4828" s="1"/>
      <c r="H4828" s="1"/>
      <c r="I4828" s="1"/>
      <c r="J4828" s="1"/>
    </row>
    <row r="4829" ht="15.75" customHeight="1">
      <c r="A4829" s="1"/>
      <c r="B4829" s="1"/>
      <c r="C4829" s="1"/>
      <c r="D4829" s="1"/>
      <c r="E4829" s="1"/>
      <c r="F4829" s="1"/>
      <c r="G4829" s="1"/>
      <c r="H4829" s="1"/>
      <c r="I4829" s="1"/>
      <c r="J4829" s="1"/>
    </row>
    <row r="4830" ht="15.75" customHeight="1">
      <c r="A4830" s="1"/>
      <c r="B4830" s="1"/>
      <c r="C4830" s="1"/>
      <c r="D4830" s="1"/>
      <c r="E4830" s="1"/>
      <c r="F4830" s="1"/>
      <c r="G4830" s="1"/>
      <c r="H4830" s="1"/>
      <c r="I4830" s="1"/>
      <c r="J4830" s="1"/>
    </row>
    <row r="4831" ht="15.75" customHeight="1">
      <c r="A4831" s="1"/>
      <c r="B4831" s="1"/>
      <c r="C4831" s="1"/>
      <c r="D4831" s="1"/>
      <c r="E4831" s="1"/>
      <c r="F4831" s="1"/>
      <c r="G4831" s="1"/>
      <c r="H4831" s="1"/>
      <c r="I4831" s="1"/>
      <c r="J4831" s="1"/>
    </row>
    <row r="4832" ht="15.75" customHeight="1">
      <c r="A4832" s="1"/>
      <c r="B4832" s="1"/>
      <c r="C4832" s="1"/>
      <c r="D4832" s="1"/>
      <c r="E4832" s="1"/>
      <c r="F4832" s="1"/>
      <c r="G4832" s="1"/>
      <c r="H4832" s="1"/>
      <c r="I4832" s="1"/>
      <c r="J4832" s="1"/>
    </row>
    <row r="4833" ht="15.75" customHeight="1">
      <c r="A4833" s="1"/>
      <c r="B4833" s="1"/>
      <c r="C4833" s="1"/>
      <c r="D4833" s="1"/>
      <c r="E4833" s="1"/>
      <c r="F4833" s="1"/>
      <c r="G4833" s="1"/>
      <c r="H4833" s="1"/>
      <c r="I4833" s="1"/>
      <c r="J4833" s="1"/>
    </row>
    <row r="4834" ht="15.75" customHeight="1">
      <c r="A4834" s="1"/>
      <c r="B4834" s="1"/>
      <c r="C4834" s="1"/>
      <c r="D4834" s="1"/>
      <c r="E4834" s="1"/>
      <c r="F4834" s="1"/>
      <c r="G4834" s="1"/>
      <c r="H4834" s="1"/>
      <c r="I4834" s="1"/>
      <c r="J4834" s="1"/>
    </row>
    <row r="4835" ht="15.75" customHeight="1">
      <c r="A4835" s="1"/>
      <c r="B4835" s="1"/>
      <c r="C4835" s="1"/>
      <c r="D4835" s="1"/>
      <c r="E4835" s="1"/>
      <c r="F4835" s="1"/>
      <c r="G4835" s="1"/>
      <c r="H4835" s="1"/>
      <c r="I4835" s="1"/>
      <c r="J4835" s="1"/>
    </row>
    <row r="4836" ht="15.75" customHeight="1">
      <c r="A4836" s="1"/>
      <c r="B4836" s="1"/>
      <c r="C4836" s="1"/>
      <c r="D4836" s="1"/>
      <c r="E4836" s="1"/>
      <c r="F4836" s="1"/>
      <c r="G4836" s="1"/>
      <c r="H4836" s="1"/>
      <c r="I4836" s="1"/>
      <c r="J4836" s="1"/>
    </row>
    <row r="4837" ht="15.75" customHeight="1">
      <c r="A4837" s="1"/>
      <c r="B4837" s="1"/>
      <c r="C4837" s="1"/>
      <c r="D4837" s="1"/>
      <c r="E4837" s="1"/>
      <c r="F4837" s="1"/>
      <c r="G4837" s="1"/>
      <c r="H4837" s="1"/>
      <c r="I4837" s="1"/>
      <c r="J4837" s="1"/>
    </row>
    <row r="4838" ht="15.75" customHeight="1">
      <c r="A4838" s="1"/>
      <c r="B4838" s="1"/>
      <c r="C4838" s="1"/>
      <c r="D4838" s="1"/>
      <c r="E4838" s="1"/>
      <c r="F4838" s="1"/>
      <c r="G4838" s="1"/>
      <c r="H4838" s="1"/>
      <c r="I4838" s="1"/>
      <c r="J4838" s="1"/>
    </row>
    <row r="4839" ht="15.75" customHeight="1">
      <c r="A4839" s="1"/>
      <c r="B4839" s="1"/>
      <c r="C4839" s="1"/>
      <c r="D4839" s="1"/>
      <c r="E4839" s="1"/>
      <c r="F4839" s="1"/>
      <c r="G4839" s="1"/>
      <c r="H4839" s="1"/>
      <c r="I4839" s="1"/>
      <c r="J4839" s="1"/>
    </row>
    <row r="4840" ht="15.75" customHeight="1">
      <c r="A4840" s="1"/>
      <c r="B4840" s="1"/>
      <c r="C4840" s="1"/>
      <c r="D4840" s="1"/>
      <c r="E4840" s="1"/>
      <c r="F4840" s="1"/>
      <c r="G4840" s="1"/>
      <c r="H4840" s="1"/>
      <c r="I4840" s="1"/>
      <c r="J4840" s="1"/>
    </row>
    <row r="4841" ht="15.75" customHeight="1">
      <c r="A4841" s="1"/>
      <c r="B4841" s="1"/>
      <c r="C4841" s="1"/>
      <c r="D4841" s="1"/>
      <c r="E4841" s="1"/>
      <c r="F4841" s="1"/>
      <c r="G4841" s="1"/>
      <c r="H4841" s="1"/>
      <c r="I4841" s="1"/>
      <c r="J4841" s="1"/>
    </row>
    <row r="4842" ht="15.75" customHeight="1">
      <c r="A4842" s="1"/>
      <c r="B4842" s="1"/>
      <c r="C4842" s="1"/>
      <c r="D4842" s="1"/>
      <c r="E4842" s="1"/>
      <c r="F4842" s="1"/>
      <c r="G4842" s="1"/>
      <c r="H4842" s="1"/>
      <c r="I4842" s="1"/>
      <c r="J4842" s="1"/>
    </row>
    <row r="4843" ht="15.75" customHeight="1">
      <c r="A4843" s="1"/>
      <c r="B4843" s="1"/>
      <c r="C4843" s="1"/>
      <c r="D4843" s="1"/>
      <c r="E4843" s="1"/>
      <c r="F4843" s="1"/>
      <c r="G4843" s="1"/>
      <c r="H4843" s="1"/>
      <c r="I4843" s="1"/>
      <c r="J4843" s="1"/>
    </row>
    <row r="4844" ht="15.75" customHeight="1">
      <c r="A4844" s="1"/>
      <c r="B4844" s="1"/>
      <c r="C4844" s="1"/>
      <c r="D4844" s="1"/>
      <c r="E4844" s="1"/>
      <c r="F4844" s="1"/>
      <c r="G4844" s="1"/>
      <c r="H4844" s="1"/>
      <c r="I4844" s="1"/>
      <c r="J4844" s="1"/>
    </row>
    <row r="4845" ht="15.75" customHeight="1">
      <c r="A4845" s="1"/>
      <c r="B4845" s="1"/>
      <c r="C4845" s="1"/>
      <c r="D4845" s="1"/>
      <c r="E4845" s="1"/>
      <c r="F4845" s="1"/>
      <c r="G4845" s="1"/>
      <c r="H4845" s="1"/>
      <c r="I4845" s="1"/>
      <c r="J4845" s="1"/>
    </row>
    <row r="4846" ht="15.75" customHeight="1">
      <c r="A4846" s="1"/>
      <c r="B4846" s="1"/>
      <c r="C4846" s="1"/>
      <c r="D4846" s="1"/>
      <c r="E4846" s="1"/>
      <c r="F4846" s="1"/>
      <c r="G4846" s="1"/>
      <c r="H4846" s="1"/>
      <c r="I4846" s="1"/>
      <c r="J4846" s="1"/>
    </row>
    <row r="4847" ht="15.75" customHeight="1">
      <c r="A4847" s="1"/>
      <c r="B4847" s="1"/>
      <c r="C4847" s="1"/>
      <c r="D4847" s="1"/>
      <c r="E4847" s="1"/>
      <c r="F4847" s="1"/>
      <c r="G4847" s="1"/>
      <c r="H4847" s="1"/>
      <c r="I4847" s="1"/>
      <c r="J4847" s="1"/>
    </row>
    <row r="4848" ht="15.75" customHeight="1">
      <c r="A4848" s="1"/>
      <c r="B4848" s="1"/>
      <c r="C4848" s="1"/>
      <c r="D4848" s="1"/>
      <c r="E4848" s="1"/>
      <c r="F4848" s="1"/>
      <c r="G4848" s="1"/>
      <c r="H4848" s="1"/>
      <c r="I4848" s="1"/>
      <c r="J4848" s="1"/>
    </row>
    <row r="4849" ht="15.75" customHeight="1">
      <c r="A4849" s="1"/>
      <c r="B4849" s="1"/>
      <c r="C4849" s="1"/>
      <c r="D4849" s="1"/>
      <c r="E4849" s="1"/>
      <c r="F4849" s="1"/>
      <c r="G4849" s="1"/>
      <c r="H4849" s="1"/>
      <c r="I4849" s="1"/>
      <c r="J4849" s="1"/>
    </row>
    <row r="4850" ht="15.75" customHeight="1">
      <c r="A4850" s="1"/>
      <c r="B4850" s="1"/>
      <c r="C4850" s="1"/>
      <c r="D4850" s="1"/>
      <c r="E4850" s="1"/>
      <c r="F4850" s="1"/>
      <c r="G4850" s="1"/>
      <c r="H4850" s="1"/>
      <c r="I4850" s="1"/>
      <c r="J4850" s="1"/>
    </row>
    <row r="4851" ht="15.75" customHeight="1">
      <c r="A4851" s="1"/>
      <c r="B4851" s="1"/>
      <c r="C4851" s="1"/>
      <c r="D4851" s="1"/>
      <c r="E4851" s="1"/>
      <c r="F4851" s="1"/>
      <c r="G4851" s="1"/>
      <c r="H4851" s="1"/>
      <c r="I4851" s="1"/>
      <c r="J4851" s="1"/>
    </row>
    <row r="4852" ht="15.75" customHeight="1">
      <c r="A4852" s="1"/>
      <c r="B4852" s="1"/>
      <c r="C4852" s="1"/>
      <c r="D4852" s="1"/>
      <c r="E4852" s="1"/>
      <c r="F4852" s="1"/>
      <c r="G4852" s="1"/>
      <c r="H4852" s="1"/>
      <c r="I4852" s="1"/>
      <c r="J4852" s="1"/>
    </row>
    <row r="4853" ht="15.75" customHeight="1">
      <c r="A4853" s="1"/>
      <c r="B4853" s="1"/>
      <c r="C4853" s="1"/>
      <c r="D4853" s="1"/>
      <c r="E4853" s="1"/>
      <c r="F4853" s="1"/>
      <c r="G4853" s="1"/>
      <c r="H4853" s="1"/>
      <c r="I4853" s="1"/>
      <c r="J4853" s="1"/>
    </row>
    <row r="4854" ht="15.75" customHeight="1">
      <c r="A4854" s="1"/>
      <c r="B4854" s="1"/>
      <c r="C4854" s="1"/>
      <c r="D4854" s="1"/>
      <c r="E4854" s="1"/>
      <c r="F4854" s="1"/>
      <c r="G4854" s="1"/>
      <c r="H4854" s="1"/>
      <c r="I4854" s="1"/>
      <c r="J4854" s="1"/>
    </row>
    <row r="4855" ht="15.75" customHeight="1">
      <c r="A4855" s="1"/>
      <c r="B4855" s="1"/>
      <c r="C4855" s="1"/>
      <c r="D4855" s="1"/>
      <c r="E4855" s="1"/>
      <c r="F4855" s="1"/>
      <c r="G4855" s="1"/>
      <c r="H4855" s="1"/>
      <c r="I4855" s="1"/>
      <c r="J4855" s="1"/>
    </row>
    <row r="4856" ht="15.75" customHeight="1">
      <c r="A4856" s="1"/>
      <c r="B4856" s="1"/>
      <c r="C4856" s="1"/>
      <c r="D4856" s="1"/>
      <c r="E4856" s="1"/>
      <c r="F4856" s="1"/>
      <c r="G4856" s="1"/>
      <c r="H4856" s="1"/>
      <c r="I4856" s="1"/>
      <c r="J4856" s="1"/>
    </row>
    <row r="4857" ht="15.75" customHeight="1">
      <c r="A4857" s="1"/>
      <c r="B4857" s="1"/>
      <c r="C4857" s="1"/>
      <c r="D4857" s="1"/>
      <c r="E4857" s="1"/>
      <c r="F4857" s="1"/>
      <c r="G4857" s="1"/>
      <c r="H4857" s="1"/>
      <c r="I4857" s="1"/>
      <c r="J4857" s="1"/>
    </row>
    <row r="4858" ht="15.75" customHeight="1">
      <c r="A4858" s="1"/>
      <c r="B4858" s="1"/>
      <c r="C4858" s="1"/>
      <c r="D4858" s="1"/>
      <c r="E4858" s="1"/>
      <c r="F4858" s="1"/>
      <c r="G4858" s="1"/>
      <c r="H4858" s="1"/>
      <c r="I4858" s="1"/>
      <c r="J4858" s="1"/>
    </row>
    <row r="4859" ht="15.75" customHeight="1">
      <c r="A4859" s="1"/>
      <c r="B4859" s="1"/>
      <c r="C4859" s="1"/>
      <c r="D4859" s="1"/>
      <c r="E4859" s="1"/>
      <c r="F4859" s="1"/>
      <c r="G4859" s="1"/>
      <c r="H4859" s="1"/>
      <c r="I4859" s="1"/>
      <c r="J4859" s="1"/>
    </row>
    <row r="4860" ht="15.75" customHeight="1">
      <c r="A4860" s="1"/>
      <c r="B4860" s="1"/>
      <c r="C4860" s="1"/>
      <c r="D4860" s="1"/>
      <c r="E4860" s="1"/>
      <c r="F4860" s="1"/>
      <c r="G4860" s="1"/>
      <c r="H4860" s="1"/>
      <c r="I4860" s="1"/>
      <c r="J4860" s="1"/>
    </row>
    <row r="4861" ht="15.75" customHeight="1">
      <c r="A4861" s="1"/>
      <c r="B4861" s="1"/>
      <c r="C4861" s="1"/>
      <c r="D4861" s="1"/>
      <c r="E4861" s="1"/>
      <c r="F4861" s="1"/>
      <c r="G4861" s="1"/>
      <c r="H4861" s="1"/>
      <c r="I4861" s="1"/>
      <c r="J4861" s="1"/>
    </row>
    <row r="4862" ht="15.75" customHeight="1">
      <c r="A4862" s="1"/>
      <c r="B4862" s="1"/>
      <c r="C4862" s="1"/>
      <c r="D4862" s="1"/>
      <c r="E4862" s="1"/>
      <c r="F4862" s="1"/>
      <c r="G4862" s="1"/>
      <c r="H4862" s="1"/>
      <c r="I4862" s="1"/>
      <c r="J4862" s="1"/>
    </row>
    <row r="4863" ht="15.75" customHeight="1">
      <c r="A4863" s="1"/>
      <c r="B4863" s="1"/>
      <c r="C4863" s="1"/>
      <c r="D4863" s="1"/>
      <c r="E4863" s="1"/>
      <c r="F4863" s="1"/>
      <c r="G4863" s="1"/>
      <c r="H4863" s="1"/>
      <c r="I4863" s="1"/>
      <c r="J4863" s="1"/>
    </row>
    <row r="4864" ht="15.75" customHeight="1">
      <c r="A4864" s="1"/>
      <c r="B4864" s="1"/>
      <c r="C4864" s="1"/>
      <c r="D4864" s="1"/>
      <c r="E4864" s="1"/>
      <c r="F4864" s="1"/>
      <c r="G4864" s="1"/>
      <c r="H4864" s="1"/>
      <c r="I4864" s="1"/>
      <c r="J4864" s="1"/>
    </row>
    <row r="4865" ht="15.75" customHeight="1">
      <c r="A4865" s="1"/>
      <c r="B4865" s="1"/>
      <c r="C4865" s="1"/>
      <c r="D4865" s="1"/>
      <c r="E4865" s="1"/>
      <c r="F4865" s="1"/>
      <c r="G4865" s="1"/>
      <c r="H4865" s="1"/>
      <c r="I4865" s="1"/>
      <c r="J4865" s="1"/>
    </row>
    <row r="4866" ht="15.75" customHeight="1">
      <c r="A4866" s="1"/>
      <c r="B4866" s="1"/>
      <c r="C4866" s="1"/>
      <c r="D4866" s="1"/>
      <c r="E4866" s="1"/>
      <c r="F4866" s="1"/>
      <c r="G4866" s="1"/>
      <c r="H4866" s="1"/>
      <c r="I4866" s="1"/>
      <c r="J4866" s="1"/>
    </row>
    <row r="4867" ht="15.75" customHeight="1">
      <c r="A4867" s="1"/>
      <c r="B4867" s="1"/>
      <c r="C4867" s="1"/>
      <c r="D4867" s="1"/>
      <c r="E4867" s="1"/>
      <c r="F4867" s="1"/>
      <c r="G4867" s="1"/>
      <c r="H4867" s="1"/>
      <c r="I4867" s="1"/>
      <c r="J4867" s="1"/>
    </row>
    <row r="4868" ht="15.75" customHeight="1">
      <c r="A4868" s="1"/>
      <c r="B4868" s="1"/>
      <c r="C4868" s="1"/>
      <c r="D4868" s="1"/>
      <c r="E4868" s="1"/>
      <c r="F4868" s="1"/>
      <c r="G4868" s="1"/>
      <c r="H4868" s="1"/>
      <c r="I4868" s="1"/>
      <c r="J4868" s="1"/>
    </row>
    <row r="4869" ht="15.75" customHeight="1">
      <c r="A4869" s="1"/>
      <c r="B4869" s="1"/>
      <c r="C4869" s="1"/>
      <c r="D4869" s="1"/>
      <c r="E4869" s="1"/>
      <c r="F4869" s="1"/>
      <c r="G4869" s="1"/>
      <c r="H4869" s="1"/>
      <c r="I4869" s="1"/>
      <c r="J4869" s="1"/>
    </row>
    <row r="4870" ht="15.75" customHeight="1">
      <c r="A4870" s="1"/>
      <c r="B4870" s="1"/>
      <c r="C4870" s="1"/>
      <c r="D4870" s="1"/>
      <c r="E4870" s="1"/>
      <c r="F4870" s="1"/>
      <c r="G4870" s="1"/>
      <c r="H4870" s="1"/>
      <c r="I4870" s="1"/>
      <c r="J4870" s="1"/>
    </row>
    <row r="4871" ht="15.75" customHeight="1">
      <c r="A4871" s="1"/>
      <c r="B4871" s="1"/>
      <c r="C4871" s="1"/>
      <c r="D4871" s="1"/>
      <c r="E4871" s="1"/>
      <c r="F4871" s="1"/>
      <c r="G4871" s="1"/>
      <c r="H4871" s="1"/>
      <c r="I4871" s="1"/>
      <c r="J4871" s="1"/>
    </row>
    <row r="4872" ht="15.75" customHeight="1">
      <c r="A4872" s="1"/>
      <c r="B4872" s="1"/>
      <c r="C4872" s="1"/>
      <c r="D4872" s="1"/>
      <c r="E4872" s="1"/>
      <c r="F4872" s="1"/>
      <c r="G4872" s="1"/>
      <c r="H4872" s="1"/>
      <c r="I4872" s="1"/>
      <c r="J4872" s="1"/>
    </row>
    <row r="4873" ht="15.75" customHeight="1">
      <c r="A4873" s="1"/>
      <c r="B4873" s="1"/>
      <c r="C4873" s="1"/>
      <c r="D4873" s="1"/>
      <c r="E4873" s="1"/>
      <c r="F4873" s="1"/>
      <c r="G4873" s="1"/>
      <c r="H4873" s="1"/>
      <c r="I4873" s="1"/>
      <c r="J4873" s="1"/>
    </row>
    <row r="4874" ht="15.75" customHeight="1">
      <c r="A4874" s="1"/>
      <c r="B4874" s="1"/>
      <c r="C4874" s="1"/>
      <c r="D4874" s="1"/>
      <c r="E4874" s="1"/>
      <c r="F4874" s="1"/>
      <c r="G4874" s="1"/>
      <c r="H4874" s="1"/>
      <c r="I4874" s="1"/>
      <c r="J4874" s="1"/>
    </row>
    <row r="4875" ht="15.75" customHeight="1">
      <c r="A4875" s="1"/>
      <c r="B4875" s="1"/>
      <c r="C4875" s="1"/>
      <c r="D4875" s="1"/>
      <c r="E4875" s="1"/>
      <c r="F4875" s="1"/>
      <c r="G4875" s="1"/>
      <c r="H4875" s="1"/>
      <c r="I4875" s="1"/>
      <c r="J4875" s="1"/>
    </row>
    <row r="4876" ht="15.75" customHeight="1">
      <c r="A4876" s="1"/>
      <c r="B4876" s="1"/>
      <c r="C4876" s="1"/>
      <c r="D4876" s="1"/>
      <c r="E4876" s="1"/>
      <c r="F4876" s="1"/>
      <c r="G4876" s="1"/>
      <c r="H4876" s="1"/>
      <c r="I4876" s="1"/>
      <c r="J4876" s="1"/>
    </row>
    <row r="4877" ht="15.75" customHeight="1">
      <c r="A4877" s="1"/>
      <c r="B4877" s="1"/>
      <c r="C4877" s="1"/>
      <c r="D4877" s="1"/>
      <c r="E4877" s="1"/>
      <c r="F4877" s="1"/>
      <c r="G4877" s="1"/>
      <c r="H4877" s="1"/>
      <c r="I4877" s="1"/>
      <c r="J4877" s="1"/>
    </row>
    <row r="4878" ht="15.75" customHeight="1">
      <c r="A4878" s="1"/>
      <c r="B4878" s="1"/>
      <c r="C4878" s="1"/>
      <c r="D4878" s="1"/>
      <c r="E4878" s="1"/>
      <c r="F4878" s="1"/>
      <c r="G4878" s="1"/>
      <c r="H4878" s="1"/>
      <c r="I4878" s="1"/>
      <c r="J4878" s="1"/>
    </row>
    <row r="4879" ht="15.75" customHeight="1">
      <c r="A4879" s="1"/>
      <c r="B4879" s="1"/>
      <c r="C4879" s="1"/>
      <c r="D4879" s="1"/>
      <c r="E4879" s="1"/>
      <c r="F4879" s="1"/>
      <c r="G4879" s="1"/>
      <c r="H4879" s="1"/>
      <c r="I4879" s="1"/>
      <c r="J4879" s="1"/>
    </row>
    <row r="4880" ht="15.75" customHeight="1">
      <c r="A4880" s="1"/>
      <c r="B4880" s="1"/>
      <c r="C4880" s="1"/>
      <c r="D4880" s="1"/>
      <c r="E4880" s="1"/>
      <c r="F4880" s="1"/>
      <c r="G4880" s="1"/>
      <c r="H4880" s="1"/>
      <c r="I4880" s="1"/>
      <c r="J4880" s="1"/>
    </row>
    <row r="4881" ht="15.75" customHeight="1">
      <c r="A4881" s="1"/>
      <c r="B4881" s="1"/>
      <c r="C4881" s="1"/>
      <c r="D4881" s="1"/>
      <c r="E4881" s="1"/>
      <c r="F4881" s="1"/>
      <c r="G4881" s="1"/>
      <c r="H4881" s="1"/>
      <c r="I4881" s="1"/>
      <c r="J4881" s="1"/>
    </row>
    <row r="4882" ht="15.75" customHeight="1">
      <c r="A4882" s="1"/>
      <c r="B4882" s="1"/>
      <c r="C4882" s="1"/>
      <c r="D4882" s="1"/>
      <c r="E4882" s="1"/>
      <c r="F4882" s="1"/>
      <c r="G4882" s="1"/>
      <c r="H4882" s="1"/>
      <c r="I4882" s="1"/>
      <c r="J4882" s="1"/>
    </row>
    <row r="4883" ht="15.75" customHeight="1">
      <c r="A4883" s="1"/>
      <c r="B4883" s="1"/>
      <c r="C4883" s="1"/>
      <c r="D4883" s="1"/>
      <c r="E4883" s="1"/>
      <c r="F4883" s="1"/>
      <c r="G4883" s="1"/>
      <c r="H4883" s="1"/>
      <c r="I4883" s="1"/>
      <c r="J4883" s="1"/>
    </row>
    <row r="4884" ht="15.75" customHeight="1">
      <c r="A4884" s="1"/>
      <c r="B4884" s="1"/>
      <c r="C4884" s="1"/>
      <c r="D4884" s="1"/>
      <c r="E4884" s="1"/>
      <c r="F4884" s="1"/>
      <c r="G4884" s="1"/>
      <c r="H4884" s="1"/>
      <c r="I4884" s="1"/>
      <c r="J4884" s="1"/>
    </row>
    <row r="4885" ht="15.75" customHeight="1">
      <c r="A4885" s="1"/>
      <c r="B4885" s="1"/>
      <c r="C4885" s="1"/>
      <c r="D4885" s="1"/>
      <c r="E4885" s="1"/>
      <c r="F4885" s="1"/>
      <c r="G4885" s="1"/>
      <c r="H4885" s="1"/>
      <c r="I4885" s="1"/>
      <c r="J4885" s="1"/>
    </row>
    <row r="4886" ht="15.75" customHeight="1">
      <c r="A4886" s="1"/>
      <c r="B4886" s="1"/>
      <c r="C4886" s="1"/>
      <c r="D4886" s="1"/>
      <c r="E4886" s="1"/>
      <c r="F4886" s="1"/>
      <c r="G4886" s="1"/>
      <c r="H4886" s="1"/>
      <c r="I4886" s="1"/>
      <c r="J4886" s="1"/>
    </row>
    <row r="4887" ht="15.75" customHeight="1">
      <c r="A4887" s="1"/>
      <c r="B4887" s="1"/>
      <c r="C4887" s="1"/>
      <c r="D4887" s="1"/>
      <c r="E4887" s="1"/>
      <c r="F4887" s="1"/>
      <c r="G4887" s="1"/>
      <c r="H4887" s="1"/>
      <c r="I4887" s="1"/>
      <c r="J4887" s="1"/>
    </row>
    <row r="4888" ht="15.75" customHeight="1">
      <c r="A4888" s="1"/>
      <c r="B4888" s="1"/>
      <c r="C4888" s="1"/>
      <c r="D4888" s="1"/>
      <c r="E4888" s="1"/>
      <c r="F4888" s="1"/>
      <c r="G4888" s="1"/>
      <c r="H4888" s="1"/>
      <c r="I4888" s="1"/>
      <c r="J4888" s="1"/>
    </row>
    <row r="4889" ht="15.75" customHeight="1">
      <c r="A4889" s="1"/>
      <c r="B4889" s="1"/>
      <c r="C4889" s="1"/>
      <c r="D4889" s="1"/>
      <c r="E4889" s="1"/>
      <c r="F4889" s="1"/>
      <c r="G4889" s="1"/>
      <c r="H4889" s="1"/>
      <c r="I4889" s="1"/>
      <c r="J4889" s="1"/>
    </row>
    <row r="4890" ht="15.75" customHeight="1">
      <c r="A4890" s="1"/>
      <c r="B4890" s="1"/>
      <c r="C4890" s="1"/>
      <c r="D4890" s="1"/>
      <c r="E4890" s="1"/>
      <c r="F4890" s="1"/>
      <c r="G4890" s="1"/>
      <c r="H4890" s="1"/>
      <c r="I4890" s="1"/>
      <c r="J4890" s="1"/>
    </row>
    <row r="4891" ht="15.75" customHeight="1">
      <c r="A4891" s="1"/>
      <c r="B4891" s="1"/>
      <c r="C4891" s="1"/>
      <c r="D4891" s="1"/>
      <c r="E4891" s="1"/>
      <c r="F4891" s="1"/>
      <c r="G4891" s="1"/>
      <c r="H4891" s="1"/>
      <c r="I4891" s="1"/>
      <c r="J4891" s="1"/>
    </row>
    <row r="4892" ht="15.75" customHeight="1">
      <c r="A4892" s="1"/>
      <c r="B4892" s="1"/>
      <c r="C4892" s="1"/>
      <c r="D4892" s="1"/>
      <c r="E4892" s="1"/>
      <c r="F4892" s="1"/>
      <c r="G4892" s="1"/>
      <c r="H4892" s="1"/>
      <c r="I4892" s="1"/>
      <c r="J4892" s="1"/>
    </row>
    <row r="4893" ht="15.75" customHeight="1">
      <c r="A4893" s="1"/>
      <c r="B4893" s="1"/>
      <c r="C4893" s="1"/>
      <c r="D4893" s="1"/>
      <c r="E4893" s="1"/>
      <c r="F4893" s="1"/>
      <c r="G4893" s="1"/>
      <c r="H4893" s="1"/>
      <c r="I4893" s="1"/>
      <c r="J4893" s="1"/>
    </row>
    <row r="4894" ht="15.75" customHeight="1">
      <c r="A4894" s="1"/>
      <c r="B4894" s="1"/>
      <c r="C4894" s="1"/>
      <c r="D4894" s="1"/>
      <c r="E4894" s="1"/>
      <c r="F4894" s="1"/>
      <c r="G4894" s="1"/>
      <c r="H4894" s="1"/>
      <c r="I4894" s="1"/>
      <c r="J4894" s="1"/>
    </row>
    <row r="4895" ht="15.75" customHeight="1">
      <c r="A4895" s="1"/>
      <c r="B4895" s="1"/>
      <c r="C4895" s="1"/>
      <c r="D4895" s="1"/>
      <c r="E4895" s="1"/>
      <c r="F4895" s="1"/>
      <c r="G4895" s="1"/>
      <c r="H4895" s="1"/>
      <c r="I4895" s="1"/>
      <c r="J4895" s="1"/>
    </row>
    <row r="4896" ht="15.75" customHeight="1">
      <c r="A4896" s="1"/>
      <c r="B4896" s="1"/>
      <c r="C4896" s="1"/>
      <c r="D4896" s="1"/>
      <c r="E4896" s="1"/>
      <c r="F4896" s="1"/>
      <c r="G4896" s="1"/>
      <c r="H4896" s="1"/>
      <c r="I4896" s="1"/>
      <c r="J4896" s="1"/>
    </row>
    <row r="4897" ht="15.75" customHeight="1">
      <c r="A4897" s="1"/>
      <c r="B4897" s="1"/>
      <c r="C4897" s="1"/>
      <c r="D4897" s="1"/>
      <c r="E4897" s="1"/>
      <c r="F4897" s="1"/>
      <c r="G4897" s="1"/>
      <c r="H4897" s="1"/>
      <c r="I4897" s="1"/>
      <c r="J4897" s="1"/>
    </row>
    <row r="4898" ht="15.75" customHeight="1">
      <c r="A4898" s="1"/>
      <c r="B4898" s="1"/>
      <c r="C4898" s="1"/>
      <c r="D4898" s="1"/>
      <c r="E4898" s="1"/>
      <c r="F4898" s="1"/>
      <c r="G4898" s="1"/>
      <c r="H4898" s="1"/>
      <c r="I4898" s="1"/>
      <c r="J4898" s="1"/>
    </row>
    <row r="4899" ht="15.75" customHeight="1">
      <c r="A4899" s="1"/>
      <c r="B4899" s="1"/>
      <c r="C4899" s="1"/>
      <c r="D4899" s="1"/>
      <c r="E4899" s="1"/>
      <c r="F4899" s="1"/>
      <c r="G4899" s="1"/>
      <c r="H4899" s="1"/>
      <c r="I4899" s="1"/>
      <c r="J4899" s="1"/>
    </row>
    <row r="4900" ht="15.75" customHeight="1">
      <c r="A4900" s="1"/>
      <c r="B4900" s="1"/>
      <c r="C4900" s="1"/>
      <c r="D4900" s="1"/>
      <c r="E4900" s="1"/>
      <c r="F4900" s="1"/>
      <c r="G4900" s="1"/>
      <c r="H4900" s="1"/>
      <c r="I4900" s="1"/>
      <c r="J4900" s="1"/>
    </row>
    <row r="4901" ht="15.75" customHeight="1">
      <c r="A4901" s="1"/>
      <c r="B4901" s="1"/>
      <c r="C4901" s="1"/>
      <c r="D4901" s="1"/>
      <c r="E4901" s="1"/>
      <c r="F4901" s="1"/>
      <c r="G4901" s="1"/>
      <c r="H4901" s="1"/>
      <c r="I4901" s="1"/>
      <c r="J4901" s="1"/>
    </row>
    <row r="4902" ht="15.75" customHeight="1">
      <c r="A4902" s="1"/>
      <c r="B4902" s="1"/>
      <c r="C4902" s="1"/>
      <c r="D4902" s="1"/>
      <c r="E4902" s="1"/>
      <c r="F4902" s="1"/>
      <c r="G4902" s="1"/>
      <c r="H4902" s="1"/>
      <c r="I4902" s="1"/>
      <c r="J4902" s="1"/>
    </row>
    <row r="4903" ht="15.75" customHeight="1">
      <c r="A4903" s="1"/>
      <c r="B4903" s="1"/>
      <c r="C4903" s="1"/>
      <c r="D4903" s="1"/>
      <c r="E4903" s="1"/>
      <c r="F4903" s="1"/>
      <c r="G4903" s="1"/>
      <c r="H4903" s="1"/>
      <c r="I4903" s="1"/>
      <c r="J4903" s="1"/>
    </row>
    <row r="4904" ht="15.75" customHeight="1">
      <c r="A4904" s="1"/>
      <c r="B4904" s="1"/>
      <c r="C4904" s="1"/>
      <c r="D4904" s="1"/>
      <c r="E4904" s="1"/>
      <c r="F4904" s="1"/>
      <c r="G4904" s="1"/>
      <c r="H4904" s="1"/>
      <c r="I4904" s="1"/>
      <c r="J4904" s="1"/>
    </row>
    <row r="4905" ht="15.75" customHeight="1">
      <c r="A4905" s="1"/>
      <c r="B4905" s="1"/>
      <c r="C4905" s="1"/>
      <c r="D4905" s="1"/>
      <c r="E4905" s="1"/>
      <c r="F4905" s="1"/>
      <c r="G4905" s="1"/>
      <c r="H4905" s="1"/>
      <c r="I4905" s="1"/>
      <c r="J4905" s="1"/>
    </row>
    <row r="4906" ht="15.75" customHeight="1">
      <c r="A4906" s="1"/>
      <c r="B4906" s="1"/>
      <c r="C4906" s="1"/>
      <c r="D4906" s="1"/>
      <c r="E4906" s="1"/>
      <c r="F4906" s="1"/>
      <c r="G4906" s="1"/>
      <c r="H4906" s="1"/>
      <c r="I4906" s="1"/>
      <c r="J4906" s="1"/>
    </row>
    <row r="4907" ht="15.75" customHeight="1">
      <c r="A4907" s="1"/>
      <c r="B4907" s="1"/>
      <c r="C4907" s="1"/>
      <c r="D4907" s="1"/>
      <c r="E4907" s="1"/>
      <c r="F4907" s="1"/>
      <c r="G4907" s="1"/>
      <c r="H4907" s="1"/>
      <c r="I4907" s="1"/>
      <c r="J4907" s="1"/>
    </row>
    <row r="4908" ht="15.75" customHeight="1">
      <c r="A4908" s="1"/>
      <c r="B4908" s="1"/>
      <c r="C4908" s="1"/>
      <c r="D4908" s="1"/>
      <c r="E4908" s="1"/>
      <c r="F4908" s="1"/>
      <c r="G4908" s="1"/>
      <c r="H4908" s="1"/>
      <c r="I4908" s="1"/>
      <c r="J4908" s="1"/>
    </row>
    <row r="4909" ht="15.75" customHeight="1">
      <c r="A4909" s="1"/>
      <c r="B4909" s="1"/>
      <c r="C4909" s="1"/>
      <c r="D4909" s="1"/>
      <c r="E4909" s="1"/>
      <c r="F4909" s="1"/>
      <c r="G4909" s="1"/>
      <c r="H4909" s="1"/>
      <c r="I4909" s="1"/>
      <c r="J4909" s="1"/>
    </row>
    <row r="4910" ht="15.75" customHeight="1">
      <c r="A4910" s="1"/>
      <c r="B4910" s="1"/>
      <c r="C4910" s="1"/>
      <c r="D4910" s="1"/>
      <c r="E4910" s="1"/>
      <c r="F4910" s="1"/>
      <c r="G4910" s="1"/>
      <c r="H4910" s="1"/>
      <c r="I4910" s="1"/>
      <c r="J4910" s="1"/>
    </row>
    <row r="4911" ht="15.75" customHeight="1">
      <c r="A4911" s="1"/>
      <c r="B4911" s="1"/>
      <c r="C4911" s="1"/>
      <c r="D4911" s="1"/>
      <c r="E4911" s="1"/>
      <c r="F4911" s="1"/>
      <c r="G4911" s="1"/>
      <c r="H4911" s="1"/>
      <c r="I4911" s="1"/>
      <c r="J4911" s="1"/>
    </row>
    <row r="4912" ht="15.75" customHeight="1">
      <c r="A4912" s="1"/>
      <c r="B4912" s="1"/>
      <c r="C4912" s="1"/>
      <c r="D4912" s="1"/>
      <c r="E4912" s="1"/>
      <c r="F4912" s="1"/>
      <c r="G4912" s="1"/>
      <c r="H4912" s="1"/>
      <c r="I4912" s="1"/>
      <c r="J4912" s="1"/>
    </row>
    <row r="4913" ht="15.75" customHeight="1">
      <c r="A4913" s="1"/>
      <c r="B4913" s="1"/>
      <c r="C4913" s="1"/>
      <c r="D4913" s="1"/>
      <c r="E4913" s="1"/>
      <c r="F4913" s="1"/>
      <c r="G4913" s="1"/>
      <c r="H4913" s="1"/>
      <c r="I4913" s="1"/>
      <c r="J4913" s="1"/>
    </row>
    <row r="4914" ht="15.75" customHeight="1">
      <c r="A4914" s="1"/>
      <c r="B4914" s="1"/>
      <c r="C4914" s="1"/>
      <c r="D4914" s="1"/>
      <c r="E4914" s="1"/>
      <c r="F4914" s="1"/>
      <c r="G4914" s="1"/>
      <c r="H4914" s="1"/>
      <c r="I4914" s="1"/>
      <c r="J4914" s="1"/>
    </row>
    <row r="4915" ht="15.75" customHeight="1">
      <c r="A4915" s="1"/>
      <c r="B4915" s="1"/>
      <c r="C4915" s="1"/>
      <c r="D4915" s="1"/>
      <c r="E4915" s="1"/>
      <c r="F4915" s="1"/>
      <c r="G4915" s="1"/>
      <c r="H4915" s="1"/>
      <c r="I4915" s="1"/>
      <c r="J4915" s="1"/>
    </row>
    <row r="4916" ht="15.75" customHeight="1">
      <c r="A4916" s="1"/>
      <c r="B4916" s="1"/>
      <c r="C4916" s="1"/>
      <c r="D4916" s="1"/>
      <c r="E4916" s="1"/>
      <c r="F4916" s="1"/>
      <c r="G4916" s="1"/>
      <c r="H4916" s="1"/>
      <c r="I4916" s="1"/>
      <c r="J4916" s="1"/>
    </row>
    <row r="4917" ht="15.75" customHeight="1">
      <c r="A4917" s="1"/>
      <c r="B4917" s="1"/>
      <c r="C4917" s="1"/>
      <c r="D4917" s="1"/>
      <c r="E4917" s="1"/>
      <c r="F4917" s="1"/>
      <c r="G4917" s="1"/>
      <c r="H4917" s="1"/>
      <c r="I4917" s="1"/>
      <c r="J4917" s="1"/>
    </row>
    <row r="4918" ht="15.75" customHeight="1">
      <c r="A4918" s="1"/>
      <c r="B4918" s="1"/>
      <c r="C4918" s="1"/>
      <c r="D4918" s="1"/>
      <c r="E4918" s="1"/>
      <c r="F4918" s="1"/>
      <c r="G4918" s="1"/>
      <c r="H4918" s="1"/>
      <c r="I4918" s="1"/>
      <c r="J4918" s="1"/>
    </row>
    <row r="4919" ht="15.75" customHeight="1">
      <c r="A4919" s="1"/>
      <c r="B4919" s="1"/>
      <c r="C4919" s="1"/>
      <c r="D4919" s="1"/>
      <c r="E4919" s="1"/>
      <c r="F4919" s="1"/>
      <c r="G4919" s="1"/>
      <c r="H4919" s="1"/>
      <c r="I4919" s="1"/>
      <c r="J4919" s="1"/>
    </row>
    <row r="4920" ht="15.75" customHeight="1">
      <c r="A4920" s="1"/>
      <c r="B4920" s="1"/>
      <c r="C4920" s="1"/>
      <c r="D4920" s="1"/>
      <c r="E4920" s="1"/>
      <c r="F4920" s="1"/>
      <c r="G4920" s="1"/>
      <c r="H4920" s="1"/>
      <c r="I4920" s="1"/>
      <c r="J4920" s="1"/>
    </row>
    <row r="4921" ht="15.75" customHeight="1">
      <c r="A4921" s="1"/>
      <c r="B4921" s="1"/>
      <c r="C4921" s="1"/>
      <c r="D4921" s="1"/>
      <c r="E4921" s="1"/>
      <c r="F4921" s="1"/>
      <c r="G4921" s="1"/>
      <c r="H4921" s="1"/>
      <c r="I4921" s="1"/>
      <c r="J4921" s="1"/>
    </row>
    <row r="4922" ht="15.75" customHeight="1">
      <c r="A4922" s="1"/>
      <c r="B4922" s="1"/>
      <c r="C4922" s="1"/>
      <c r="D4922" s="1"/>
      <c r="E4922" s="1"/>
      <c r="F4922" s="1"/>
      <c r="G4922" s="1"/>
      <c r="H4922" s="1"/>
      <c r="I4922" s="1"/>
      <c r="J4922" s="1"/>
    </row>
    <row r="4923" ht="15.75" customHeight="1">
      <c r="A4923" s="1"/>
      <c r="B4923" s="1"/>
      <c r="C4923" s="1"/>
      <c r="D4923" s="1"/>
      <c r="E4923" s="1"/>
      <c r="F4923" s="1"/>
      <c r="G4923" s="1"/>
      <c r="H4923" s="1"/>
      <c r="I4923" s="1"/>
      <c r="J4923" s="1"/>
    </row>
    <row r="4924" ht="15.75" customHeight="1">
      <c r="A4924" s="1"/>
      <c r="B4924" s="1"/>
      <c r="C4924" s="1"/>
      <c r="D4924" s="1"/>
      <c r="E4924" s="1"/>
      <c r="F4924" s="1"/>
      <c r="G4924" s="1"/>
      <c r="H4924" s="1"/>
      <c r="I4924" s="1"/>
      <c r="J4924" s="1"/>
    </row>
    <row r="4925" ht="15.75" customHeight="1">
      <c r="A4925" s="1"/>
      <c r="B4925" s="1"/>
      <c r="C4925" s="1"/>
      <c r="D4925" s="1"/>
      <c r="E4925" s="1"/>
      <c r="F4925" s="1"/>
      <c r="G4925" s="1"/>
      <c r="H4925" s="1"/>
      <c r="I4925" s="1"/>
      <c r="J4925" s="1"/>
    </row>
    <row r="4926" ht="15.75" customHeight="1">
      <c r="A4926" s="1"/>
      <c r="B4926" s="1"/>
      <c r="C4926" s="1"/>
      <c r="D4926" s="1"/>
      <c r="E4926" s="1"/>
      <c r="F4926" s="1"/>
      <c r="G4926" s="1"/>
      <c r="H4926" s="1"/>
      <c r="I4926" s="1"/>
      <c r="J4926" s="1"/>
    </row>
    <row r="4927" ht="15.75" customHeight="1">
      <c r="A4927" s="1"/>
      <c r="B4927" s="1"/>
      <c r="C4927" s="1"/>
      <c r="D4927" s="1"/>
      <c r="E4927" s="1"/>
      <c r="F4927" s="1"/>
      <c r="G4927" s="1"/>
      <c r="H4927" s="1"/>
      <c r="I4927" s="1"/>
      <c r="J4927" s="1"/>
    </row>
    <row r="4928" ht="15.75" customHeight="1">
      <c r="A4928" s="1"/>
      <c r="B4928" s="1"/>
      <c r="C4928" s="1"/>
      <c r="D4928" s="1"/>
      <c r="E4928" s="1"/>
      <c r="F4928" s="1"/>
      <c r="G4928" s="1"/>
      <c r="H4928" s="1"/>
      <c r="I4928" s="1"/>
      <c r="J4928" s="1"/>
    </row>
    <row r="4929" ht="15.75" customHeight="1">
      <c r="A4929" s="1"/>
      <c r="B4929" s="1"/>
      <c r="C4929" s="1"/>
      <c r="D4929" s="1"/>
      <c r="E4929" s="1"/>
      <c r="F4929" s="1"/>
      <c r="G4929" s="1"/>
      <c r="H4929" s="1"/>
      <c r="I4929" s="1"/>
      <c r="J4929" s="1"/>
    </row>
    <row r="4930" ht="15.75" customHeight="1">
      <c r="A4930" s="1"/>
      <c r="B4930" s="1"/>
      <c r="C4930" s="1"/>
      <c r="D4930" s="1"/>
      <c r="E4930" s="1"/>
      <c r="F4930" s="1"/>
      <c r="G4930" s="1"/>
      <c r="H4930" s="1"/>
      <c r="I4930" s="1"/>
      <c r="J4930" s="1"/>
    </row>
    <row r="4931" ht="15.75" customHeight="1">
      <c r="A4931" s="1"/>
      <c r="B4931" s="1"/>
      <c r="C4931" s="1"/>
      <c r="D4931" s="1"/>
      <c r="E4931" s="1"/>
      <c r="F4931" s="1"/>
      <c r="G4931" s="1"/>
      <c r="H4931" s="1"/>
      <c r="I4931" s="1"/>
      <c r="J4931" s="1"/>
    </row>
    <row r="4932" ht="15.75" customHeight="1">
      <c r="A4932" s="1"/>
      <c r="B4932" s="1"/>
      <c r="C4932" s="1"/>
      <c r="D4932" s="1"/>
      <c r="E4932" s="1"/>
      <c r="F4932" s="1"/>
      <c r="G4932" s="1"/>
      <c r="H4932" s="1"/>
      <c r="I4932" s="1"/>
      <c r="J4932" s="1"/>
    </row>
    <row r="4933" ht="15.75" customHeight="1">
      <c r="A4933" s="1"/>
      <c r="B4933" s="1"/>
      <c r="C4933" s="1"/>
      <c r="D4933" s="1"/>
      <c r="E4933" s="1"/>
      <c r="F4933" s="1"/>
      <c r="G4933" s="1"/>
      <c r="H4933" s="1"/>
      <c r="I4933" s="1"/>
      <c r="J4933" s="1"/>
    </row>
    <row r="4934" ht="15.75" customHeight="1">
      <c r="A4934" s="1"/>
      <c r="B4934" s="1"/>
      <c r="C4934" s="1"/>
      <c r="D4934" s="1"/>
      <c r="E4934" s="1"/>
      <c r="F4934" s="1"/>
      <c r="G4934" s="1"/>
      <c r="H4934" s="1"/>
      <c r="I4934" s="1"/>
      <c r="J4934" s="1"/>
    </row>
    <row r="4935" ht="15.75" customHeight="1">
      <c r="A4935" s="1"/>
      <c r="B4935" s="1"/>
      <c r="C4935" s="1"/>
      <c r="D4935" s="1"/>
      <c r="E4935" s="1"/>
      <c r="F4935" s="1"/>
      <c r="G4935" s="1"/>
      <c r="H4935" s="1"/>
      <c r="I4935" s="1"/>
      <c r="J4935" s="1"/>
    </row>
    <row r="4936" ht="15.75" customHeight="1">
      <c r="A4936" s="1"/>
      <c r="B4936" s="1"/>
      <c r="C4936" s="1"/>
      <c r="D4936" s="1"/>
      <c r="E4936" s="1"/>
      <c r="F4936" s="1"/>
      <c r="G4936" s="1"/>
      <c r="H4936" s="1"/>
      <c r="I4936" s="1"/>
      <c r="J4936" s="1"/>
    </row>
    <row r="4937" ht="15.75" customHeight="1">
      <c r="A4937" s="1"/>
      <c r="B4937" s="1"/>
      <c r="C4937" s="1"/>
      <c r="D4937" s="1"/>
      <c r="E4937" s="1"/>
      <c r="F4937" s="1"/>
      <c r="G4937" s="1"/>
      <c r="H4937" s="1"/>
      <c r="I4937" s="1"/>
      <c r="J4937" s="1"/>
    </row>
    <row r="4938" ht="15.75" customHeight="1">
      <c r="A4938" s="1"/>
      <c r="B4938" s="1"/>
      <c r="C4938" s="1"/>
      <c r="D4938" s="1"/>
      <c r="E4938" s="1"/>
      <c r="F4938" s="1"/>
      <c r="G4938" s="1"/>
      <c r="H4938" s="1"/>
      <c r="I4938" s="1"/>
      <c r="J4938" s="1"/>
    </row>
    <row r="4939" ht="15.75" customHeight="1">
      <c r="A4939" s="1"/>
      <c r="B4939" s="1"/>
      <c r="C4939" s="1"/>
      <c r="D4939" s="1"/>
      <c r="E4939" s="1"/>
      <c r="F4939" s="1"/>
      <c r="G4939" s="1"/>
      <c r="H4939" s="1"/>
      <c r="I4939" s="1"/>
      <c r="J4939" s="1"/>
    </row>
    <row r="4940" ht="15.75" customHeight="1">
      <c r="A4940" s="1"/>
      <c r="B4940" s="1"/>
      <c r="C4940" s="1"/>
      <c r="D4940" s="1"/>
      <c r="E4940" s="1"/>
      <c r="F4940" s="1"/>
      <c r="G4940" s="1"/>
      <c r="H4940" s="1"/>
      <c r="I4940" s="1"/>
      <c r="J4940" s="1"/>
    </row>
    <row r="4941" ht="15.75" customHeight="1">
      <c r="A4941" s="1"/>
      <c r="B4941" s="1"/>
      <c r="C4941" s="1"/>
      <c r="D4941" s="1"/>
      <c r="E4941" s="1"/>
      <c r="F4941" s="1"/>
      <c r="G4941" s="1"/>
      <c r="H4941" s="1"/>
      <c r="I4941" s="1"/>
      <c r="J4941" s="1"/>
    </row>
    <row r="4942" ht="15.75" customHeight="1">
      <c r="A4942" s="1"/>
      <c r="B4942" s="1"/>
      <c r="C4942" s="1"/>
      <c r="D4942" s="1"/>
      <c r="E4942" s="1"/>
      <c r="F4942" s="1"/>
      <c r="G4942" s="1"/>
      <c r="H4942" s="1"/>
      <c r="I4942" s="1"/>
      <c r="J4942" s="1"/>
    </row>
    <row r="4943" ht="15.75" customHeight="1">
      <c r="A4943" s="1"/>
      <c r="B4943" s="1"/>
      <c r="C4943" s="1"/>
      <c r="D4943" s="1"/>
      <c r="E4943" s="1"/>
      <c r="F4943" s="1"/>
      <c r="G4943" s="1"/>
      <c r="H4943" s="1"/>
      <c r="I4943" s="1"/>
      <c r="J4943" s="1"/>
    </row>
    <row r="4944" ht="15.75" customHeight="1">
      <c r="A4944" s="1"/>
      <c r="B4944" s="1"/>
      <c r="C4944" s="1"/>
      <c r="D4944" s="1"/>
      <c r="E4944" s="1"/>
      <c r="F4944" s="1"/>
      <c r="G4944" s="1"/>
      <c r="H4944" s="1"/>
      <c r="I4944" s="1"/>
      <c r="J4944" s="1"/>
    </row>
    <row r="4945" ht="15.75" customHeight="1">
      <c r="A4945" s="1"/>
      <c r="B4945" s="1"/>
      <c r="C4945" s="1"/>
      <c r="D4945" s="1"/>
      <c r="E4945" s="1"/>
      <c r="F4945" s="1"/>
      <c r="G4945" s="1"/>
      <c r="H4945" s="1"/>
      <c r="I4945" s="1"/>
      <c r="J4945" s="1"/>
    </row>
    <row r="4946" ht="15.75" customHeight="1">
      <c r="A4946" s="1"/>
      <c r="B4946" s="1"/>
      <c r="C4946" s="1"/>
      <c r="D4946" s="1"/>
      <c r="E4946" s="1"/>
      <c r="F4946" s="1"/>
      <c r="G4946" s="1"/>
      <c r="H4946" s="1"/>
      <c r="I4946" s="1"/>
      <c r="J4946" s="1"/>
    </row>
    <row r="4947" ht="15.75" customHeight="1">
      <c r="A4947" s="1"/>
      <c r="B4947" s="1"/>
      <c r="C4947" s="1"/>
      <c r="D4947" s="1"/>
      <c r="E4947" s="1"/>
      <c r="F4947" s="1"/>
      <c r="G4947" s="1"/>
      <c r="H4947" s="1"/>
      <c r="I4947" s="1"/>
      <c r="J4947" s="1"/>
    </row>
    <row r="4948" ht="15.75" customHeight="1">
      <c r="A4948" s="1"/>
      <c r="B4948" s="1"/>
      <c r="C4948" s="1"/>
      <c r="D4948" s="1"/>
      <c r="E4948" s="1"/>
      <c r="F4948" s="1"/>
      <c r="G4948" s="1"/>
      <c r="H4948" s="1"/>
      <c r="I4948" s="1"/>
      <c r="J4948" s="1"/>
    </row>
    <row r="4949" ht="15.75" customHeight="1">
      <c r="A4949" s="1"/>
      <c r="B4949" s="1"/>
      <c r="C4949" s="1"/>
      <c r="D4949" s="1"/>
      <c r="E4949" s="1"/>
      <c r="F4949" s="1"/>
      <c r="G4949" s="1"/>
      <c r="H4949" s="1"/>
      <c r="I4949" s="1"/>
      <c r="J4949" s="1"/>
    </row>
    <row r="4950" ht="15.75" customHeight="1">
      <c r="A4950" s="1"/>
      <c r="B4950" s="1"/>
      <c r="C4950" s="1"/>
      <c r="D4950" s="1"/>
      <c r="E4950" s="1"/>
      <c r="F4950" s="1"/>
      <c r="G4950" s="1"/>
      <c r="H4950" s="1"/>
      <c r="I4950" s="1"/>
      <c r="J4950" s="1"/>
    </row>
    <row r="4951" ht="15.75" customHeight="1">
      <c r="A4951" s="1"/>
      <c r="B4951" s="1"/>
      <c r="C4951" s="1"/>
      <c r="D4951" s="1"/>
      <c r="E4951" s="1"/>
      <c r="F4951" s="1"/>
      <c r="G4951" s="1"/>
      <c r="H4951" s="1"/>
      <c r="I4951" s="1"/>
      <c r="J4951" s="1"/>
    </row>
    <row r="4952" ht="15.75" customHeight="1">
      <c r="A4952" s="1"/>
      <c r="B4952" s="1"/>
      <c r="C4952" s="1"/>
      <c r="D4952" s="1"/>
      <c r="E4952" s="1"/>
      <c r="F4952" s="1"/>
      <c r="G4952" s="1"/>
      <c r="H4952" s="1"/>
      <c r="I4952" s="1"/>
      <c r="J4952" s="1"/>
    </row>
    <row r="4953" ht="15.75" customHeight="1">
      <c r="A4953" s="1"/>
      <c r="B4953" s="1"/>
      <c r="C4953" s="1"/>
      <c r="D4953" s="1"/>
      <c r="E4953" s="1"/>
      <c r="F4953" s="1"/>
      <c r="G4953" s="1"/>
      <c r="H4953" s="1"/>
      <c r="I4953" s="1"/>
      <c r="J4953" s="1"/>
    </row>
    <row r="4954" ht="15.75" customHeight="1">
      <c r="A4954" s="1"/>
      <c r="B4954" s="1"/>
      <c r="C4954" s="1"/>
      <c r="D4954" s="1"/>
      <c r="E4954" s="1"/>
      <c r="F4954" s="1"/>
      <c r="G4954" s="1"/>
      <c r="H4954" s="1"/>
      <c r="I4954" s="1"/>
      <c r="J4954" s="1"/>
    </row>
    <row r="4955" ht="15.75" customHeight="1">
      <c r="A4955" s="1"/>
      <c r="B4955" s="1"/>
      <c r="C4955" s="1"/>
      <c r="D4955" s="1"/>
      <c r="E4955" s="1"/>
      <c r="F4955" s="1"/>
      <c r="G4955" s="1"/>
      <c r="H4955" s="1"/>
      <c r="I4955" s="1"/>
      <c r="J4955" s="1"/>
    </row>
    <row r="4956" ht="15.75" customHeight="1">
      <c r="A4956" s="1"/>
      <c r="B4956" s="1"/>
      <c r="C4956" s="1"/>
      <c r="D4956" s="1"/>
      <c r="E4956" s="1"/>
      <c r="F4956" s="1"/>
      <c r="G4956" s="1"/>
      <c r="H4956" s="1"/>
      <c r="I4956" s="1"/>
      <c r="J4956" s="1"/>
    </row>
    <row r="4957" ht="15.75" customHeight="1">
      <c r="A4957" s="1"/>
      <c r="B4957" s="1"/>
      <c r="C4957" s="1"/>
      <c r="D4957" s="1"/>
      <c r="E4957" s="1"/>
      <c r="F4957" s="1"/>
      <c r="G4957" s="1"/>
      <c r="H4957" s="1"/>
      <c r="I4957" s="1"/>
      <c r="J4957" s="1"/>
    </row>
    <row r="4958" ht="15.75" customHeight="1">
      <c r="A4958" s="1"/>
      <c r="B4958" s="1"/>
      <c r="C4958" s="1"/>
      <c r="D4958" s="1"/>
      <c r="E4958" s="1"/>
      <c r="F4958" s="1"/>
      <c r="G4958" s="1"/>
      <c r="H4958" s="1"/>
      <c r="I4958" s="1"/>
      <c r="J4958" s="1"/>
    </row>
    <row r="4959" ht="15.75" customHeight="1">
      <c r="A4959" s="1"/>
      <c r="B4959" s="1"/>
      <c r="C4959" s="1"/>
      <c r="D4959" s="1"/>
      <c r="E4959" s="1"/>
      <c r="F4959" s="1"/>
      <c r="G4959" s="1"/>
      <c r="H4959" s="1"/>
      <c r="I4959" s="1"/>
      <c r="J4959" s="1"/>
    </row>
    <row r="4960" ht="15.75" customHeight="1">
      <c r="A4960" s="1"/>
      <c r="B4960" s="1"/>
      <c r="C4960" s="1"/>
      <c r="D4960" s="1"/>
      <c r="E4960" s="1"/>
      <c r="F4960" s="1"/>
      <c r="G4960" s="1"/>
      <c r="H4960" s="1"/>
      <c r="I4960" s="1"/>
      <c r="J4960" s="1"/>
    </row>
    <row r="4961" ht="15.75" customHeight="1">
      <c r="A4961" s="1"/>
      <c r="B4961" s="1"/>
      <c r="C4961" s="1"/>
      <c r="D4961" s="1"/>
      <c r="E4961" s="1"/>
      <c r="F4961" s="1"/>
      <c r="G4961" s="1"/>
      <c r="H4961" s="1"/>
      <c r="I4961" s="1"/>
      <c r="J4961" s="1"/>
    </row>
    <row r="4962" ht="15.75" customHeight="1">
      <c r="A4962" s="1"/>
      <c r="B4962" s="1"/>
      <c r="C4962" s="1"/>
      <c r="D4962" s="1"/>
      <c r="E4962" s="1"/>
      <c r="F4962" s="1"/>
      <c r="G4962" s="1"/>
      <c r="H4962" s="1"/>
      <c r="I4962" s="1"/>
      <c r="J4962" s="1"/>
    </row>
    <row r="4963" ht="15.75" customHeight="1">
      <c r="A4963" s="1"/>
      <c r="B4963" s="1"/>
      <c r="C4963" s="1"/>
      <c r="D4963" s="1"/>
      <c r="E4963" s="1"/>
      <c r="F4963" s="1"/>
      <c r="G4963" s="1"/>
      <c r="H4963" s="1"/>
      <c r="I4963" s="1"/>
      <c r="J4963" s="1"/>
    </row>
    <row r="4964" ht="15.75" customHeight="1">
      <c r="A4964" s="1"/>
      <c r="B4964" s="1"/>
      <c r="C4964" s="1"/>
      <c r="D4964" s="1"/>
      <c r="E4964" s="1"/>
      <c r="F4964" s="1"/>
      <c r="G4964" s="1"/>
      <c r="H4964" s="1"/>
      <c r="I4964" s="1"/>
      <c r="J4964" s="1"/>
    </row>
    <row r="4965" ht="15.75" customHeight="1">
      <c r="A4965" s="1"/>
      <c r="B4965" s="1"/>
      <c r="C4965" s="1"/>
      <c r="D4965" s="1"/>
      <c r="E4965" s="1"/>
      <c r="F4965" s="1"/>
      <c r="G4965" s="1"/>
      <c r="H4965" s="1"/>
      <c r="I4965" s="1"/>
      <c r="J4965" s="1"/>
    </row>
    <row r="4966" ht="15.75" customHeight="1">
      <c r="A4966" s="1"/>
      <c r="B4966" s="1"/>
      <c r="C4966" s="1"/>
      <c r="D4966" s="1"/>
      <c r="E4966" s="1"/>
      <c r="F4966" s="1"/>
      <c r="G4966" s="1"/>
      <c r="H4966" s="1"/>
      <c r="I4966" s="1"/>
      <c r="J4966" s="1"/>
    </row>
    <row r="4967" ht="15.75" customHeight="1">
      <c r="A4967" s="1"/>
      <c r="B4967" s="1"/>
      <c r="C4967" s="1"/>
      <c r="D4967" s="1"/>
      <c r="E4967" s="1"/>
      <c r="F4967" s="1"/>
      <c r="G4967" s="1"/>
      <c r="H4967" s="1"/>
      <c r="I4967" s="1"/>
      <c r="J4967" s="1"/>
    </row>
    <row r="4968" ht="15.75" customHeight="1">
      <c r="A4968" s="1"/>
      <c r="B4968" s="1"/>
      <c r="C4968" s="1"/>
      <c r="D4968" s="1"/>
      <c r="E4968" s="1"/>
      <c r="F4968" s="1"/>
      <c r="G4968" s="1"/>
      <c r="H4968" s="1"/>
      <c r="I4968" s="1"/>
      <c r="J4968" s="1"/>
    </row>
    <row r="4969" ht="15.75" customHeight="1">
      <c r="A4969" s="1"/>
      <c r="B4969" s="1"/>
      <c r="C4969" s="1"/>
      <c r="D4969" s="1"/>
      <c r="E4969" s="1"/>
      <c r="F4969" s="1"/>
      <c r="G4969" s="1"/>
      <c r="H4969" s="1"/>
      <c r="I4969" s="1"/>
      <c r="J4969" s="1"/>
    </row>
    <row r="4970" ht="15.75" customHeight="1">
      <c r="A4970" s="1"/>
      <c r="B4970" s="1"/>
      <c r="C4970" s="1"/>
      <c r="D4970" s="1"/>
      <c r="E4970" s="1"/>
      <c r="F4970" s="1"/>
      <c r="G4970" s="1"/>
      <c r="H4970" s="1"/>
      <c r="I4970" s="1"/>
      <c r="J4970" s="1"/>
    </row>
    <row r="4971" ht="15.75" customHeight="1">
      <c r="A4971" s="1"/>
      <c r="B4971" s="1"/>
      <c r="C4971" s="1"/>
      <c r="D4971" s="1"/>
      <c r="E4971" s="1"/>
      <c r="F4971" s="1"/>
      <c r="G4971" s="1"/>
      <c r="H4971" s="1"/>
      <c r="I4971" s="1"/>
      <c r="J4971" s="1"/>
    </row>
    <row r="4972" ht="15.75" customHeight="1">
      <c r="A4972" s="1"/>
      <c r="B4972" s="1"/>
      <c r="C4972" s="1"/>
      <c r="D4972" s="1"/>
      <c r="E4972" s="1"/>
      <c r="F4972" s="1"/>
      <c r="G4972" s="1"/>
      <c r="H4972" s="1"/>
      <c r="I4972" s="1"/>
      <c r="J4972" s="1"/>
    </row>
    <row r="4973" ht="15.75" customHeight="1">
      <c r="A4973" s="1"/>
      <c r="B4973" s="1"/>
      <c r="C4973" s="1"/>
      <c r="D4973" s="1"/>
      <c r="E4973" s="1"/>
      <c r="F4973" s="1"/>
      <c r="G4973" s="1"/>
      <c r="H4973" s="1"/>
      <c r="I4973" s="1"/>
      <c r="J4973" s="1"/>
    </row>
    <row r="4974" ht="15.75" customHeight="1">
      <c r="A4974" s="1"/>
      <c r="B4974" s="1"/>
      <c r="C4974" s="1"/>
      <c r="D4974" s="1"/>
      <c r="E4974" s="1"/>
      <c r="F4974" s="1"/>
      <c r="G4974" s="1"/>
      <c r="H4974" s="1"/>
      <c r="I4974" s="1"/>
      <c r="J4974" s="1"/>
    </row>
    <row r="4975" ht="15.75" customHeight="1">
      <c r="A4975" s="1"/>
      <c r="B4975" s="1"/>
      <c r="C4975" s="1"/>
      <c r="D4975" s="1"/>
      <c r="E4975" s="1"/>
      <c r="F4975" s="1"/>
      <c r="G4975" s="1"/>
      <c r="H4975" s="1"/>
      <c r="I4975" s="1"/>
      <c r="J4975" s="1"/>
    </row>
    <row r="4976" ht="15.75" customHeight="1">
      <c r="A4976" s="1"/>
      <c r="B4976" s="1"/>
      <c r="C4976" s="1"/>
      <c r="D4976" s="1"/>
      <c r="E4976" s="1"/>
      <c r="F4976" s="1"/>
      <c r="G4976" s="1"/>
      <c r="H4976" s="1"/>
      <c r="I4976" s="1"/>
      <c r="J4976" s="1"/>
    </row>
    <row r="4977" ht="15.75" customHeight="1">
      <c r="A4977" s="1"/>
      <c r="B4977" s="1"/>
      <c r="C4977" s="1"/>
      <c r="D4977" s="1"/>
      <c r="E4977" s="1"/>
      <c r="F4977" s="1"/>
      <c r="G4977" s="1"/>
      <c r="H4977" s="1"/>
      <c r="I4977" s="1"/>
      <c r="J4977" s="1"/>
    </row>
    <row r="4978" ht="15.75" customHeight="1">
      <c r="A4978" s="1"/>
      <c r="B4978" s="1"/>
      <c r="C4978" s="1"/>
      <c r="D4978" s="1"/>
      <c r="E4978" s="1"/>
      <c r="F4978" s="1"/>
      <c r="G4978" s="1"/>
      <c r="H4978" s="1"/>
      <c r="I4978" s="1"/>
      <c r="J4978" s="1"/>
    </row>
    <row r="4979" ht="15.75" customHeight="1">
      <c r="A4979" s="1"/>
      <c r="B4979" s="1"/>
      <c r="C4979" s="1"/>
      <c r="D4979" s="1"/>
      <c r="E4979" s="1"/>
      <c r="F4979" s="1"/>
      <c r="G4979" s="1"/>
      <c r="H4979" s="1"/>
      <c r="I4979" s="1"/>
      <c r="J4979" s="1"/>
    </row>
    <row r="4980" ht="15.75" customHeight="1">
      <c r="A4980" s="1"/>
      <c r="B4980" s="1"/>
      <c r="C4980" s="1"/>
      <c r="D4980" s="1"/>
      <c r="E4980" s="1"/>
      <c r="F4980" s="1"/>
      <c r="G4980" s="1"/>
      <c r="H4980" s="1"/>
      <c r="I4980" s="1"/>
      <c r="J4980" s="1"/>
    </row>
    <row r="4981" ht="15.75" customHeight="1">
      <c r="A4981" s="1"/>
      <c r="B4981" s="1"/>
      <c r="C4981" s="1"/>
      <c r="D4981" s="1"/>
      <c r="E4981" s="1"/>
      <c r="F4981" s="1"/>
      <c r="G4981" s="1"/>
      <c r="H4981" s="1"/>
      <c r="I4981" s="1"/>
      <c r="J4981" s="1"/>
    </row>
    <row r="4982" ht="15.75" customHeight="1">
      <c r="A4982" s="1"/>
      <c r="B4982" s="1"/>
      <c r="C4982" s="1"/>
      <c r="D4982" s="1"/>
      <c r="E4982" s="1"/>
      <c r="F4982" s="1"/>
      <c r="G4982" s="1"/>
      <c r="H4982" s="1"/>
      <c r="I4982" s="1"/>
      <c r="J4982" s="1"/>
    </row>
    <row r="4983" ht="15.75" customHeight="1">
      <c r="A4983" s="1"/>
      <c r="B4983" s="1"/>
      <c r="C4983" s="1"/>
      <c r="D4983" s="1"/>
      <c r="E4983" s="1"/>
      <c r="F4983" s="1"/>
      <c r="G4983" s="1"/>
      <c r="H4983" s="1"/>
      <c r="I4983" s="1"/>
      <c r="J4983" s="1"/>
    </row>
    <row r="4984" ht="15.75" customHeight="1">
      <c r="A4984" s="1"/>
      <c r="B4984" s="1"/>
      <c r="C4984" s="1"/>
      <c r="D4984" s="1"/>
      <c r="E4984" s="1"/>
      <c r="F4984" s="1"/>
      <c r="G4984" s="1"/>
      <c r="H4984" s="1"/>
      <c r="I4984" s="1"/>
      <c r="J4984" s="1"/>
    </row>
    <row r="4985" ht="15.75" customHeight="1">
      <c r="A4985" s="1"/>
      <c r="B4985" s="1"/>
      <c r="C4985" s="1"/>
      <c r="D4985" s="1"/>
      <c r="E4985" s="1"/>
      <c r="F4985" s="1"/>
      <c r="G4985" s="1"/>
      <c r="H4985" s="1"/>
      <c r="I4985" s="1"/>
      <c r="J4985" s="1"/>
    </row>
    <row r="4986" ht="15.75" customHeight="1">
      <c r="A4986" s="1"/>
      <c r="B4986" s="1"/>
      <c r="C4986" s="1"/>
      <c r="D4986" s="1"/>
      <c r="E4986" s="1"/>
      <c r="F4986" s="1"/>
      <c r="G4986" s="1"/>
      <c r="H4986" s="1"/>
      <c r="I4986" s="1"/>
      <c r="J4986" s="1"/>
    </row>
    <row r="4987" ht="15.75" customHeight="1">
      <c r="A4987" s="1"/>
      <c r="B4987" s="1"/>
      <c r="C4987" s="1"/>
      <c r="D4987" s="1"/>
      <c r="E4987" s="1"/>
      <c r="F4987" s="1"/>
      <c r="G4987" s="1"/>
      <c r="H4987" s="1"/>
      <c r="I4987" s="1"/>
      <c r="J4987" s="1"/>
    </row>
    <row r="4988" ht="15.75" customHeight="1">
      <c r="A4988" s="1"/>
      <c r="B4988" s="1"/>
      <c r="C4988" s="1"/>
      <c r="D4988" s="1"/>
      <c r="E4988" s="1"/>
      <c r="F4988" s="1"/>
      <c r="G4988" s="1"/>
      <c r="H4988" s="1"/>
      <c r="I4988" s="1"/>
      <c r="J4988" s="1"/>
    </row>
    <row r="4989" ht="15.75" customHeight="1">
      <c r="A4989" s="1"/>
      <c r="B4989" s="1"/>
      <c r="C4989" s="1"/>
      <c r="D4989" s="1"/>
      <c r="E4989" s="1"/>
      <c r="F4989" s="1"/>
      <c r="G4989" s="1"/>
      <c r="H4989" s="1"/>
      <c r="I4989" s="1"/>
      <c r="J4989" s="1"/>
    </row>
    <row r="4990" ht="15.75" customHeight="1">
      <c r="A4990" s="1"/>
      <c r="B4990" s="1"/>
      <c r="C4990" s="1"/>
      <c r="D4990" s="1"/>
      <c r="E4990" s="1"/>
      <c r="F4990" s="1"/>
      <c r="G4990" s="1"/>
      <c r="H4990" s="1"/>
      <c r="I4990" s="1"/>
      <c r="J4990" s="1"/>
    </row>
    <row r="4991" ht="15.75" customHeight="1">
      <c r="A4991" s="1"/>
      <c r="B4991" s="1"/>
      <c r="C4991" s="1"/>
      <c r="D4991" s="1"/>
      <c r="E4991" s="1"/>
      <c r="F4991" s="1"/>
      <c r="G4991" s="1"/>
      <c r="H4991" s="1"/>
      <c r="I4991" s="1"/>
      <c r="J4991" s="1"/>
    </row>
    <row r="4992" ht="15.75" customHeight="1">
      <c r="A4992" s="1"/>
      <c r="B4992" s="1"/>
      <c r="C4992" s="1"/>
      <c r="D4992" s="1"/>
      <c r="E4992" s="1"/>
      <c r="F4992" s="1"/>
      <c r="G4992" s="1"/>
      <c r="H4992" s="1"/>
      <c r="I4992" s="1"/>
      <c r="J4992" s="1"/>
    </row>
    <row r="4993" ht="15.75" customHeight="1">
      <c r="A4993" s="1"/>
      <c r="B4993" s="1"/>
      <c r="C4993" s="1"/>
      <c r="D4993" s="1"/>
      <c r="E4993" s="1"/>
      <c r="F4993" s="1"/>
      <c r="G4993" s="1"/>
      <c r="H4993" s="1"/>
      <c r="I4993" s="1"/>
      <c r="J4993" s="1"/>
    </row>
    <row r="4994" ht="15.75" customHeight="1">
      <c r="A4994" s="1"/>
      <c r="B4994" s="1"/>
      <c r="C4994" s="1"/>
      <c r="D4994" s="1"/>
      <c r="E4994" s="1"/>
      <c r="F4994" s="1"/>
      <c r="G4994" s="1"/>
      <c r="H4994" s="1"/>
      <c r="I4994" s="1"/>
      <c r="J4994" s="1"/>
    </row>
    <row r="4995" ht="15.75" customHeight="1">
      <c r="A4995" s="1"/>
      <c r="B4995" s="1"/>
      <c r="C4995" s="1"/>
      <c r="D4995" s="1"/>
      <c r="E4995" s="1"/>
      <c r="F4995" s="1"/>
      <c r="G4995" s="1"/>
      <c r="H4995" s="1"/>
      <c r="I4995" s="1"/>
      <c r="J4995" s="1"/>
    </row>
    <row r="4996" ht="15.75" customHeight="1">
      <c r="A4996" s="1"/>
      <c r="B4996" s="1"/>
      <c r="C4996" s="1"/>
      <c r="D4996" s="1"/>
      <c r="E4996" s="1"/>
      <c r="F4996" s="1"/>
      <c r="G4996" s="1"/>
      <c r="H4996" s="1"/>
      <c r="I4996" s="1"/>
      <c r="J4996" s="1"/>
    </row>
    <row r="4997" ht="15.75" customHeight="1">
      <c r="A4997" s="1"/>
      <c r="B4997" s="1"/>
      <c r="C4997" s="1"/>
      <c r="D4997" s="1"/>
      <c r="E4997" s="1"/>
      <c r="F4997" s="1"/>
      <c r="G4997" s="1"/>
      <c r="H4997" s="1"/>
      <c r="I4997" s="1"/>
      <c r="J4997" s="1"/>
    </row>
    <row r="4998" ht="15.75" customHeight="1">
      <c r="A4998" s="1"/>
      <c r="B4998" s="1"/>
      <c r="C4998" s="1"/>
      <c r="D4998" s="1"/>
      <c r="E4998" s="1"/>
      <c r="F4998" s="1"/>
      <c r="G4998" s="1"/>
      <c r="H4998" s="1"/>
      <c r="I4998" s="1"/>
      <c r="J4998" s="1"/>
    </row>
    <row r="4999" ht="15.75" customHeight="1">
      <c r="A4999" s="1"/>
      <c r="B4999" s="1"/>
      <c r="C4999" s="1"/>
      <c r="D4999" s="1"/>
      <c r="E4999" s="1"/>
      <c r="F4999" s="1"/>
      <c r="G4999" s="1"/>
      <c r="H4999" s="1"/>
      <c r="I4999" s="1"/>
      <c r="J4999" s="1"/>
    </row>
    <row r="5000" ht="15.75" customHeight="1">
      <c r="A5000" s="1"/>
      <c r="B5000" s="1"/>
      <c r="C5000" s="1"/>
      <c r="D5000" s="1"/>
      <c r="E5000" s="1"/>
      <c r="F5000" s="1"/>
      <c r="G5000" s="1"/>
      <c r="H5000" s="1"/>
      <c r="I5000" s="1"/>
      <c r="J5000" s="1"/>
    </row>
  </sheetData>
  <autoFilter ref="$A$1:$J$5000"/>
  <conditionalFormatting sqref="J2:J5000">
    <cfRule type="expression" dxfId="3" priority="1">
      <formula>AND(J2&lt;&gt;"",J2&lt;TODAY())</formula>
    </cfRule>
  </conditionalFormatting>
  <conditionalFormatting sqref="J2:J5000">
    <cfRule type="expression" dxfId="4" priority="2">
      <formula>AND(J2&lt;&gt;"",J2=TODAY())</formula>
    </cfRule>
  </conditionalFormatting>
  <conditionalFormatting sqref="E2:E5000">
    <cfRule type="expression" dxfId="5" priority="3">
      <formula>$E2="Meeting Set"</formula>
    </cfRule>
  </conditionalFormatting>
  <conditionalFormatting sqref="E2:E5000">
    <cfRule type="expression" dxfId="6" priority="4">
      <formula>LEFT($E2,14)="Not Interested"</formula>
    </cfRule>
  </conditionalFormatting>
  <dataValidations>
    <dataValidation type="list" allowBlank="1" sqref="D2:D1001">
      <formula1>Lists!$E$2:$E$6</formula1>
    </dataValidation>
    <dataValidation type="list" allowBlank="1" sqref="F2:F1001">
      <formula1>Lists!$C$2:$C$7</formula1>
    </dataValidation>
    <dataValidation type="list" allowBlank="1" sqref="C2:C1001">
      <formula1>Companies!$B$2:$B$1000</formula1>
    </dataValidation>
    <dataValidation type="list" allowBlank="1" sqref="E2:E1001">
      <formula1>Lists!$F$2:$F$9</formula1>
    </dataValidation>
    <dataValidation type="list" allowBlank="1" sqref="B2:B1001">
      <formula1>Lists!$D$2:$D$6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8.0"/>
    <col customWidth="1" min="3" max="3" width="15.0"/>
    <col customWidth="1" min="4" max="5" width="11.0"/>
    <col customWidth="1" min="6" max="7" width="12.0"/>
    <col customWidth="1" min="8" max="8" width="26.0"/>
    <col customWidth="1" min="9" max="9" width="40.0"/>
    <col customWidth="1" min="10" max="10" width="8.71"/>
    <col customWidth="1" min="11" max="11" width="100.0"/>
    <col customWidth="1" min="12" max="26" width="8.71"/>
  </cols>
  <sheetData>
    <row r="1" ht="30.0" customHeight="1">
      <c r="A1" s="18" t="s">
        <v>4478</v>
      </c>
      <c r="B1" s="18" t="s">
        <v>4479</v>
      </c>
      <c r="C1" s="18" t="s">
        <v>90</v>
      </c>
      <c r="D1" s="18" t="s">
        <v>4480</v>
      </c>
      <c r="E1" s="18" t="s">
        <v>4481</v>
      </c>
      <c r="F1" s="18" t="s">
        <v>4482</v>
      </c>
      <c r="G1" s="18" t="s">
        <v>4483</v>
      </c>
      <c r="H1" s="18" t="s">
        <v>4484</v>
      </c>
      <c r="I1" s="18" t="s">
        <v>108</v>
      </c>
      <c r="K1" s="26" t="s">
        <v>4485</v>
      </c>
    </row>
    <row r="2" ht="42.0" customHeight="1">
      <c r="A2" s="22"/>
      <c r="B2" s="22" t="str">
        <f t="array" ref="B2">IF($A2="","",IFERROR(INDEX(Companies!$C$2:$C$1000,MATCH($A2,Companies!$B$2:$B$1000,0)),""))</f>
        <v/>
      </c>
      <c r="C2" s="22" t="str">
        <f t="array" ref="C2">IF($A2="","",IFERROR(INDEX(Companies!$D$2:$D$1000,MATCH($A2,Companies!$B$2:$B$1000,0)),""))</f>
        <v/>
      </c>
      <c r="D2" s="24"/>
      <c r="E2" s="22"/>
      <c r="F2" s="24"/>
      <c r="G2" s="24" t="str">
        <f t="shared" ref="G2:G500" si="1">IF($A2="","",IF($F2&lt;&gt;"",$F2+30,IF($D2&lt;&gt;"",$D2+30,"")))</f>
        <v/>
      </c>
      <c r="H2" s="22"/>
      <c r="I2" s="22"/>
      <c r="K2" s="27" t="s">
        <v>4486</v>
      </c>
    </row>
    <row r="3" ht="42.0" customHeight="1">
      <c r="A3" s="22"/>
      <c r="B3" s="22" t="str">
        <f t="array" ref="B3">IF($A3="","",IFERROR(INDEX(Companies!$C$2:$C$1000,MATCH($A3,Companies!$B$2:$B$1000,0)),""))</f>
        <v/>
      </c>
      <c r="C3" s="22" t="str">
        <f t="array" ref="C3">IF($A3="","",IFERROR(INDEX(Companies!$D$2:$D$1000,MATCH($A3,Companies!$B$2:$B$1000,0)),""))</f>
        <v/>
      </c>
      <c r="D3" s="24"/>
      <c r="E3" s="22"/>
      <c r="F3" s="24"/>
      <c r="G3" s="24" t="str">
        <f t="shared" si="1"/>
        <v/>
      </c>
      <c r="H3" s="22"/>
      <c r="I3" s="22"/>
      <c r="K3" s="27" t="s">
        <v>4487</v>
      </c>
    </row>
    <row r="4" ht="42.0" customHeight="1">
      <c r="A4" s="22"/>
      <c r="B4" s="22" t="str">
        <f t="array" ref="B4">IF($A4="","",IFERROR(INDEX(Companies!$C$2:$C$1000,MATCH($A4,Companies!$B$2:$B$1000,0)),""))</f>
        <v/>
      </c>
      <c r="C4" s="22" t="str">
        <f t="array" ref="C4">IF($A4="","",IFERROR(INDEX(Companies!$D$2:$D$1000,MATCH($A4,Companies!$B$2:$B$1000,0)),""))</f>
        <v/>
      </c>
      <c r="D4" s="24"/>
      <c r="E4" s="22"/>
      <c r="F4" s="24"/>
      <c r="G4" s="24" t="str">
        <f t="shared" si="1"/>
        <v/>
      </c>
      <c r="H4" s="22"/>
      <c r="I4" s="22"/>
      <c r="K4" s="27" t="s">
        <v>4488</v>
      </c>
    </row>
    <row r="5" ht="42.0" customHeight="1">
      <c r="A5" s="22"/>
      <c r="B5" s="22" t="str">
        <f t="array" ref="B5">IF($A5="","",IFERROR(INDEX(Companies!$C$2:$C$1000,MATCH($A5,Companies!$B$2:$B$1000,0)),""))</f>
        <v/>
      </c>
      <c r="C5" s="22" t="str">
        <f t="array" ref="C5">IF($A5="","",IFERROR(INDEX(Companies!$D$2:$D$1000,MATCH($A5,Companies!$B$2:$B$1000,0)),""))</f>
        <v/>
      </c>
      <c r="D5" s="24"/>
      <c r="E5" s="22"/>
      <c r="F5" s="24"/>
      <c r="G5" s="24" t="str">
        <f t="shared" si="1"/>
        <v/>
      </c>
      <c r="H5" s="22"/>
      <c r="I5" s="22"/>
      <c r="K5" s="27" t="s">
        <v>4489</v>
      </c>
    </row>
    <row r="6" ht="30.0" customHeight="1">
      <c r="A6" s="22"/>
      <c r="B6" s="22" t="str">
        <f t="array" ref="B6">IF($A6="","",IFERROR(INDEX(Companies!$C$2:$C$1000,MATCH($A6,Companies!$B$2:$B$1000,0)),""))</f>
        <v/>
      </c>
      <c r="C6" s="22" t="str">
        <f t="array" ref="C6">IF($A6="","",IFERROR(INDEX(Companies!$D$2:$D$1000,MATCH($A6,Companies!$B$2:$B$1000,0)),""))</f>
        <v/>
      </c>
      <c r="D6" s="24"/>
      <c r="E6" s="22"/>
      <c r="F6" s="24"/>
      <c r="G6" s="24" t="str">
        <f t="shared" si="1"/>
        <v/>
      </c>
      <c r="H6" s="22"/>
      <c r="I6" s="22"/>
      <c r="K6" s="27"/>
    </row>
    <row r="7" ht="30.0" customHeight="1">
      <c r="A7" s="22"/>
      <c r="B7" s="22" t="str">
        <f t="array" ref="B7">IF($A7="","",IFERROR(INDEX(Companies!$C$2:$C$1000,MATCH($A7,Companies!$B$2:$B$1000,0)),""))</f>
        <v/>
      </c>
      <c r="C7" s="22" t="str">
        <f t="array" ref="C7">IF($A7="","",IFERROR(INDEX(Companies!$D$2:$D$1000,MATCH($A7,Companies!$B$2:$B$1000,0)),""))</f>
        <v/>
      </c>
      <c r="D7" s="24"/>
      <c r="E7" s="22"/>
      <c r="F7" s="24"/>
      <c r="G7" s="24" t="str">
        <f t="shared" si="1"/>
        <v/>
      </c>
      <c r="H7" s="22"/>
      <c r="I7" s="22"/>
      <c r="K7" s="26" t="s">
        <v>4490</v>
      </c>
    </row>
    <row r="8" ht="30.0" customHeight="1">
      <c r="A8" s="22"/>
      <c r="B8" s="22" t="str">
        <f t="array" ref="B8">IF($A8="","",IFERROR(INDEX(Companies!$C$2:$C$1000,MATCH($A8,Companies!$B$2:$B$1000,0)),""))</f>
        <v/>
      </c>
      <c r="C8" s="22" t="str">
        <f t="array" ref="C8">IF($A8="","",IFERROR(INDEX(Companies!$D$2:$D$1000,MATCH($A8,Companies!$B$2:$B$1000,0)),""))</f>
        <v/>
      </c>
      <c r="D8" s="24"/>
      <c r="E8" s="22"/>
      <c r="F8" s="24"/>
      <c r="G8" s="24" t="str">
        <f t="shared" si="1"/>
        <v/>
      </c>
      <c r="H8" s="22"/>
      <c r="I8" s="22"/>
      <c r="K8" s="26" t="s">
        <v>4491</v>
      </c>
    </row>
    <row r="9" ht="15.0" customHeight="1">
      <c r="A9" s="22"/>
      <c r="B9" s="22" t="str">
        <f t="array" ref="B9">IF($A9="","",IFERROR(INDEX(Companies!$C$2:$C$1000,MATCH($A9,Companies!$B$2:$B$1000,0)),""))</f>
        <v/>
      </c>
      <c r="C9" s="22" t="str">
        <f t="array" ref="C9">IF($A9="","",IFERROR(INDEX(Companies!$D$2:$D$1000,MATCH($A9,Companies!$B$2:$B$1000,0)),""))</f>
        <v/>
      </c>
      <c r="D9" s="24"/>
      <c r="E9" s="22"/>
      <c r="F9" s="24"/>
      <c r="G9" s="24" t="str">
        <f t="shared" si="1"/>
        <v/>
      </c>
      <c r="H9" s="22"/>
      <c r="I9" s="22"/>
      <c r="K9" s="1"/>
    </row>
    <row r="10" ht="15.0" customHeight="1">
      <c r="A10" s="22"/>
      <c r="B10" s="22" t="str">
        <f t="array" ref="B10">IF($A10="","",IFERROR(INDEX(Companies!$C$2:$C$1000,MATCH($A10,Companies!$B$2:$B$1000,0)),""))</f>
        <v/>
      </c>
      <c r="C10" s="22" t="str">
        <f t="array" ref="C10">IF($A10="","",IFERROR(INDEX(Companies!$D$2:$D$1000,MATCH($A10,Companies!$B$2:$B$1000,0)),""))</f>
        <v/>
      </c>
      <c r="D10" s="24"/>
      <c r="E10" s="22"/>
      <c r="F10" s="24"/>
      <c r="G10" s="24" t="str">
        <f t="shared" si="1"/>
        <v/>
      </c>
      <c r="H10" s="22"/>
      <c r="I10" s="22"/>
      <c r="K10" s="1"/>
    </row>
    <row r="11" ht="15.0" customHeight="1">
      <c r="A11" s="22"/>
      <c r="B11" s="22" t="str">
        <f t="array" ref="B11">IF($A11="","",IFERROR(INDEX(Companies!$C$2:$C$1000,MATCH($A11,Companies!$B$2:$B$1000,0)),""))</f>
        <v/>
      </c>
      <c r="C11" s="22" t="str">
        <f t="array" ref="C11">IF($A11="","",IFERROR(INDEX(Companies!$D$2:$D$1000,MATCH($A11,Companies!$B$2:$B$1000,0)),""))</f>
        <v/>
      </c>
      <c r="D11" s="24"/>
      <c r="E11" s="22"/>
      <c r="F11" s="24"/>
      <c r="G11" s="24" t="str">
        <f t="shared" si="1"/>
        <v/>
      </c>
      <c r="H11" s="22"/>
      <c r="I11" s="22"/>
      <c r="K11" s="1"/>
    </row>
    <row r="12" ht="15.0" customHeight="1">
      <c r="A12" s="22"/>
      <c r="B12" s="22" t="str">
        <f t="array" ref="B12">IF($A12="","",IFERROR(INDEX(Companies!$C$2:$C$1000,MATCH($A12,Companies!$B$2:$B$1000,0)),""))</f>
        <v/>
      </c>
      <c r="C12" s="22" t="str">
        <f t="array" ref="C12">IF($A12="","",IFERROR(INDEX(Companies!$D$2:$D$1000,MATCH($A12,Companies!$B$2:$B$1000,0)),""))</f>
        <v/>
      </c>
      <c r="D12" s="24"/>
      <c r="E12" s="22"/>
      <c r="F12" s="24"/>
      <c r="G12" s="24" t="str">
        <f t="shared" si="1"/>
        <v/>
      </c>
      <c r="H12" s="22"/>
      <c r="I12" s="22"/>
      <c r="K12" s="1"/>
    </row>
    <row r="13" ht="15.0" customHeight="1">
      <c r="A13" s="22"/>
      <c r="B13" s="22" t="str">
        <f t="array" ref="B13">IF($A13="","",IFERROR(INDEX(Companies!$C$2:$C$1000,MATCH($A13,Companies!$B$2:$B$1000,0)),""))</f>
        <v/>
      </c>
      <c r="C13" s="22" t="str">
        <f t="array" ref="C13">IF($A13="","",IFERROR(INDEX(Companies!$D$2:$D$1000,MATCH($A13,Companies!$B$2:$B$1000,0)),""))</f>
        <v/>
      </c>
      <c r="D13" s="24"/>
      <c r="E13" s="22"/>
      <c r="F13" s="24"/>
      <c r="G13" s="24" t="str">
        <f t="shared" si="1"/>
        <v/>
      </c>
      <c r="H13" s="22"/>
      <c r="I13" s="22"/>
      <c r="K13" s="1"/>
    </row>
    <row r="14" ht="15.0" customHeight="1">
      <c r="A14" s="22"/>
      <c r="B14" s="22" t="str">
        <f t="array" ref="B14">IF($A14="","",IFERROR(INDEX(Companies!$C$2:$C$1000,MATCH($A14,Companies!$B$2:$B$1000,0)),""))</f>
        <v/>
      </c>
      <c r="C14" s="22" t="str">
        <f t="array" ref="C14">IF($A14="","",IFERROR(INDEX(Companies!$D$2:$D$1000,MATCH($A14,Companies!$B$2:$B$1000,0)),""))</f>
        <v/>
      </c>
      <c r="D14" s="24"/>
      <c r="E14" s="22"/>
      <c r="F14" s="24"/>
      <c r="G14" s="24" t="str">
        <f t="shared" si="1"/>
        <v/>
      </c>
      <c r="H14" s="22"/>
      <c r="I14" s="22"/>
      <c r="K14" s="1"/>
    </row>
    <row r="15" ht="15.0" customHeight="1">
      <c r="A15" s="22"/>
      <c r="B15" s="22" t="str">
        <f t="array" ref="B15">IF($A15="","",IFERROR(INDEX(Companies!$C$2:$C$1000,MATCH($A15,Companies!$B$2:$B$1000,0)),""))</f>
        <v/>
      </c>
      <c r="C15" s="22" t="str">
        <f t="array" ref="C15">IF($A15="","",IFERROR(INDEX(Companies!$D$2:$D$1000,MATCH($A15,Companies!$B$2:$B$1000,0)),""))</f>
        <v/>
      </c>
      <c r="D15" s="24"/>
      <c r="E15" s="22"/>
      <c r="F15" s="24"/>
      <c r="G15" s="24" t="str">
        <f t="shared" si="1"/>
        <v/>
      </c>
      <c r="H15" s="22"/>
      <c r="I15" s="22"/>
      <c r="K15" s="1"/>
    </row>
    <row r="16" ht="15.0" customHeight="1">
      <c r="A16" s="22"/>
      <c r="B16" s="22" t="str">
        <f t="array" ref="B16">IF($A16="","",IFERROR(INDEX(Companies!$C$2:$C$1000,MATCH($A16,Companies!$B$2:$B$1000,0)),""))</f>
        <v/>
      </c>
      <c r="C16" s="22" t="str">
        <f t="array" ref="C16">IF($A16="","",IFERROR(INDEX(Companies!$D$2:$D$1000,MATCH($A16,Companies!$B$2:$B$1000,0)),""))</f>
        <v/>
      </c>
      <c r="D16" s="24"/>
      <c r="E16" s="22"/>
      <c r="F16" s="24"/>
      <c r="G16" s="24" t="str">
        <f t="shared" si="1"/>
        <v/>
      </c>
      <c r="H16" s="22"/>
      <c r="I16" s="22"/>
      <c r="K16" s="1"/>
    </row>
    <row r="17" ht="15.0" customHeight="1">
      <c r="A17" s="22"/>
      <c r="B17" s="22" t="str">
        <f t="array" ref="B17">IF($A17="","",IFERROR(INDEX(Companies!$C$2:$C$1000,MATCH($A17,Companies!$B$2:$B$1000,0)),""))</f>
        <v/>
      </c>
      <c r="C17" s="22" t="str">
        <f t="array" ref="C17">IF($A17="","",IFERROR(INDEX(Companies!$D$2:$D$1000,MATCH($A17,Companies!$B$2:$B$1000,0)),""))</f>
        <v/>
      </c>
      <c r="D17" s="24"/>
      <c r="E17" s="22"/>
      <c r="F17" s="24"/>
      <c r="G17" s="24" t="str">
        <f t="shared" si="1"/>
        <v/>
      </c>
      <c r="H17" s="22"/>
      <c r="I17" s="22"/>
      <c r="K17" s="1"/>
    </row>
    <row r="18" ht="15.0" customHeight="1">
      <c r="A18" s="22"/>
      <c r="B18" s="22" t="str">
        <f t="array" ref="B18">IF($A18="","",IFERROR(INDEX(Companies!$C$2:$C$1000,MATCH($A18,Companies!$B$2:$B$1000,0)),""))</f>
        <v/>
      </c>
      <c r="C18" s="22" t="str">
        <f t="array" ref="C18">IF($A18="","",IFERROR(INDEX(Companies!$D$2:$D$1000,MATCH($A18,Companies!$B$2:$B$1000,0)),""))</f>
        <v/>
      </c>
      <c r="D18" s="24"/>
      <c r="E18" s="22"/>
      <c r="F18" s="24"/>
      <c r="G18" s="24" t="str">
        <f t="shared" si="1"/>
        <v/>
      </c>
      <c r="H18" s="22"/>
      <c r="I18" s="22"/>
      <c r="K18" s="1"/>
    </row>
    <row r="19" ht="15.0" customHeight="1">
      <c r="A19" s="22"/>
      <c r="B19" s="22" t="str">
        <f t="array" ref="B19">IF($A19="","",IFERROR(INDEX(Companies!$C$2:$C$1000,MATCH($A19,Companies!$B$2:$B$1000,0)),""))</f>
        <v/>
      </c>
      <c r="C19" s="22" t="str">
        <f t="array" ref="C19">IF($A19="","",IFERROR(INDEX(Companies!$D$2:$D$1000,MATCH($A19,Companies!$B$2:$B$1000,0)),""))</f>
        <v/>
      </c>
      <c r="D19" s="24"/>
      <c r="E19" s="22"/>
      <c r="F19" s="24"/>
      <c r="G19" s="24" t="str">
        <f t="shared" si="1"/>
        <v/>
      </c>
      <c r="H19" s="22"/>
      <c r="I19" s="22"/>
      <c r="K19" s="1"/>
    </row>
    <row r="20" ht="15.0" customHeight="1">
      <c r="A20" s="22"/>
      <c r="B20" s="22" t="str">
        <f t="array" ref="B20">IF($A20="","",IFERROR(INDEX(Companies!$C$2:$C$1000,MATCH($A20,Companies!$B$2:$B$1000,0)),""))</f>
        <v/>
      </c>
      <c r="C20" s="22" t="str">
        <f t="array" ref="C20">IF($A20="","",IFERROR(INDEX(Companies!$D$2:$D$1000,MATCH($A20,Companies!$B$2:$B$1000,0)),""))</f>
        <v/>
      </c>
      <c r="D20" s="24"/>
      <c r="E20" s="22"/>
      <c r="F20" s="24"/>
      <c r="G20" s="24" t="str">
        <f t="shared" si="1"/>
        <v/>
      </c>
      <c r="H20" s="22"/>
      <c r="I20" s="22"/>
      <c r="K20" s="1"/>
    </row>
    <row r="21" ht="15.0" customHeight="1">
      <c r="A21" s="22"/>
      <c r="B21" s="22" t="str">
        <f t="array" ref="B21">IF($A21="","",IFERROR(INDEX(Companies!$C$2:$C$1000,MATCH($A21,Companies!$B$2:$B$1000,0)),""))</f>
        <v/>
      </c>
      <c r="C21" s="22" t="str">
        <f t="array" ref="C21">IF($A21="","",IFERROR(INDEX(Companies!$D$2:$D$1000,MATCH($A21,Companies!$B$2:$B$1000,0)),""))</f>
        <v/>
      </c>
      <c r="D21" s="24"/>
      <c r="E21" s="22"/>
      <c r="F21" s="24"/>
      <c r="G21" s="24" t="str">
        <f t="shared" si="1"/>
        <v/>
      </c>
      <c r="H21" s="22"/>
      <c r="I21" s="22"/>
      <c r="K21" s="1"/>
    </row>
    <row r="22" ht="15.0" customHeight="1">
      <c r="A22" s="22"/>
      <c r="B22" s="22" t="str">
        <f t="array" ref="B22">IF($A22="","",IFERROR(INDEX(Companies!$C$2:$C$1000,MATCH($A22,Companies!$B$2:$B$1000,0)),""))</f>
        <v/>
      </c>
      <c r="C22" s="22" t="str">
        <f t="array" ref="C22">IF($A22="","",IFERROR(INDEX(Companies!$D$2:$D$1000,MATCH($A22,Companies!$B$2:$B$1000,0)),""))</f>
        <v/>
      </c>
      <c r="D22" s="24"/>
      <c r="E22" s="22"/>
      <c r="F22" s="24"/>
      <c r="G22" s="24" t="str">
        <f t="shared" si="1"/>
        <v/>
      </c>
      <c r="H22" s="22"/>
      <c r="I22" s="22"/>
      <c r="K22" s="1"/>
    </row>
    <row r="23" ht="15.0" customHeight="1">
      <c r="A23" s="22"/>
      <c r="B23" s="22" t="str">
        <f t="array" ref="B23">IF($A23="","",IFERROR(INDEX(Companies!$C$2:$C$1000,MATCH($A23,Companies!$B$2:$B$1000,0)),""))</f>
        <v/>
      </c>
      <c r="C23" s="22" t="str">
        <f t="array" ref="C23">IF($A23="","",IFERROR(INDEX(Companies!$D$2:$D$1000,MATCH($A23,Companies!$B$2:$B$1000,0)),""))</f>
        <v/>
      </c>
      <c r="D23" s="24"/>
      <c r="E23" s="22"/>
      <c r="F23" s="24"/>
      <c r="G23" s="24" t="str">
        <f t="shared" si="1"/>
        <v/>
      </c>
      <c r="H23" s="22"/>
      <c r="I23" s="22"/>
      <c r="K23" s="1"/>
    </row>
    <row r="24" ht="15.0" customHeight="1">
      <c r="A24" s="22"/>
      <c r="B24" s="22" t="str">
        <f t="array" ref="B24">IF($A24="","",IFERROR(INDEX(Companies!$C$2:$C$1000,MATCH($A24,Companies!$B$2:$B$1000,0)),""))</f>
        <v/>
      </c>
      <c r="C24" s="22" t="str">
        <f t="array" ref="C24">IF($A24="","",IFERROR(INDEX(Companies!$D$2:$D$1000,MATCH($A24,Companies!$B$2:$B$1000,0)),""))</f>
        <v/>
      </c>
      <c r="D24" s="24"/>
      <c r="E24" s="22"/>
      <c r="F24" s="24"/>
      <c r="G24" s="24" t="str">
        <f t="shared" si="1"/>
        <v/>
      </c>
      <c r="H24" s="22"/>
      <c r="I24" s="22"/>
      <c r="K24" s="1"/>
    </row>
    <row r="25" ht="15.0" customHeight="1">
      <c r="A25" s="22"/>
      <c r="B25" s="22" t="str">
        <f t="array" ref="B25">IF($A25="","",IFERROR(INDEX(Companies!$C$2:$C$1000,MATCH($A25,Companies!$B$2:$B$1000,0)),""))</f>
        <v/>
      </c>
      <c r="C25" s="22" t="str">
        <f t="array" ref="C25">IF($A25="","",IFERROR(INDEX(Companies!$D$2:$D$1000,MATCH($A25,Companies!$B$2:$B$1000,0)),""))</f>
        <v/>
      </c>
      <c r="D25" s="24"/>
      <c r="E25" s="22"/>
      <c r="F25" s="24"/>
      <c r="G25" s="24" t="str">
        <f t="shared" si="1"/>
        <v/>
      </c>
      <c r="H25" s="22"/>
      <c r="I25" s="22"/>
      <c r="K25" s="1"/>
    </row>
    <row r="26" ht="15.0" customHeight="1">
      <c r="A26" s="22"/>
      <c r="B26" s="22" t="str">
        <f t="array" ref="B26">IF($A26="","",IFERROR(INDEX(Companies!$C$2:$C$1000,MATCH($A26,Companies!$B$2:$B$1000,0)),""))</f>
        <v/>
      </c>
      <c r="C26" s="22" t="str">
        <f t="array" ref="C26">IF($A26="","",IFERROR(INDEX(Companies!$D$2:$D$1000,MATCH($A26,Companies!$B$2:$B$1000,0)),""))</f>
        <v/>
      </c>
      <c r="D26" s="24"/>
      <c r="E26" s="22"/>
      <c r="F26" s="24"/>
      <c r="G26" s="24" t="str">
        <f t="shared" si="1"/>
        <v/>
      </c>
      <c r="H26" s="22"/>
      <c r="I26" s="22"/>
      <c r="K26" s="1"/>
    </row>
    <row r="27" ht="15.0" customHeight="1">
      <c r="A27" s="22"/>
      <c r="B27" s="22" t="str">
        <f t="array" ref="B27">IF($A27="","",IFERROR(INDEX(Companies!$C$2:$C$1000,MATCH($A27,Companies!$B$2:$B$1000,0)),""))</f>
        <v/>
      </c>
      <c r="C27" s="22" t="str">
        <f t="array" ref="C27">IF($A27="","",IFERROR(INDEX(Companies!$D$2:$D$1000,MATCH($A27,Companies!$B$2:$B$1000,0)),""))</f>
        <v/>
      </c>
      <c r="D27" s="24"/>
      <c r="E27" s="22"/>
      <c r="F27" s="24"/>
      <c r="G27" s="24" t="str">
        <f t="shared" si="1"/>
        <v/>
      </c>
      <c r="H27" s="22"/>
      <c r="I27" s="22"/>
      <c r="K27" s="1"/>
    </row>
    <row r="28" ht="15.0" customHeight="1">
      <c r="A28" s="22"/>
      <c r="B28" s="22" t="str">
        <f t="array" ref="B28">IF($A28="","",IFERROR(INDEX(Companies!$C$2:$C$1000,MATCH($A28,Companies!$B$2:$B$1000,0)),""))</f>
        <v/>
      </c>
      <c r="C28" s="22" t="str">
        <f t="array" ref="C28">IF($A28="","",IFERROR(INDEX(Companies!$D$2:$D$1000,MATCH($A28,Companies!$B$2:$B$1000,0)),""))</f>
        <v/>
      </c>
      <c r="D28" s="24"/>
      <c r="E28" s="22"/>
      <c r="F28" s="24"/>
      <c r="G28" s="24" t="str">
        <f t="shared" si="1"/>
        <v/>
      </c>
      <c r="H28" s="22"/>
      <c r="I28" s="22"/>
      <c r="K28" s="1"/>
    </row>
    <row r="29" ht="15.0" customHeight="1">
      <c r="A29" s="22"/>
      <c r="B29" s="22" t="str">
        <f t="array" ref="B29">IF($A29="","",IFERROR(INDEX(Companies!$C$2:$C$1000,MATCH($A29,Companies!$B$2:$B$1000,0)),""))</f>
        <v/>
      </c>
      <c r="C29" s="22" t="str">
        <f t="array" ref="C29">IF($A29="","",IFERROR(INDEX(Companies!$D$2:$D$1000,MATCH($A29,Companies!$B$2:$B$1000,0)),""))</f>
        <v/>
      </c>
      <c r="D29" s="24"/>
      <c r="E29" s="22"/>
      <c r="F29" s="24"/>
      <c r="G29" s="24" t="str">
        <f t="shared" si="1"/>
        <v/>
      </c>
      <c r="H29" s="22"/>
      <c r="I29" s="22"/>
      <c r="K29" s="1"/>
    </row>
    <row r="30" ht="15.0" customHeight="1">
      <c r="A30" s="22"/>
      <c r="B30" s="22" t="str">
        <f t="array" ref="B30">IF($A30="","",IFERROR(INDEX(Companies!$C$2:$C$1000,MATCH($A30,Companies!$B$2:$B$1000,0)),""))</f>
        <v/>
      </c>
      <c r="C30" s="22" t="str">
        <f t="array" ref="C30">IF($A30="","",IFERROR(INDEX(Companies!$D$2:$D$1000,MATCH($A30,Companies!$B$2:$B$1000,0)),""))</f>
        <v/>
      </c>
      <c r="D30" s="24"/>
      <c r="E30" s="22"/>
      <c r="F30" s="24"/>
      <c r="G30" s="24" t="str">
        <f t="shared" si="1"/>
        <v/>
      </c>
      <c r="H30" s="22"/>
      <c r="I30" s="22"/>
      <c r="K30" s="1"/>
    </row>
    <row r="31" ht="15.0" customHeight="1">
      <c r="A31" s="22"/>
      <c r="B31" s="22" t="str">
        <f t="array" ref="B31">IF($A31="","",IFERROR(INDEX(Companies!$C$2:$C$1000,MATCH($A31,Companies!$B$2:$B$1000,0)),""))</f>
        <v/>
      </c>
      <c r="C31" s="22" t="str">
        <f t="array" ref="C31">IF($A31="","",IFERROR(INDEX(Companies!$D$2:$D$1000,MATCH($A31,Companies!$B$2:$B$1000,0)),""))</f>
        <v/>
      </c>
      <c r="D31" s="24"/>
      <c r="E31" s="22"/>
      <c r="F31" s="24"/>
      <c r="G31" s="24" t="str">
        <f t="shared" si="1"/>
        <v/>
      </c>
      <c r="H31" s="22"/>
      <c r="I31" s="22"/>
      <c r="K31" s="1"/>
    </row>
    <row r="32" ht="15.0" customHeight="1">
      <c r="A32" s="22"/>
      <c r="B32" s="22" t="str">
        <f t="array" ref="B32">IF($A32="","",IFERROR(INDEX(Companies!$C$2:$C$1000,MATCH($A32,Companies!$B$2:$B$1000,0)),""))</f>
        <v/>
      </c>
      <c r="C32" s="22" t="str">
        <f t="array" ref="C32">IF($A32="","",IFERROR(INDEX(Companies!$D$2:$D$1000,MATCH($A32,Companies!$B$2:$B$1000,0)),""))</f>
        <v/>
      </c>
      <c r="D32" s="24"/>
      <c r="E32" s="22"/>
      <c r="F32" s="24"/>
      <c r="G32" s="24" t="str">
        <f t="shared" si="1"/>
        <v/>
      </c>
      <c r="H32" s="22"/>
      <c r="I32" s="22"/>
      <c r="K32" s="1"/>
    </row>
    <row r="33" ht="15.0" customHeight="1">
      <c r="A33" s="22"/>
      <c r="B33" s="22" t="str">
        <f t="array" ref="B33">IF($A33="","",IFERROR(INDEX(Companies!$C$2:$C$1000,MATCH($A33,Companies!$B$2:$B$1000,0)),""))</f>
        <v/>
      </c>
      <c r="C33" s="22" t="str">
        <f t="array" ref="C33">IF($A33="","",IFERROR(INDEX(Companies!$D$2:$D$1000,MATCH($A33,Companies!$B$2:$B$1000,0)),""))</f>
        <v/>
      </c>
      <c r="D33" s="24"/>
      <c r="E33" s="22"/>
      <c r="F33" s="24"/>
      <c r="G33" s="24" t="str">
        <f t="shared" si="1"/>
        <v/>
      </c>
      <c r="H33" s="22"/>
      <c r="I33" s="22"/>
      <c r="K33" s="1"/>
    </row>
    <row r="34" ht="15.0" customHeight="1">
      <c r="A34" s="22"/>
      <c r="B34" s="22" t="str">
        <f t="array" ref="B34">IF($A34="","",IFERROR(INDEX(Companies!$C$2:$C$1000,MATCH($A34,Companies!$B$2:$B$1000,0)),""))</f>
        <v/>
      </c>
      <c r="C34" s="22" t="str">
        <f t="array" ref="C34">IF($A34="","",IFERROR(INDEX(Companies!$D$2:$D$1000,MATCH($A34,Companies!$B$2:$B$1000,0)),""))</f>
        <v/>
      </c>
      <c r="D34" s="24"/>
      <c r="E34" s="22"/>
      <c r="F34" s="24"/>
      <c r="G34" s="24" t="str">
        <f t="shared" si="1"/>
        <v/>
      </c>
      <c r="H34" s="22"/>
      <c r="I34" s="22"/>
      <c r="K34" s="1"/>
    </row>
    <row r="35" ht="15.0" customHeight="1">
      <c r="A35" s="22"/>
      <c r="B35" s="22" t="str">
        <f t="array" ref="B35">IF($A35="","",IFERROR(INDEX(Companies!$C$2:$C$1000,MATCH($A35,Companies!$B$2:$B$1000,0)),""))</f>
        <v/>
      </c>
      <c r="C35" s="22" t="str">
        <f t="array" ref="C35">IF($A35="","",IFERROR(INDEX(Companies!$D$2:$D$1000,MATCH($A35,Companies!$B$2:$B$1000,0)),""))</f>
        <v/>
      </c>
      <c r="D35" s="24"/>
      <c r="E35" s="22"/>
      <c r="F35" s="24"/>
      <c r="G35" s="24" t="str">
        <f t="shared" si="1"/>
        <v/>
      </c>
      <c r="H35" s="22"/>
      <c r="I35" s="22"/>
      <c r="K35" s="1"/>
    </row>
    <row r="36" ht="15.0" customHeight="1">
      <c r="A36" s="22"/>
      <c r="B36" s="22" t="str">
        <f t="array" ref="B36">IF($A36="","",IFERROR(INDEX(Companies!$C$2:$C$1000,MATCH($A36,Companies!$B$2:$B$1000,0)),""))</f>
        <v/>
      </c>
      <c r="C36" s="22" t="str">
        <f t="array" ref="C36">IF($A36="","",IFERROR(INDEX(Companies!$D$2:$D$1000,MATCH($A36,Companies!$B$2:$B$1000,0)),""))</f>
        <v/>
      </c>
      <c r="D36" s="24"/>
      <c r="E36" s="22"/>
      <c r="F36" s="24"/>
      <c r="G36" s="24" t="str">
        <f t="shared" si="1"/>
        <v/>
      </c>
      <c r="H36" s="22"/>
      <c r="I36" s="22"/>
      <c r="K36" s="1"/>
    </row>
    <row r="37" ht="15.0" customHeight="1">
      <c r="A37" s="22"/>
      <c r="B37" s="22" t="str">
        <f t="array" ref="B37">IF($A37="","",IFERROR(INDEX(Companies!$C$2:$C$1000,MATCH($A37,Companies!$B$2:$B$1000,0)),""))</f>
        <v/>
      </c>
      <c r="C37" s="22" t="str">
        <f t="array" ref="C37">IF($A37="","",IFERROR(INDEX(Companies!$D$2:$D$1000,MATCH($A37,Companies!$B$2:$B$1000,0)),""))</f>
        <v/>
      </c>
      <c r="D37" s="24"/>
      <c r="E37" s="22"/>
      <c r="F37" s="24"/>
      <c r="G37" s="24" t="str">
        <f t="shared" si="1"/>
        <v/>
      </c>
      <c r="H37" s="22"/>
      <c r="I37" s="22"/>
      <c r="K37" s="1"/>
    </row>
    <row r="38" ht="15.0" customHeight="1">
      <c r="A38" s="22"/>
      <c r="B38" s="22" t="str">
        <f t="array" ref="B38">IF($A38="","",IFERROR(INDEX(Companies!$C$2:$C$1000,MATCH($A38,Companies!$B$2:$B$1000,0)),""))</f>
        <v/>
      </c>
      <c r="C38" s="22" t="str">
        <f t="array" ref="C38">IF($A38="","",IFERROR(INDEX(Companies!$D$2:$D$1000,MATCH($A38,Companies!$B$2:$B$1000,0)),""))</f>
        <v/>
      </c>
      <c r="D38" s="24"/>
      <c r="E38" s="22"/>
      <c r="F38" s="24"/>
      <c r="G38" s="24" t="str">
        <f t="shared" si="1"/>
        <v/>
      </c>
      <c r="H38" s="22"/>
      <c r="I38" s="22"/>
      <c r="K38" s="1"/>
    </row>
    <row r="39" ht="15.0" customHeight="1">
      <c r="A39" s="22"/>
      <c r="B39" s="22" t="str">
        <f t="array" ref="B39">IF($A39="","",IFERROR(INDEX(Companies!$C$2:$C$1000,MATCH($A39,Companies!$B$2:$B$1000,0)),""))</f>
        <v/>
      </c>
      <c r="C39" s="22" t="str">
        <f t="array" ref="C39">IF($A39="","",IFERROR(INDEX(Companies!$D$2:$D$1000,MATCH($A39,Companies!$B$2:$B$1000,0)),""))</f>
        <v/>
      </c>
      <c r="D39" s="24"/>
      <c r="E39" s="22"/>
      <c r="F39" s="24"/>
      <c r="G39" s="24" t="str">
        <f t="shared" si="1"/>
        <v/>
      </c>
      <c r="H39" s="22"/>
      <c r="I39" s="22"/>
      <c r="K39" s="1"/>
    </row>
    <row r="40" ht="15.0" customHeight="1">
      <c r="A40" s="22"/>
      <c r="B40" s="22" t="str">
        <f t="array" ref="B40">IF($A40="","",IFERROR(INDEX(Companies!$C$2:$C$1000,MATCH($A40,Companies!$B$2:$B$1000,0)),""))</f>
        <v/>
      </c>
      <c r="C40" s="22" t="str">
        <f t="array" ref="C40">IF($A40="","",IFERROR(INDEX(Companies!$D$2:$D$1000,MATCH($A40,Companies!$B$2:$B$1000,0)),""))</f>
        <v/>
      </c>
      <c r="D40" s="24"/>
      <c r="E40" s="22"/>
      <c r="F40" s="24"/>
      <c r="G40" s="24" t="str">
        <f t="shared" si="1"/>
        <v/>
      </c>
      <c r="H40" s="22"/>
      <c r="I40" s="22"/>
      <c r="K40" s="1"/>
    </row>
    <row r="41" ht="15.0" customHeight="1">
      <c r="A41" s="22"/>
      <c r="B41" s="22" t="str">
        <f t="array" ref="B41">IF($A41="","",IFERROR(INDEX(Companies!$C$2:$C$1000,MATCH($A41,Companies!$B$2:$B$1000,0)),""))</f>
        <v/>
      </c>
      <c r="C41" s="22" t="str">
        <f t="array" ref="C41">IF($A41="","",IFERROR(INDEX(Companies!$D$2:$D$1000,MATCH($A41,Companies!$B$2:$B$1000,0)),""))</f>
        <v/>
      </c>
      <c r="D41" s="24"/>
      <c r="E41" s="22"/>
      <c r="F41" s="24"/>
      <c r="G41" s="24" t="str">
        <f t="shared" si="1"/>
        <v/>
      </c>
      <c r="H41" s="22"/>
      <c r="I41" s="22"/>
      <c r="K41" s="1"/>
    </row>
    <row r="42" ht="15.0" customHeight="1">
      <c r="A42" s="22"/>
      <c r="B42" s="22" t="str">
        <f t="array" ref="B42">IF($A42="","",IFERROR(INDEX(Companies!$C$2:$C$1000,MATCH($A42,Companies!$B$2:$B$1000,0)),""))</f>
        <v/>
      </c>
      <c r="C42" s="22" t="str">
        <f t="array" ref="C42">IF($A42="","",IFERROR(INDEX(Companies!$D$2:$D$1000,MATCH($A42,Companies!$B$2:$B$1000,0)),""))</f>
        <v/>
      </c>
      <c r="D42" s="24"/>
      <c r="E42" s="22"/>
      <c r="F42" s="24"/>
      <c r="G42" s="24" t="str">
        <f t="shared" si="1"/>
        <v/>
      </c>
      <c r="H42" s="22"/>
      <c r="I42" s="22"/>
      <c r="K42" s="1"/>
    </row>
    <row r="43" ht="15.0" customHeight="1">
      <c r="A43" s="22"/>
      <c r="B43" s="22" t="str">
        <f t="array" ref="B43">IF($A43="","",IFERROR(INDEX(Companies!$C$2:$C$1000,MATCH($A43,Companies!$B$2:$B$1000,0)),""))</f>
        <v/>
      </c>
      <c r="C43" s="22" t="str">
        <f t="array" ref="C43">IF($A43="","",IFERROR(INDEX(Companies!$D$2:$D$1000,MATCH($A43,Companies!$B$2:$B$1000,0)),""))</f>
        <v/>
      </c>
      <c r="D43" s="24"/>
      <c r="E43" s="22"/>
      <c r="F43" s="24"/>
      <c r="G43" s="24" t="str">
        <f t="shared" si="1"/>
        <v/>
      </c>
      <c r="H43" s="22"/>
      <c r="I43" s="22"/>
      <c r="K43" s="1"/>
    </row>
    <row r="44" ht="15.0" customHeight="1">
      <c r="A44" s="22"/>
      <c r="B44" s="22" t="str">
        <f t="array" ref="B44">IF($A44="","",IFERROR(INDEX(Companies!$C$2:$C$1000,MATCH($A44,Companies!$B$2:$B$1000,0)),""))</f>
        <v/>
      </c>
      <c r="C44" s="22" t="str">
        <f t="array" ref="C44">IF($A44="","",IFERROR(INDEX(Companies!$D$2:$D$1000,MATCH($A44,Companies!$B$2:$B$1000,0)),""))</f>
        <v/>
      </c>
      <c r="D44" s="24"/>
      <c r="E44" s="22"/>
      <c r="F44" s="24"/>
      <c r="G44" s="24" t="str">
        <f t="shared" si="1"/>
        <v/>
      </c>
      <c r="H44" s="22"/>
      <c r="I44" s="22"/>
      <c r="K44" s="1"/>
    </row>
    <row r="45" ht="15.0" customHeight="1">
      <c r="A45" s="22"/>
      <c r="B45" s="22" t="str">
        <f t="array" ref="B45">IF($A45="","",IFERROR(INDEX(Companies!$C$2:$C$1000,MATCH($A45,Companies!$B$2:$B$1000,0)),""))</f>
        <v/>
      </c>
      <c r="C45" s="22" t="str">
        <f t="array" ref="C45">IF($A45="","",IFERROR(INDEX(Companies!$D$2:$D$1000,MATCH($A45,Companies!$B$2:$B$1000,0)),""))</f>
        <v/>
      </c>
      <c r="D45" s="24"/>
      <c r="E45" s="22"/>
      <c r="F45" s="24"/>
      <c r="G45" s="24" t="str">
        <f t="shared" si="1"/>
        <v/>
      </c>
      <c r="H45" s="22"/>
      <c r="I45" s="22"/>
      <c r="K45" s="1"/>
    </row>
    <row r="46" ht="15.0" customHeight="1">
      <c r="A46" s="22"/>
      <c r="B46" s="22" t="str">
        <f t="array" ref="B46">IF($A46="","",IFERROR(INDEX(Companies!$C$2:$C$1000,MATCH($A46,Companies!$B$2:$B$1000,0)),""))</f>
        <v/>
      </c>
      <c r="C46" s="22" t="str">
        <f t="array" ref="C46">IF($A46="","",IFERROR(INDEX(Companies!$D$2:$D$1000,MATCH($A46,Companies!$B$2:$B$1000,0)),""))</f>
        <v/>
      </c>
      <c r="D46" s="24"/>
      <c r="E46" s="22"/>
      <c r="F46" s="24"/>
      <c r="G46" s="24" t="str">
        <f t="shared" si="1"/>
        <v/>
      </c>
      <c r="H46" s="22"/>
      <c r="I46" s="22"/>
      <c r="K46" s="1"/>
    </row>
    <row r="47" ht="15.0" customHeight="1">
      <c r="A47" s="22"/>
      <c r="B47" s="22" t="str">
        <f t="array" ref="B47">IF($A47="","",IFERROR(INDEX(Companies!$C$2:$C$1000,MATCH($A47,Companies!$B$2:$B$1000,0)),""))</f>
        <v/>
      </c>
      <c r="C47" s="22" t="str">
        <f t="array" ref="C47">IF($A47="","",IFERROR(INDEX(Companies!$D$2:$D$1000,MATCH($A47,Companies!$B$2:$B$1000,0)),""))</f>
        <v/>
      </c>
      <c r="D47" s="24"/>
      <c r="E47" s="22"/>
      <c r="F47" s="24"/>
      <c r="G47" s="24" t="str">
        <f t="shared" si="1"/>
        <v/>
      </c>
      <c r="H47" s="22"/>
      <c r="I47" s="22"/>
      <c r="K47" s="1"/>
    </row>
    <row r="48" ht="15.0" customHeight="1">
      <c r="A48" s="22"/>
      <c r="B48" s="22" t="str">
        <f t="array" ref="B48">IF($A48="","",IFERROR(INDEX(Companies!$C$2:$C$1000,MATCH($A48,Companies!$B$2:$B$1000,0)),""))</f>
        <v/>
      </c>
      <c r="C48" s="22" t="str">
        <f t="array" ref="C48">IF($A48="","",IFERROR(INDEX(Companies!$D$2:$D$1000,MATCH($A48,Companies!$B$2:$B$1000,0)),""))</f>
        <v/>
      </c>
      <c r="D48" s="24"/>
      <c r="E48" s="22"/>
      <c r="F48" s="24"/>
      <c r="G48" s="24" t="str">
        <f t="shared" si="1"/>
        <v/>
      </c>
      <c r="H48" s="22"/>
      <c r="I48" s="22"/>
      <c r="K48" s="1"/>
    </row>
    <row r="49" ht="15.0" customHeight="1">
      <c r="A49" s="22"/>
      <c r="B49" s="22" t="str">
        <f t="array" ref="B49">IF($A49="","",IFERROR(INDEX(Companies!$C$2:$C$1000,MATCH($A49,Companies!$B$2:$B$1000,0)),""))</f>
        <v/>
      </c>
      <c r="C49" s="22" t="str">
        <f t="array" ref="C49">IF($A49="","",IFERROR(INDEX(Companies!$D$2:$D$1000,MATCH($A49,Companies!$B$2:$B$1000,0)),""))</f>
        <v/>
      </c>
      <c r="D49" s="24"/>
      <c r="E49" s="22"/>
      <c r="F49" s="24"/>
      <c r="G49" s="24" t="str">
        <f t="shared" si="1"/>
        <v/>
      </c>
      <c r="H49" s="22"/>
      <c r="I49" s="22"/>
      <c r="K49" s="1"/>
    </row>
    <row r="50" ht="15.0" customHeight="1">
      <c r="A50" s="22"/>
      <c r="B50" s="22" t="str">
        <f t="array" ref="B50">IF($A50="","",IFERROR(INDEX(Companies!$C$2:$C$1000,MATCH($A50,Companies!$B$2:$B$1000,0)),""))</f>
        <v/>
      </c>
      <c r="C50" s="22" t="str">
        <f t="array" ref="C50">IF($A50="","",IFERROR(INDEX(Companies!$D$2:$D$1000,MATCH($A50,Companies!$B$2:$B$1000,0)),""))</f>
        <v/>
      </c>
      <c r="D50" s="24"/>
      <c r="E50" s="22"/>
      <c r="F50" s="24"/>
      <c r="G50" s="24" t="str">
        <f t="shared" si="1"/>
        <v/>
      </c>
      <c r="H50" s="22"/>
      <c r="I50" s="22"/>
      <c r="K50" s="1"/>
    </row>
    <row r="51" ht="15.0" customHeight="1">
      <c r="A51" s="22"/>
      <c r="B51" s="22" t="str">
        <f t="array" ref="B51">IF($A51="","",IFERROR(INDEX(Companies!$C$2:$C$1000,MATCH($A51,Companies!$B$2:$B$1000,0)),""))</f>
        <v/>
      </c>
      <c r="C51" s="22" t="str">
        <f t="array" ref="C51">IF($A51="","",IFERROR(INDEX(Companies!$D$2:$D$1000,MATCH($A51,Companies!$B$2:$B$1000,0)),""))</f>
        <v/>
      </c>
      <c r="D51" s="24"/>
      <c r="E51" s="22"/>
      <c r="F51" s="24"/>
      <c r="G51" s="24" t="str">
        <f t="shared" si="1"/>
        <v/>
      </c>
      <c r="H51" s="22"/>
      <c r="I51" s="22"/>
      <c r="K51" s="1"/>
    </row>
    <row r="52" ht="15.0" customHeight="1">
      <c r="A52" s="22"/>
      <c r="B52" s="22" t="str">
        <f t="array" ref="B52">IF($A52="","",IFERROR(INDEX(Companies!$C$2:$C$1000,MATCH($A52,Companies!$B$2:$B$1000,0)),""))</f>
        <v/>
      </c>
      <c r="C52" s="22" t="str">
        <f t="array" ref="C52">IF($A52="","",IFERROR(INDEX(Companies!$D$2:$D$1000,MATCH($A52,Companies!$B$2:$B$1000,0)),""))</f>
        <v/>
      </c>
      <c r="D52" s="24"/>
      <c r="E52" s="22"/>
      <c r="F52" s="24"/>
      <c r="G52" s="24" t="str">
        <f t="shared" si="1"/>
        <v/>
      </c>
      <c r="H52" s="22"/>
      <c r="I52" s="22"/>
      <c r="K52" s="1"/>
    </row>
    <row r="53" ht="15.0" customHeight="1">
      <c r="A53" s="22"/>
      <c r="B53" s="22" t="str">
        <f t="array" ref="B53">IF($A53="","",IFERROR(INDEX(Companies!$C$2:$C$1000,MATCH($A53,Companies!$B$2:$B$1000,0)),""))</f>
        <v/>
      </c>
      <c r="C53" s="22" t="str">
        <f t="array" ref="C53">IF($A53="","",IFERROR(INDEX(Companies!$D$2:$D$1000,MATCH($A53,Companies!$B$2:$B$1000,0)),""))</f>
        <v/>
      </c>
      <c r="D53" s="24"/>
      <c r="E53" s="22"/>
      <c r="F53" s="24"/>
      <c r="G53" s="24" t="str">
        <f t="shared" si="1"/>
        <v/>
      </c>
      <c r="H53" s="22"/>
      <c r="I53" s="22"/>
      <c r="K53" s="1"/>
    </row>
    <row r="54" ht="15.0" customHeight="1">
      <c r="A54" s="22"/>
      <c r="B54" s="22" t="str">
        <f t="array" ref="B54">IF($A54="","",IFERROR(INDEX(Companies!$C$2:$C$1000,MATCH($A54,Companies!$B$2:$B$1000,0)),""))</f>
        <v/>
      </c>
      <c r="C54" s="22" t="str">
        <f t="array" ref="C54">IF($A54="","",IFERROR(INDEX(Companies!$D$2:$D$1000,MATCH($A54,Companies!$B$2:$B$1000,0)),""))</f>
        <v/>
      </c>
      <c r="D54" s="24"/>
      <c r="E54" s="22"/>
      <c r="F54" s="24"/>
      <c r="G54" s="24" t="str">
        <f t="shared" si="1"/>
        <v/>
      </c>
      <c r="H54" s="22"/>
      <c r="I54" s="22"/>
      <c r="K54" s="1"/>
    </row>
    <row r="55" ht="15.0" customHeight="1">
      <c r="A55" s="22"/>
      <c r="B55" s="22" t="str">
        <f t="array" ref="B55">IF($A55="","",IFERROR(INDEX(Companies!$C$2:$C$1000,MATCH($A55,Companies!$B$2:$B$1000,0)),""))</f>
        <v/>
      </c>
      <c r="C55" s="22" t="str">
        <f t="array" ref="C55">IF($A55="","",IFERROR(INDEX(Companies!$D$2:$D$1000,MATCH($A55,Companies!$B$2:$B$1000,0)),""))</f>
        <v/>
      </c>
      <c r="D55" s="24"/>
      <c r="E55" s="22"/>
      <c r="F55" s="24"/>
      <c r="G55" s="24" t="str">
        <f t="shared" si="1"/>
        <v/>
      </c>
      <c r="H55" s="22"/>
      <c r="I55" s="22"/>
      <c r="K55" s="1"/>
    </row>
    <row r="56" ht="15.0" customHeight="1">
      <c r="A56" s="22"/>
      <c r="B56" s="22" t="str">
        <f t="array" ref="B56">IF($A56="","",IFERROR(INDEX(Companies!$C$2:$C$1000,MATCH($A56,Companies!$B$2:$B$1000,0)),""))</f>
        <v/>
      </c>
      <c r="C56" s="22" t="str">
        <f t="array" ref="C56">IF($A56="","",IFERROR(INDEX(Companies!$D$2:$D$1000,MATCH($A56,Companies!$B$2:$B$1000,0)),""))</f>
        <v/>
      </c>
      <c r="D56" s="24"/>
      <c r="E56" s="22"/>
      <c r="F56" s="24"/>
      <c r="G56" s="24" t="str">
        <f t="shared" si="1"/>
        <v/>
      </c>
      <c r="H56" s="22"/>
      <c r="I56" s="22"/>
      <c r="K56" s="1"/>
    </row>
    <row r="57" ht="15.0" customHeight="1">
      <c r="A57" s="22"/>
      <c r="B57" s="22" t="str">
        <f t="array" ref="B57">IF($A57="","",IFERROR(INDEX(Companies!$C$2:$C$1000,MATCH($A57,Companies!$B$2:$B$1000,0)),""))</f>
        <v/>
      </c>
      <c r="C57" s="22" t="str">
        <f t="array" ref="C57">IF($A57="","",IFERROR(INDEX(Companies!$D$2:$D$1000,MATCH($A57,Companies!$B$2:$B$1000,0)),""))</f>
        <v/>
      </c>
      <c r="D57" s="24"/>
      <c r="E57" s="22"/>
      <c r="F57" s="24"/>
      <c r="G57" s="24" t="str">
        <f t="shared" si="1"/>
        <v/>
      </c>
      <c r="H57" s="22"/>
      <c r="I57" s="22"/>
      <c r="K57" s="1"/>
    </row>
    <row r="58" ht="15.0" customHeight="1">
      <c r="A58" s="22"/>
      <c r="B58" s="22" t="str">
        <f t="array" ref="B58">IF($A58="","",IFERROR(INDEX(Companies!$C$2:$C$1000,MATCH($A58,Companies!$B$2:$B$1000,0)),""))</f>
        <v/>
      </c>
      <c r="C58" s="22" t="str">
        <f t="array" ref="C58">IF($A58="","",IFERROR(INDEX(Companies!$D$2:$D$1000,MATCH($A58,Companies!$B$2:$B$1000,0)),""))</f>
        <v/>
      </c>
      <c r="D58" s="24"/>
      <c r="E58" s="22"/>
      <c r="F58" s="24"/>
      <c r="G58" s="24" t="str">
        <f t="shared" si="1"/>
        <v/>
      </c>
      <c r="H58" s="22"/>
      <c r="I58" s="22"/>
      <c r="K58" s="1"/>
    </row>
    <row r="59" ht="15.0" customHeight="1">
      <c r="A59" s="22"/>
      <c r="B59" s="22" t="str">
        <f t="array" ref="B59">IF($A59="","",IFERROR(INDEX(Companies!$C$2:$C$1000,MATCH($A59,Companies!$B$2:$B$1000,0)),""))</f>
        <v/>
      </c>
      <c r="C59" s="22" t="str">
        <f t="array" ref="C59">IF($A59="","",IFERROR(INDEX(Companies!$D$2:$D$1000,MATCH($A59,Companies!$B$2:$B$1000,0)),""))</f>
        <v/>
      </c>
      <c r="D59" s="24"/>
      <c r="E59" s="22"/>
      <c r="F59" s="24"/>
      <c r="G59" s="24" t="str">
        <f t="shared" si="1"/>
        <v/>
      </c>
      <c r="H59" s="22"/>
      <c r="I59" s="22"/>
      <c r="K59" s="1"/>
    </row>
    <row r="60" ht="15.0" customHeight="1">
      <c r="A60" s="22"/>
      <c r="B60" s="22" t="str">
        <f t="array" ref="B60">IF($A60="","",IFERROR(INDEX(Companies!$C$2:$C$1000,MATCH($A60,Companies!$B$2:$B$1000,0)),""))</f>
        <v/>
      </c>
      <c r="C60" s="22" t="str">
        <f t="array" ref="C60">IF($A60="","",IFERROR(INDEX(Companies!$D$2:$D$1000,MATCH($A60,Companies!$B$2:$B$1000,0)),""))</f>
        <v/>
      </c>
      <c r="D60" s="24"/>
      <c r="E60" s="22"/>
      <c r="F60" s="24"/>
      <c r="G60" s="24" t="str">
        <f t="shared" si="1"/>
        <v/>
      </c>
      <c r="H60" s="22"/>
      <c r="I60" s="22"/>
      <c r="K60" s="1"/>
    </row>
    <row r="61" ht="15.0" customHeight="1">
      <c r="A61" s="22"/>
      <c r="B61" s="22" t="str">
        <f t="array" ref="B61">IF($A61="","",IFERROR(INDEX(Companies!$C$2:$C$1000,MATCH($A61,Companies!$B$2:$B$1000,0)),""))</f>
        <v/>
      </c>
      <c r="C61" s="22" t="str">
        <f t="array" ref="C61">IF($A61="","",IFERROR(INDEX(Companies!$D$2:$D$1000,MATCH($A61,Companies!$B$2:$B$1000,0)),""))</f>
        <v/>
      </c>
      <c r="D61" s="24"/>
      <c r="E61" s="22"/>
      <c r="F61" s="24"/>
      <c r="G61" s="24" t="str">
        <f t="shared" si="1"/>
        <v/>
      </c>
      <c r="H61" s="22"/>
      <c r="I61" s="22"/>
      <c r="K61" s="1"/>
    </row>
    <row r="62" ht="15.0" customHeight="1">
      <c r="A62" s="22"/>
      <c r="B62" s="22" t="str">
        <f t="array" ref="B62">IF($A62="","",IFERROR(INDEX(Companies!$C$2:$C$1000,MATCH($A62,Companies!$B$2:$B$1000,0)),""))</f>
        <v/>
      </c>
      <c r="C62" s="22" t="str">
        <f t="array" ref="C62">IF($A62="","",IFERROR(INDEX(Companies!$D$2:$D$1000,MATCH($A62,Companies!$B$2:$B$1000,0)),""))</f>
        <v/>
      </c>
      <c r="D62" s="24"/>
      <c r="E62" s="22"/>
      <c r="F62" s="24"/>
      <c r="G62" s="24" t="str">
        <f t="shared" si="1"/>
        <v/>
      </c>
      <c r="H62" s="22"/>
      <c r="I62" s="22"/>
      <c r="K62" s="1"/>
    </row>
    <row r="63" ht="15.0" customHeight="1">
      <c r="A63" s="22"/>
      <c r="B63" s="22" t="str">
        <f t="array" ref="B63">IF($A63="","",IFERROR(INDEX(Companies!$C$2:$C$1000,MATCH($A63,Companies!$B$2:$B$1000,0)),""))</f>
        <v/>
      </c>
      <c r="C63" s="22" t="str">
        <f t="array" ref="C63">IF($A63="","",IFERROR(INDEX(Companies!$D$2:$D$1000,MATCH($A63,Companies!$B$2:$B$1000,0)),""))</f>
        <v/>
      </c>
      <c r="D63" s="24"/>
      <c r="E63" s="22"/>
      <c r="F63" s="24"/>
      <c r="G63" s="24" t="str">
        <f t="shared" si="1"/>
        <v/>
      </c>
      <c r="H63" s="22"/>
      <c r="I63" s="22"/>
      <c r="K63" s="1"/>
    </row>
    <row r="64" ht="15.0" customHeight="1">
      <c r="A64" s="22"/>
      <c r="B64" s="22" t="str">
        <f t="array" ref="B64">IF($A64="","",IFERROR(INDEX(Companies!$C$2:$C$1000,MATCH($A64,Companies!$B$2:$B$1000,0)),""))</f>
        <v/>
      </c>
      <c r="C64" s="22" t="str">
        <f t="array" ref="C64">IF($A64="","",IFERROR(INDEX(Companies!$D$2:$D$1000,MATCH($A64,Companies!$B$2:$B$1000,0)),""))</f>
        <v/>
      </c>
      <c r="D64" s="24"/>
      <c r="E64" s="22"/>
      <c r="F64" s="24"/>
      <c r="G64" s="24" t="str">
        <f t="shared" si="1"/>
        <v/>
      </c>
      <c r="H64" s="22"/>
      <c r="I64" s="22"/>
      <c r="K64" s="1"/>
    </row>
    <row r="65" ht="15.0" customHeight="1">
      <c r="A65" s="22"/>
      <c r="B65" s="22" t="str">
        <f t="array" ref="B65">IF($A65="","",IFERROR(INDEX(Companies!$C$2:$C$1000,MATCH($A65,Companies!$B$2:$B$1000,0)),""))</f>
        <v/>
      </c>
      <c r="C65" s="22" t="str">
        <f t="array" ref="C65">IF($A65="","",IFERROR(INDEX(Companies!$D$2:$D$1000,MATCH($A65,Companies!$B$2:$B$1000,0)),""))</f>
        <v/>
      </c>
      <c r="D65" s="24"/>
      <c r="E65" s="22"/>
      <c r="F65" s="24"/>
      <c r="G65" s="24" t="str">
        <f t="shared" si="1"/>
        <v/>
      </c>
      <c r="H65" s="22"/>
      <c r="I65" s="22"/>
      <c r="K65" s="1"/>
    </row>
    <row r="66" ht="15.0" customHeight="1">
      <c r="A66" s="22"/>
      <c r="B66" s="22" t="str">
        <f t="array" ref="B66">IF($A66="","",IFERROR(INDEX(Companies!$C$2:$C$1000,MATCH($A66,Companies!$B$2:$B$1000,0)),""))</f>
        <v/>
      </c>
      <c r="C66" s="22" t="str">
        <f t="array" ref="C66">IF($A66="","",IFERROR(INDEX(Companies!$D$2:$D$1000,MATCH($A66,Companies!$B$2:$B$1000,0)),""))</f>
        <v/>
      </c>
      <c r="D66" s="24"/>
      <c r="E66" s="22"/>
      <c r="F66" s="24"/>
      <c r="G66" s="24" t="str">
        <f t="shared" si="1"/>
        <v/>
      </c>
      <c r="H66" s="22"/>
      <c r="I66" s="22"/>
      <c r="K66" s="1"/>
    </row>
    <row r="67" ht="15.0" customHeight="1">
      <c r="A67" s="22"/>
      <c r="B67" s="22" t="str">
        <f t="array" ref="B67">IF($A67="","",IFERROR(INDEX(Companies!$C$2:$C$1000,MATCH($A67,Companies!$B$2:$B$1000,0)),""))</f>
        <v/>
      </c>
      <c r="C67" s="22" t="str">
        <f t="array" ref="C67">IF($A67="","",IFERROR(INDEX(Companies!$D$2:$D$1000,MATCH($A67,Companies!$B$2:$B$1000,0)),""))</f>
        <v/>
      </c>
      <c r="D67" s="24"/>
      <c r="E67" s="22"/>
      <c r="F67" s="24"/>
      <c r="G67" s="24" t="str">
        <f t="shared" si="1"/>
        <v/>
      </c>
      <c r="H67" s="22"/>
      <c r="I67" s="22"/>
      <c r="K67" s="1"/>
    </row>
    <row r="68" ht="15.0" customHeight="1">
      <c r="A68" s="22"/>
      <c r="B68" s="22" t="str">
        <f t="array" ref="B68">IF($A68="","",IFERROR(INDEX(Companies!$C$2:$C$1000,MATCH($A68,Companies!$B$2:$B$1000,0)),""))</f>
        <v/>
      </c>
      <c r="C68" s="22" t="str">
        <f t="array" ref="C68">IF($A68="","",IFERROR(INDEX(Companies!$D$2:$D$1000,MATCH($A68,Companies!$B$2:$B$1000,0)),""))</f>
        <v/>
      </c>
      <c r="D68" s="24"/>
      <c r="E68" s="22"/>
      <c r="F68" s="24"/>
      <c r="G68" s="24" t="str">
        <f t="shared" si="1"/>
        <v/>
      </c>
      <c r="H68" s="22"/>
      <c r="I68" s="22"/>
      <c r="K68" s="1"/>
    </row>
    <row r="69" ht="15.0" customHeight="1">
      <c r="A69" s="22"/>
      <c r="B69" s="22" t="str">
        <f t="array" ref="B69">IF($A69="","",IFERROR(INDEX(Companies!$C$2:$C$1000,MATCH($A69,Companies!$B$2:$B$1000,0)),""))</f>
        <v/>
      </c>
      <c r="C69" s="22" t="str">
        <f t="array" ref="C69">IF($A69="","",IFERROR(INDEX(Companies!$D$2:$D$1000,MATCH($A69,Companies!$B$2:$B$1000,0)),""))</f>
        <v/>
      </c>
      <c r="D69" s="24"/>
      <c r="E69" s="22"/>
      <c r="F69" s="24"/>
      <c r="G69" s="24" t="str">
        <f t="shared" si="1"/>
        <v/>
      </c>
      <c r="H69" s="22"/>
      <c r="I69" s="22"/>
      <c r="K69" s="1"/>
    </row>
    <row r="70" ht="15.0" customHeight="1">
      <c r="A70" s="22"/>
      <c r="B70" s="22" t="str">
        <f t="array" ref="B70">IF($A70="","",IFERROR(INDEX(Companies!$C$2:$C$1000,MATCH($A70,Companies!$B$2:$B$1000,0)),""))</f>
        <v/>
      </c>
      <c r="C70" s="22" t="str">
        <f t="array" ref="C70">IF($A70="","",IFERROR(INDEX(Companies!$D$2:$D$1000,MATCH($A70,Companies!$B$2:$B$1000,0)),""))</f>
        <v/>
      </c>
      <c r="D70" s="24"/>
      <c r="E70" s="22"/>
      <c r="F70" s="24"/>
      <c r="G70" s="24" t="str">
        <f t="shared" si="1"/>
        <v/>
      </c>
      <c r="H70" s="22"/>
      <c r="I70" s="22"/>
      <c r="K70" s="1"/>
    </row>
    <row r="71" ht="15.0" customHeight="1">
      <c r="A71" s="22"/>
      <c r="B71" s="22" t="str">
        <f t="array" ref="B71">IF($A71="","",IFERROR(INDEX(Companies!$C$2:$C$1000,MATCH($A71,Companies!$B$2:$B$1000,0)),""))</f>
        <v/>
      </c>
      <c r="C71" s="22" t="str">
        <f t="array" ref="C71">IF($A71="","",IFERROR(INDEX(Companies!$D$2:$D$1000,MATCH($A71,Companies!$B$2:$B$1000,0)),""))</f>
        <v/>
      </c>
      <c r="D71" s="24"/>
      <c r="E71" s="22"/>
      <c r="F71" s="24"/>
      <c r="G71" s="24" t="str">
        <f t="shared" si="1"/>
        <v/>
      </c>
      <c r="H71" s="22"/>
      <c r="I71" s="22"/>
      <c r="K71" s="1"/>
    </row>
    <row r="72" ht="15.0" customHeight="1">
      <c r="A72" s="22"/>
      <c r="B72" s="22" t="str">
        <f t="array" ref="B72">IF($A72="","",IFERROR(INDEX(Companies!$C$2:$C$1000,MATCH($A72,Companies!$B$2:$B$1000,0)),""))</f>
        <v/>
      </c>
      <c r="C72" s="22" t="str">
        <f t="array" ref="C72">IF($A72="","",IFERROR(INDEX(Companies!$D$2:$D$1000,MATCH($A72,Companies!$B$2:$B$1000,0)),""))</f>
        <v/>
      </c>
      <c r="D72" s="24"/>
      <c r="E72" s="22"/>
      <c r="F72" s="24"/>
      <c r="G72" s="24" t="str">
        <f t="shared" si="1"/>
        <v/>
      </c>
      <c r="H72" s="22"/>
      <c r="I72" s="22"/>
      <c r="K72" s="1"/>
    </row>
    <row r="73" ht="15.0" customHeight="1">
      <c r="A73" s="22"/>
      <c r="B73" s="22" t="str">
        <f t="array" ref="B73">IF($A73="","",IFERROR(INDEX(Companies!$C$2:$C$1000,MATCH($A73,Companies!$B$2:$B$1000,0)),""))</f>
        <v/>
      </c>
      <c r="C73" s="22" t="str">
        <f t="array" ref="C73">IF($A73="","",IFERROR(INDEX(Companies!$D$2:$D$1000,MATCH($A73,Companies!$B$2:$B$1000,0)),""))</f>
        <v/>
      </c>
      <c r="D73" s="24"/>
      <c r="E73" s="22"/>
      <c r="F73" s="24"/>
      <c r="G73" s="24" t="str">
        <f t="shared" si="1"/>
        <v/>
      </c>
      <c r="H73" s="22"/>
      <c r="I73" s="22"/>
      <c r="K73" s="1"/>
    </row>
    <row r="74" ht="15.0" customHeight="1">
      <c r="A74" s="22"/>
      <c r="B74" s="22" t="str">
        <f t="array" ref="B74">IF($A74="","",IFERROR(INDEX(Companies!$C$2:$C$1000,MATCH($A74,Companies!$B$2:$B$1000,0)),""))</f>
        <v/>
      </c>
      <c r="C74" s="22" t="str">
        <f t="array" ref="C74">IF($A74="","",IFERROR(INDEX(Companies!$D$2:$D$1000,MATCH($A74,Companies!$B$2:$B$1000,0)),""))</f>
        <v/>
      </c>
      <c r="D74" s="24"/>
      <c r="E74" s="22"/>
      <c r="F74" s="24"/>
      <c r="G74" s="24" t="str">
        <f t="shared" si="1"/>
        <v/>
      </c>
      <c r="H74" s="22"/>
      <c r="I74" s="22"/>
      <c r="K74" s="1"/>
    </row>
    <row r="75" ht="15.0" customHeight="1">
      <c r="A75" s="22"/>
      <c r="B75" s="22" t="str">
        <f t="array" ref="B75">IF($A75="","",IFERROR(INDEX(Companies!$C$2:$C$1000,MATCH($A75,Companies!$B$2:$B$1000,0)),""))</f>
        <v/>
      </c>
      <c r="C75" s="22" t="str">
        <f t="array" ref="C75">IF($A75="","",IFERROR(INDEX(Companies!$D$2:$D$1000,MATCH($A75,Companies!$B$2:$B$1000,0)),""))</f>
        <v/>
      </c>
      <c r="D75" s="24"/>
      <c r="E75" s="22"/>
      <c r="F75" s="24"/>
      <c r="G75" s="24" t="str">
        <f t="shared" si="1"/>
        <v/>
      </c>
      <c r="H75" s="22"/>
      <c r="I75" s="22"/>
      <c r="K75" s="1"/>
    </row>
    <row r="76" ht="15.0" customHeight="1">
      <c r="A76" s="22"/>
      <c r="B76" s="22" t="str">
        <f t="array" ref="B76">IF($A76="","",IFERROR(INDEX(Companies!$C$2:$C$1000,MATCH($A76,Companies!$B$2:$B$1000,0)),""))</f>
        <v/>
      </c>
      <c r="C76" s="22" t="str">
        <f t="array" ref="C76">IF($A76="","",IFERROR(INDEX(Companies!$D$2:$D$1000,MATCH($A76,Companies!$B$2:$B$1000,0)),""))</f>
        <v/>
      </c>
      <c r="D76" s="24"/>
      <c r="E76" s="22"/>
      <c r="F76" s="24"/>
      <c r="G76" s="24" t="str">
        <f t="shared" si="1"/>
        <v/>
      </c>
      <c r="H76" s="22"/>
      <c r="I76" s="22"/>
      <c r="K76" s="1"/>
    </row>
    <row r="77" ht="15.0" customHeight="1">
      <c r="A77" s="22"/>
      <c r="B77" s="22" t="str">
        <f t="array" ref="B77">IF($A77="","",IFERROR(INDEX(Companies!$C$2:$C$1000,MATCH($A77,Companies!$B$2:$B$1000,0)),""))</f>
        <v/>
      </c>
      <c r="C77" s="22" t="str">
        <f t="array" ref="C77">IF($A77="","",IFERROR(INDEX(Companies!$D$2:$D$1000,MATCH($A77,Companies!$B$2:$B$1000,0)),""))</f>
        <v/>
      </c>
      <c r="D77" s="24"/>
      <c r="E77" s="22"/>
      <c r="F77" s="24"/>
      <c r="G77" s="24" t="str">
        <f t="shared" si="1"/>
        <v/>
      </c>
      <c r="H77" s="22"/>
      <c r="I77" s="22"/>
      <c r="K77" s="1"/>
    </row>
    <row r="78" ht="15.0" customHeight="1">
      <c r="A78" s="22"/>
      <c r="B78" s="22" t="str">
        <f t="array" ref="B78">IF($A78="","",IFERROR(INDEX(Companies!$C$2:$C$1000,MATCH($A78,Companies!$B$2:$B$1000,0)),""))</f>
        <v/>
      </c>
      <c r="C78" s="22" t="str">
        <f t="array" ref="C78">IF($A78="","",IFERROR(INDEX(Companies!$D$2:$D$1000,MATCH($A78,Companies!$B$2:$B$1000,0)),""))</f>
        <v/>
      </c>
      <c r="D78" s="24"/>
      <c r="E78" s="22"/>
      <c r="F78" s="24"/>
      <c r="G78" s="24" t="str">
        <f t="shared" si="1"/>
        <v/>
      </c>
      <c r="H78" s="22"/>
      <c r="I78" s="22"/>
      <c r="K78" s="1"/>
    </row>
    <row r="79" ht="15.0" customHeight="1">
      <c r="A79" s="22"/>
      <c r="B79" s="22" t="str">
        <f t="array" ref="B79">IF($A79="","",IFERROR(INDEX(Companies!$C$2:$C$1000,MATCH($A79,Companies!$B$2:$B$1000,0)),""))</f>
        <v/>
      </c>
      <c r="C79" s="22" t="str">
        <f t="array" ref="C79">IF($A79="","",IFERROR(INDEX(Companies!$D$2:$D$1000,MATCH($A79,Companies!$B$2:$B$1000,0)),""))</f>
        <v/>
      </c>
      <c r="D79" s="24"/>
      <c r="E79" s="22"/>
      <c r="F79" s="24"/>
      <c r="G79" s="24" t="str">
        <f t="shared" si="1"/>
        <v/>
      </c>
      <c r="H79" s="22"/>
      <c r="I79" s="22"/>
      <c r="K79" s="1"/>
    </row>
    <row r="80" ht="15.0" customHeight="1">
      <c r="A80" s="22"/>
      <c r="B80" s="22" t="str">
        <f t="array" ref="B80">IF($A80="","",IFERROR(INDEX(Companies!$C$2:$C$1000,MATCH($A80,Companies!$B$2:$B$1000,0)),""))</f>
        <v/>
      </c>
      <c r="C80" s="22" t="str">
        <f t="array" ref="C80">IF($A80="","",IFERROR(INDEX(Companies!$D$2:$D$1000,MATCH($A80,Companies!$B$2:$B$1000,0)),""))</f>
        <v/>
      </c>
      <c r="D80" s="24"/>
      <c r="E80" s="22"/>
      <c r="F80" s="24"/>
      <c r="G80" s="24" t="str">
        <f t="shared" si="1"/>
        <v/>
      </c>
      <c r="H80" s="22"/>
      <c r="I80" s="22"/>
      <c r="K80" s="1"/>
    </row>
    <row r="81" ht="15.0" customHeight="1">
      <c r="A81" s="22"/>
      <c r="B81" s="22" t="str">
        <f t="array" ref="B81">IF($A81="","",IFERROR(INDEX(Companies!$C$2:$C$1000,MATCH($A81,Companies!$B$2:$B$1000,0)),""))</f>
        <v/>
      </c>
      <c r="C81" s="22" t="str">
        <f t="array" ref="C81">IF($A81="","",IFERROR(INDEX(Companies!$D$2:$D$1000,MATCH($A81,Companies!$B$2:$B$1000,0)),""))</f>
        <v/>
      </c>
      <c r="D81" s="24"/>
      <c r="E81" s="22"/>
      <c r="F81" s="24"/>
      <c r="G81" s="24" t="str">
        <f t="shared" si="1"/>
        <v/>
      </c>
      <c r="H81" s="22"/>
      <c r="I81" s="22"/>
      <c r="K81" s="1"/>
    </row>
    <row r="82" ht="15.0" customHeight="1">
      <c r="A82" s="22"/>
      <c r="B82" s="22" t="str">
        <f t="array" ref="B82">IF($A82="","",IFERROR(INDEX(Companies!$C$2:$C$1000,MATCH($A82,Companies!$B$2:$B$1000,0)),""))</f>
        <v/>
      </c>
      <c r="C82" s="22" t="str">
        <f t="array" ref="C82">IF($A82="","",IFERROR(INDEX(Companies!$D$2:$D$1000,MATCH($A82,Companies!$B$2:$B$1000,0)),""))</f>
        <v/>
      </c>
      <c r="D82" s="24"/>
      <c r="E82" s="22"/>
      <c r="F82" s="24"/>
      <c r="G82" s="24" t="str">
        <f t="shared" si="1"/>
        <v/>
      </c>
      <c r="H82" s="22"/>
      <c r="I82" s="22"/>
      <c r="K82" s="1"/>
    </row>
    <row r="83" ht="15.0" customHeight="1">
      <c r="A83" s="22"/>
      <c r="B83" s="22" t="str">
        <f t="array" ref="B83">IF($A83="","",IFERROR(INDEX(Companies!$C$2:$C$1000,MATCH($A83,Companies!$B$2:$B$1000,0)),""))</f>
        <v/>
      </c>
      <c r="C83" s="22" t="str">
        <f t="array" ref="C83">IF($A83="","",IFERROR(INDEX(Companies!$D$2:$D$1000,MATCH($A83,Companies!$B$2:$B$1000,0)),""))</f>
        <v/>
      </c>
      <c r="D83" s="24"/>
      <c r="E83" s="22"/>
      <c r="F83" s="24"/>
      <c r="G83" s="24" t="str">
        <f t="shared" si="1"/>
        <v/>
      </c>
      <c r="H83" s="22"/>
      <c r="I83" s="22"/>
      <c r="K83" s="1"/>
    </row>
    <row r="84" ht="15.0" customHeight="1">
      <c r="A84" s="22"/>
      <c r="B84" s="22" t="str">
        <f t="array" ref="B84">IF($A84="","",IFERROR(INDEX(Companies!$C$2:$C$1000,MATCH($A84,Companies!$B$2:$B$1000,0)),""))</f>
        <v/>
      </c>
      <c r="C84" s="22" t="str">
        <f t="array" ref="C84">IF($A84="","",IFERROR(INDEX(Companies!$D$2:$D$1000,MATCH($A84,Companies!$B$2:$B$1000,0)),""))</f>
        <v/>
      </c>
      <c r="D84" s="24"/>
      <c r="E84" s="22"/>
      <c r="F84" s="24"/>
      <c r="G84" s="24" t="str">
        <f t="shared" si="1"/>
        <v/>
      </c>
      <c r="H84" s="22"/>
      <c r="I84" s="22"/>
      <c r="K84" s="1"/>
    </row>
    <row r="85" ht="15.0" customHeight="1">
      <c r="A85" s="22"/>
      <c r="B85" s="22" t="str">
        <f t="array" ref="B85">IF($A85="","",IFERROR(INDEX(Companies!$C$2:$C$1000,MATCH($A85,Companies!$B$2:$B$1000,0)),""))</f>
        <v/>
      </c>
      <c r="C85" s="22" t="str">
        <f t="array" ref="C85">IF($A85="","",IFERROR(INDEX(Companies!$D$2:$D$1000,MATCH($A85,Companies!$B$2:$B$1000,0)),""))</f>
        <v/>
      </c>
      <c r="D85" s="24"/>
      <c r="E85" s="22"/>
      <c r="F85" s="24"/>
      <c r="G85" s="24" t="str">
        <f t="shared" si="1"/>
        <v/>
      </c>
      <c r="H85" s="22"/>
      <c r="I85" s="22"/>
      <c r="K85" s="1"/>
    </row>
    <row r="86" ht="15.0" customHeight="1">
      <c r="A86" s="22"/>
      <c r="B86" s="22" t="str">
        <f t="array" ref="B86">IF($A86="","",IFERROR(INDEX(Companies!$C$2:$C$1000,MATCH($A86,Companies!$B$2:$B$1000,0)),""))</f>
        <v/>
      </c>
      <c r="C86" s="22" t="str">
        <f t="array" ref="C86">IF($A86="","",IFERROR(INDEX(Companies!$D$2:$D$1000,MATCH($A86,Companies!$B$2:$B$1000,0)),""))</f>
        <v/>
      </c>
      <c r="D86" s="24"/>
      <c r="E86" s="22"/>
      <c r="F86" s="24"/>
      <c r="G86" s="24" t="str">
        <f t="shared" si="1"/>
        <v/>
      </c>
      <c r="H86" s="22"/>
      <c r="I86" s="22"/>
      <c r="K86" s="1"/>
    </row>
    <row r="87" ht="15.0" customHeight="1">
      <c r="A87" s="22"/>
      <c r="B87" s="22" t="str">
        <f t="array" ref="B87">IF($A87="","",IFERROR(INDEX(Companies!$C$2:$C$1000,MATCH($A87,Companies!$B$2:$B$1000,0)),""))</f>
        <v/>
      </c>
      <c r="C87" s="22" t="str">
        <f t="array" ref="C87">IF($A87="","",IFERROR(INDEX(Companies!$D$2:$D$1000,MATCH($A87,Companies!$B$2:$B$1000,0)),""))</f>
        <v/>
      </c>
      <c r="D87" s="24"/>
      <c r="E87" s="22"/>
      <c r="F87" s="24"/>
      <c r="G87" s="24" t="str">
        <f t="shared" si="1"/>
        <v/>
      </c>
      <c r="H87" s="22"/>
      <c r="I87" s="22"/>
      <c r="K87" s="1"/>
    </row>
    <row r="88" ht="15.0" customHeight="1">
      <c r="A88" s="22"/>
      <c r="B88" s="22" t="str">
        <f t="array" ref="B88">IF($A88="","",IFERROR(INDEX(Companies!$C$2:$C$1000,MATCH($A88,Companies!$B$2:$B$1000,0)),""))</f>
        <v/>
      </c>
      <c r="C88" s="22" t="str">
        <f t="array" ref="C88">IF($A88="","",IFERROR(INDEX(Companies!$D$2:$D$1000,MATCH($A88,Companies!$B$2:$B$1000,0)),""))</f>
        <v/>
      </c>
      <c r="D88" s="24"/>
      <c r="E88" s="22"/>
      <c r="F88" s="24"/>
      <c r="G88" s="24" t="str">
        <f t="shared" si="1"/>
        <v/>
      </c>
      <c r="H88" s="22"/>
      <c r="I88" s="22"/>
      <c r="K88" s="1"/>
    </row>
    <row r="89" ht="15.0" customHeight="1">
      <c r="A89" s="22"/>
      <c r="B89" s="22" t="str">
        <f t="array" ref="B89">IF($A89="","",IFERROR(INDEX(Companies!$C$2:$C$1000,MATCH($A89,Companies!$B$2:$B$1000,0)),""))</f>
        <v/>
      </c>
      <c r="C89" s="22" t="str">
        <f t="array" ref="C89">IF($A89="","",IFERROR(INDEX(Companies!$D$2:$D$1000,MATCH($A89,Companies!$B$2:$B$1000,0)),""))</f>
        <v/>
      </c>
      <c r="D89" s="24"/>
      <c r="E89" s="22"/>
      <c r="F89" s="24"/>
      <c r="G89" s="24" t="str">
        <f t="shared" si="1"/>
        <v/>
      </c>
      <c r="H89" s="22"/>
      <c r="I89" s="22"/>
      <c r="K89" s="1"/>
    </row>
    <row r="90" ht="15.0" customHeight="1">
      <c r="A90" s="22"/>
      <c r="B90" s="22" t="str">
        <f t="array" ref="B90">IF($A90="","",IFERROR(INDEX(Companies!$C$2:$C$1000,MATCH($A90,Companies!$B$2:$B$1000,0)),""))</f>
        <v/>
      </c>
      <c r="C90" s="22" t="str">
        <f t="array" ref="C90">IF($A90="","",IFERROR(INDEX(Companies!$D$2:$D$1000,MATCH($A90,Companies!$B$2:$B$1000,0)),""))</f>
        <v/>
      </c>
      <c r="D90" s="24"/>
      <c r="E90" s="22"/>
      <c r="F90" s="24"/>
      <c r="G90" s="24" t="str">
        <f t="shared" si="1"/>
        <v/>
      </c>
      <c r="H90" s="22"/>
      <c r="I90" s="22"/>
      <c r="K90" s="1"/>
    </row>
    <row r="91" ht="15.0" customHeight="1">
      <c r="A91" s="22"/>
      <c r="B91" s="22" t="str">
        <f t="array" ref="B91">IF($A91="","",IFERROR(INDEX(Companies!$C$2:$C$1000,MATCH($A91,Companies!$B$2:$B$1000,0)),""))</f>
        <v/>
      </c>
      <c r="C91" s="22" t="str">
        <f t="array" ref="C91">IF($A91="","",IFERROR(INDEX(Companies!$D$2:$D$1000,MATCH($A91,Companies!$B$2:$B$1000,0)),""))</f>
        <v/>
      </c>
      <c r="D91" s="24"/>
      <c r="E91" s="22"/>
      <c r="F91" s="24"/>
      <c r="G91" s="24" t="str">
        <f t="shared" si="1"/>
        <v/>
      </c>
      <c r="H91" s="22"/>
      <c r="I91" s="22"/>
      <c r="K91" s="1"/>
    </row>
    <row r="92" ht="15.0" customHeight="1">
      <c r="A92" s="22"/>
      <c r="B92" s="22" t="str">
        <f t="array" ref="B92">IF($A92="","",IFERROR(INDEX(Companies!$C$2:$C$1000,MATCH($A92,Companies!$B$2:$B$1000,0)),""))</f>
        <v/>
      </c>
      <c r="C92" s="22" t="str">
        <f t="array" ref="C92">IF($A92="","",IFERROR(INDEX(Companies!$D$2:$D$1000,MATCH($A92,Companies!$B$2:$B$1000,0)),""))</f>
        <v/>
      </c>
      <c r="D92" s="24"/>
      <c r="E92" s="22"/>
      <c r="F92" s="24"/>
      <c r="G92" s="24" t="str">
        <f t="shared" si="1"/>
        <v/>
      </c>
      <c r="H92" s="22"/>
      <c r="I92" s="22"/>
      <c r="K92" s="1"/>
    </row>
    <row r="93" ht="15.0" customHeight="1">
      <c r="A93" s="22"/>
      <c r="B93" s="22" t="str">
        <f t="array" ref="B93">IF($A93="","",IFERROR(INDEX(Companies!$C$2:$C$1000,MATCH($A93,Companies!$B$2:$B$1000,0)),""))</f>
        <v/>
      </c>
      <c r="C93" s="22" t="str">
        <f t="array" ref="C93">IF($A93="","",IFERROR(INDEX(Companies!$D$2:$D$1000,MATCH($A93,Companies!$B$2:$B$1000,0)),""))</f>
        <v/>
      </c>
      <c r="D93" s="24"/>
      <c r="E93" s="22"/>
      <c r="F93" s="24"/>
      <c r="G93" s="24" t="str">
        <f t="shared" si="1"/>
        <v/>
      </c>
      <c r="H93" s="22"/>
      <c r="I93" s="22"/>
      <c r="K93" s="1"/>
    </row>
    <row r="94" ht="15.0" customHeight="1">
      <c r="A94" s="22"/>
      <c r="B94" s="22" t="str">
        <f t="array" ref="B94">IF($A94="","",IFERROR(INDEX(Companies!$C$2:$C$1000,MATCH($A94,Companies!$B$2:$B$1000,0)),""))</f>
        <v/>
      </c>
      <c r="C94" s="22" t="str">
        <f t="array" ref="C94">IF($A94="","",IFERROR(INDEX(Companies!$D$2:$D$1000,MATCH($A94,Companies!$B$2:$B$1000,0)),""))</f>
        <v/>
      </c>
      <c r="D94" s="24"/>
      <c r="E94" s="22"/>
      <c r="F94" s="24"/>
      <c r="G94" s="24" t="str">
        <f t="shared" si="1"/>
        <v/>
      </c>
      <c r="H94" s="22"/>
      <c r="I94" s="22"/>
      <c r="K94" s="1"/>
    </row>
    <row r="95" ht="15.0" customHeight="1">
      <c r="A95" s="22"/>
      <c r="B95" s="22" t="str">
        <f t="array" ref="B95">IF($A95="","",IFERROR(INDEX(Companies!$C$2:$C$1000,MATCH($A95,Companies!$B$2:$B$1000,0)),""))</f>
        <v/>
      </c>
      <c r="C95" s="22" t="str">
        <f t="array" ref="C95">IF($A95="","",IFERROR(INDEX(Companies!$D$2:$D$1000,MATCH($A95,Companies!$B$2:$B$1000,0)),""))</f>
        <v/>
      </c>
      <c r="D95" s="24"/>
      <c r="E95" s="22"/>
      <c r="F95" s="24"/>
      <c r="G95" s="24" t="str">
        <f t="shared" si="1"/>
        <v/>
      </c>
      <c r="H95" s="22"/>
      <c r="I95" s="22"/>
      <c r="K95" s="1"/>
    </row>
    <row r="96" ht="15.0" customHeight="1">
      <c r="A96" s="22"/>
      <c r="B96" s="22" t="str">
        <f t="array" ref="B96">IF($A96="","",IFERROR(INDEX(Companies!$C$2:$C$1000,MATCH($A96,Companies!$B$2:$B$1000,0)),""))</f>
        <v/>
      </c>
      <c r="C96" s="22" t="str">
        <f t="array" ref="C96">IF($A96="","",IFERROR(INDEX(Companies!$D$2:$D$1000,MATCH($A96,Companies!$B$2:$B$1000,0)),""))</f>
        <v/>
      </c>
      <c r="D96" s="24"/>
      <c r="E96" s="22"/>
      <c r="F96" s="24"/>
      <c r="G96" s="24" t="str">
        <f t="shared" si="1"/>
        <v/>
      </c>
      <c r="H96" s="22"/>
      <c r="I96" s="22"/>
      <c r="K96" s="1"/>
    </row>
    <row r="97" ht="15.0" customHeight="1">
      <c r="A97" s="22"/>
      <c r="B97" s="22" t="str">
        <f t="array" ref="B97">IF($A97="","",IFERROR(INDEX(Companies!$C$2:$C$1000,MATCH($A97,Companies!$B$2:$B$1000,0)),""))</f>
        <v/>
      </c>
      <c r="C97" s="22" t="str">
        <f t="array" ref="C97">IF($A97="","",IFERROR(INDEX(Companies!$D$2:$D$1000,MATCH($A97,Companies!$B$2:$B$1000,0)),""))</f>
        <v/>
      </c>
      <c r="D97" s="24"/>
      <c r="E97" s="22"/>
      <c r="F97" s="24"/>
      <c r="G97" s="24" t="str">
        <f t="shared" si="1"/>
        <v/>
      </c>
      <c r="H97" s="22"/>
      <c r="I97" s="22"/>
      <c r="K97" s="1"/>
    </row>
    <row r="98" ht="15.0" customHeight="1">
      <c r="A98" s="22"/>
      <c r="B98" s="22" t="str">
        <f t="array" ref="B98">IF($A98="","",IFERROR(INDEX(Companies!$C$2:$C$1000,MATCH($A98,Companies!$B$2:$B$1000,0)),""))</f>
        <v/>
      </c>
      <c r="C98" s="22" t="str">
        <f t="array" ref="C98">IF($A98="","",IFERROR(INDEX(Companies!$D$2:$D$1000,MATCH($A98,Companies!$B$2:$B$1000,0)),""))</f>
        <v/>
      </c>
      <c r="D98" s="24"/>
      <c r="E98" s="22"/>
      <c r="F98" s="24"/>
      <c r="G98" s="24" t="str">
        <f t="shared" si="1"/>
        <v/>
      </c>
      <c r="H98" s="22"/>
      <c r="I98" s="22"/>
      <c r="K98" s="1"/>
    </row>
    <row r="99" ht="15.0" customHeight="1">
      <c r="A99" s="22"/>
      <c r="B99" s="22" t="str">
        <f t="array" ref="B99">IF($A99="","",IFERROR(INDEX(Companies!$C$2:$C$1000,MATCH($A99,Companies!$B$2:$B$1000,0)),""))</f>
        <v/>
      </c>
      <c r="C99" s="22" t="str">
        <f t="array" ref="C99">IF($A99="","",IFERROR(INDEX(Companies!$D$2:$D$1000,MATCH($A99,Companies!$B$2:$B$1000,0)),""))</f>
        <v/>
      </c>
      <c r="D99" s="24"/>
      <c r="E99" s="22"/>
      <c r="F99" s="24"/>
      <c r="G99" s="24" t="str">
        <f t="shared" si="1"/>
        <v/>
      </c>
      <c r="H99" s="22"/>
      <c r="I99" s="22"/>
      <c r="K99" s="1"/>
    </row>
    <row r="100" ht="15.0" customHeight="1">
      <c r="A100" s="22"/>
      <c r="B100" s="22" t="str">
        <f t="array" ref="B100">IF($A100="","",IFERROR(INDEX(Companies!$C$2:$C$1000,MATCH($A100,Companies!$B$2:$B$1000,0)),""))</f>
        <v/>
      </c>
      <c r="C100" s="22" t="str">
        <f t="array" ref="C100">IF($A100="","",IFERROR(INDEX(Companies!$D$2:$D$1000,MATCH($A100,Companies!$B$2:$B$1000,0)),""))</f>
        <v/>
      </c>
      <c r="D100" s="24"/>
      <c r="E100" s="22"/>
      <c r="F100" s="24"/>
      <c r="G100" s="24" t="str">
        <f t="shared" si="1"/>
        <v/>
      </c>
      <c r="H100" s="22"/>
      <c r="I100" s="22"/>
      <c r="K100" s="1"/>
    </row>
    <row r="101" ht="15.0" customHeight="1">
      <c r="A101" s="22"/>
      <c r="B101" s="22" t="str">
        <f t="array" ref="B101">IF($A101="","",IFERROR(INDEX(Companies!$C$2:$C$1000,MATCH($A101,Companies!$B$2:$B$1000,0)),""))</f>
        <v/>
      </c>
      <c r="C101" s="22" t="str">
        <f t="array" ref="C101">IF($A101="","",IFERROR(INDEX(Companies!$D$2:$D$1000,MATCH($A101,Companies!$B$2:$B$1000,0)),""))</f>
        <v/>
      </c>
      <c r="D101" s="24"/>
      <c r="E101" s="22"/>
      <c r="F101" s="24"/>
      <c r="G101" s="24" t="str">
        <f t="shared" si="1"/>
        <v/>
      </c>
      <c r="H101" s="22"/>
      <c r="I101" s="22"/>
      <c r="K101" s="1"/>
    </row>
    <row r="102" ht="15.0" customHeight="1">
      <c r="A102" s="22"/>
      <c r="B102" s="22" t="str">
        <f t="array" ref="B102">IF($A102="","",IFERROR(INDEX(Companies!$C$2:$C$1000,MATCH($A102,Companies!$B$2:$B$1000,0)),""))</f>
        <v/>
      </c>
      <c r="C102" s="22" t="str">
        <f t="array" ref="C102">IF($A102="","",IFERROR(INDEX(Companies!$D$2:$D$1000,MATCH($A102,Companies!$B$2:$B$1000,0)),""))</f>
        <v/>
      </c>
      <c r="D102" s="24"/>
      <c r="E102" s="22"/>
      <c r="F102" s="24"/>
      <c r="G102" s="24" t="str">
        <f t="shared" si="1"/>
        <v/>
      </c>
      <c r="H102" s="22"/>
      <c r="I102" s="22"/>
      <c r="K102" s="1"/>
    </row>
    <row r="103" ht="15.0" customHeight="1">
      <c r="A103" s="22"/>
      <c r="B103" s="22" t="str">
        <f t="array" ref="B103">IF($A103="","",IFERROR(INDEX(Companies!$C$2:$C$1000,MATCH($A103,Companies!$B$2:$B$1000,0)),""))</f>
        <v/>
      </c>
      <c r="C103" s="22" t="str">
        <f t="array" ref="C103">IF($A103="","",IFERROR(INDEX(Companies!$D$2:$D$1000,MATCH($A103,Companies!$B$2:$B$1000,0)),""))</f>
        <v/>
      </c>
      <c r="D103" s="24"/>
      <c r="E103" s="22"/>
      <c r="F103" s="24"/>
      <c r="G103" s="24" t="str">
        <f t="shared" si="1"/>
        <v/>
      </c>
      <c r="H103" s="22"/>
      <c r="I103" s="22"/>
      <c r="K103" s="1"/>
    </row>
    <row r="104" ht="15.0" customHeight="1">
      <c r="A104" s="22"/>
      <c r="B104" s="22" t="str">
        <f t="array" ref="B104">IF($A104="","",IFERROR(INDEX(Companies!$C$2:$C$1000,MATCH($A104,Companies!$B$2:$B$1000,0)),""))</f>
        <v/>
      </c>
      <c r="C104" s="22" t="str">
        <f t="array" ref="C104">IF($A104="","",IFERROR(INDEX(Companies!$D$2:$D$1000,MATCH($A104,Companies!$B$2:$B$1000,0)),""))</f>
        <v/>
      </c>
      <c r="D104" s="24"/>
      <c r="E104" s="22"/>
      <c r="F104" s="24"/>
      <c r="G104" s="24" t="str">
        <f t="shared" si="1"/>
        <v/>
      </c>
      <c r="H104" s="22"/>
      <c r="I104" s="22"/>
      <c r="K104" s="1"/>
    </row>
    <row r="105" ht="15.0" customHeight="1">
      <c r="A105" s="22"/>
      <c r="B105" s="22" t="str">
        <f t="array" ref="B105">IF($A105="","",IFERROR(INDEX(Companies!$C$2:$C$1000,MATCH($A105,Companies!$B$2:$B$1000,0)),""))</f>
        <v/>
      </c>
      <c r="C105" s="22" t="str">
        <f t="array" ref="C105">IF($A105="","",IFERROR(INDEX(Companies!$D$2:$D$1000,MATCH($A105,Companies!$B$2:$B$1000,0)),""))</f>
        <v/>
      </c>
      <c r="D105" s="24"/>
      <c r="E105" s="22"/>
      <c r="F105" s="24"/>
      <c r="G105" s="24" t="str">
        <f t="shared" si="1"/>
        <v/>
      </c>
      <c r="H105" s="22"/>
      <c r="I105" s="22"/>
      <c r="K105" s="1"/>
    </row>
    <row r="106" ht="15.0" customHeight="1">
      <c r="A106" s="22"/>
      <c r="B106" s="22" t="str">
        <f t="array" ref="B106">IF($A106="","",IFERROR(INDEX(Companies!$C$2:$C$1000,MATCH($A106,Companies!$B$2:$B$1000,0)),""))</f>
        <v/>
      </c>
      <c r="C106" s="22" t="str">
        <f t="array" ref="C106">IF($A106="","",IFERROR(INDEX(Companies!$D$2:$D$1000,MATCH($A106,Companies!$B$2:$B$1000,0)),""))</f>
        <v/>
      </c>
      <c r="D106" s="24"/>
      <c r="E106" s="22"/>
      <c r="F106" s="24"/>
      <c r="G106" s="24" t="str">
        <f t="shared" si="1"/>
        <v/>
      </c>
      <c r="H106" s="22"/>
      <c r="I106" s="22"/>
      <c r="K106" s="1"/>
    </row>
    <row r="107" ht="15.0" customHeight="1">
      <c r="A107" s="22"/>
      <c r="B107" s="22" t="str">
        <f t="array" ref="B107">IF($A107="","",IFERROR(INDEX(Companies!$C$2:$C$1000,MATCH($A107,Companies!$B$2:$B$1000,0)),""))</f>
        <v/>
      </c>
      <c r="C107" s="22" t="str">
        <f t="array" ref="C107">IF($A107="","",IFERROR(INDEX(Companies!$D$2:$D$1000,MATCH($A107,Companies!$B$2:$B$1000,0)),""))</f>
        <v/>
      </c>
      <c r="D107" s="24"/>
      <c r="E107" s="22"/>
      <c r="F107" s="24"/>
      <c r="G107" s="24" t="str">
        <f t="shared" si="1"/>
        <v/>
      </c>
      <c r="H107" s="22"/>
      <c r="I107" s="22"/>
      <c r="K107" s="1"/>
    </row>
    <row r="108" ht="15.0" customHeight="1">
      <c r="A108" s="22"/>
      <c r="B108" s="22" t="str">
        <f t="array" ref="B108">IF($A108="","",IFERROR(INDEX(Companies!$C$2:$C$1000,MATCH($A108,Companies!$B$2:$B$1000,0)),""))</f>
        <v/>
      </c>
      <c r="C108" s="22" t="str">
        <f t="array" ref="C108">IF($A108="","",IFERROR(INDEX(Companies!$D$2:$D$1000,MATCH($A108,Companies!$B$2:$B$1000,0)),""))</f>
        <v/>
      </c>
      <c r="D108" s="24"/>
      <c r="E108" s="22"/>
      <c r="F108" s="24"/>
      <c r="G108" s="24" t="str">
        <f t="shared" si="1"/>
        <v/>
      </c>
      <c r="H108" s="22"/>
      <c r="I108" s="22"/>
      <c r="K108" s="1"/>
    </row>
    <row r="109" ht="15.0" customHeight="1">
      <c r="A109" s="22"/>
      <c r="B109" s="22" t="str">
        <f t="array" ref="B109">IF($A109="","",IFERROR(INDEX(Companies!$C$2:$C$1000,MATCH($A109,Companies!$B$2:$B$1000,0)),""))</f>
        <v/>
      </c>
      <c r="C109" s="22" t="str">
        <f t="array" ref="C109">IF($A109="","",IFERROR(INDEX(Companies!$D$2:$D$1000,MATCH($A109,Companies!$B$2:$B$1000,0)),""))</f>
        <v/>
      </c>
      <c r="D109" s="24"/>
      <c r="E109" s="22"/>
      <c r="F109" s="24"/>
      <c r="G109" s="24" t="str">
        <f t="shared" si="1"/>
        <v/>
      </c>
      <c r="H109" s="22"/>
      <c r="I109" s="22"/>
      <c r="K109" s="1"/>
    </row>
    <row r="110" ht="15.0" customHeight="1">
      <c r="A110" s="22"/>
      <c r="B110" s="22" t="str">
        <f t="array" ref="B110">IF($A110="","",IFERROR(INDEX(Companies!$C$2:$C$1000,MATCH($A110,Companies!$B$2:$B$1000,0)),""))</f>
        <v/>
      </c>
      <c r="C110" s="22" t="str">
        <f t="array" ref="C110">IF($A110="","",IFERROR(INDEX(Companies!$D$2:$D$1000,MATCH($A110,Companies!$B$2:$B$1000,0)),""))</f>
        <v/>
      </c>
      <c r="D110" s="24"/>
      <c r="E110" s="22"/>
      <c r="F110" s="24"/>
      <c r="G110" s="24" t="str">
        <f t="shared" si="1"/>
        <v/>
      </c>
      <c r="H110" s="22"/>
      <c r="I110" s="22"/>
      <c r="K110" s="1"/>
    </row>
    <row r="111" ht="15.0" customHeight="1">
      <c r="A111" s="22"/>
      <c r="B111" s="22" t="str">
        <f t="array" ref="B111">IF($A111="","",IFERROR(INDEX(Companies!$C$2:$C$1000,MATCH($A111,Companies!$B$2:$B$1000,0)),""))</f>
        <v/>
      </c>
      <c r="C111" s="22" t="str">
        <f t="array" ref="C111">IF($A111="","",IFERROR(INDEX(Companies!$D$2:$D$1000,MATCH($A111,Companies!$B$2:$B$1000,0)),""))</f>
        <v/>
      </c>
      <c r="D111" s="24"/>
      <c r="E111" s="22"/>
      <c r="F111" s="24"/>
      <c r="G111" s="24" t="str">
        <f t="shared" si="1"/>
        <v/>
      </c>
      <c r="H111" s="22"/>
      <c r="I111" s="22"/>
      <c r="K111" s="1"/>
    </row>
    <row r="112" ht="15.0" customHeight="1">
      <c r="A112" s="22"/>
      <c r="B112" s="22" t="str">
        <f t="array" ref="B112">IF($A112="","",IFERROR(INDEX(Companies!$C$2:$C$1000,MATCH($A112,Companies!$B$2:$B$1000,0)),""))</f>
        <v/>
      </c>
      <c r="C112" s="22" t="str">
        <f t="array" ref="C112">IF($A112="","",IFERROR(INDEX(Companies!$D$2:$D$1000,MATCH($A112,Companies!$B$2:$B$1000,0)),""))</f>
        <v/>
      </c>
      <c r="D112" s="24"/>
      <c r="E112" s="22"/>
      <c r="F112" s="24"/>
      <c r="G112" s="24" t="str">
        <f t="shared" si="1"/>
        <v/>
      </c>
      <c r="H112" s="22"/>
      <c r="I112" s="22"/>
      <c r="K112" s="1"/>
    </row>
    <row r="113" ht="15.0" customHeight="1">
      <c r="A113" s="22"/>
      <c r="B113" s="22" t="str">
        <f t="array" ref="B113">IF($A113="","",IFERROR(INDEX(Companies!$C$2:$C$1000,MATCH($A113,Companies!$B$2:$B$1000,0)),""))</f>
        <v/>
      </c>
      <c r="C113" s="22" t="str">
        <f t="array" ref="C113">IF($A113="","",IFERROR(INDEX(Companies!$D$2:$D$1000,MATCH($A113,Companies!$B$2:$B$1000,0)),""))</f>
        <v/>
      </c>
      <c r="D113" s="24"/>
      <c r="E113" s="22"/>
      <c r="F113" s="24"/>
      <c r="G113" s="24" t="str">
        <f t="shared" si="1"/>
        <v/>
      </c>
      <c r="H113" s="22"/>
      <c r="I113" s="22"/>
      <c r="K113" s="1"/>
    </row>
    <row r="114" ht="15.0" customHeight="1">
      <c r="A114" s="22"/>
      <c r="B114" s="22" t="str">
        <f t="array" ref="B114">IF($A114="","",IFERROR(INDEX(Companies!$C$2:$C$1000,MATCH($A114,Companies!$B$2:$B$1000,0)),""))</f>
        <v/>
      </c>
      <c r="C114" s="22" t="str">
        <f t="array" ref="C114">IF($A114="","",IFERROR(INDEX(Companies!$D$2:$D$1000,MATCH($A114,Companies!$B$2:$B$1000,0)),""))</f>
        <v/>
      </c>
      <c r="D114" s="24"/>
      <c r="E114" s="22"/>
      <c r="F114" s="24"/>
      <c r="G114" s="24" t="str">
        <f t="shared" si="1"/>
        <v/>
      </c>
      <c r="H114" s="22"/>
      <c r="I114" s="22"/>
      <c r="K114" s="1"/>
    </row>
    <row r="115" ht="15.0" customHeight="1">
      <c r="A115" s="22"/>
      <c r="B115" s="22" t="str">
        <f t="array" ref="B115">IF($A115="","",IFERROR(INDEX(Companies!$C$2:$C$1000,MATCH($A115,Companies!$B$2:$B$1000,0)),""))</f>
        <v/>
      </c>
      <c r="C115" s="22" t="str">
        <f t="array" ref="C115">IF($A115="","",IFERROR(INDEX(Companies!$D$2:$D$1000,MATCH($A115,Companies!$B$2:$B$1000,0)),""))</f>
        <v/>
      </c>
      <c r="D115" s="24"/>
      <c r="E115" s="22"/>
      <c r="F115" s="24"/>
      <c r="G115" s="24" t="str">
        <f t="shared" si="1"/>
        <v/>
      </c>
      <c r="H115" s="22"/>
      <c r="I115" s="22"/>
      <c r="K115" s="1"/>
    </row>
    <row r="116" ht="15.0" customHeight="1">
      <c r="A116" s="22"/>
      <c r="B116" s="22" t="str">
        <f t="array" ref="B116">IF($A116="","",IFERROR(INDEX(Companies!$C$2:$C$1000,MATCH($A116,Companies!$B$2:$B$1000,0)),""))</f>
        <v/>
      </c>
      <c r="C116" s="22" t="str">
        <f t="array" ref="C116">IF($A116="","",IFERROR(INDEX(Companies!$D$2:$D$1000,MATCH($A116,Companies!$B$2:$B$1000,0)),""))</f>
        <v/>
      </c>
      <c r="D116" s="24"/>
      <c r="E116" s="22"/>
      <c r="F116" s="24"/>
      <c r="G116" s="24" t="str">
        <f t="shared" si="1"/>
        <v/>
      </c>
      <c r="H116" s="22"/>
      <c r="I116" s="22"/>
      <c r="K116" s="1"/>
    </row>
    <row r="117" ht="15.0" customHeight="1">
      <c r="A117" s="22"/>
      <c r="B117" s="22" t="str">
        <f t="array" ref="B117">IF($A117="","",IFERROR(INDEX(Companies!$C$2:$C$1000,MATCH($A117,Companies!$B$2:$B$1000,0)),""))</f>
        <v/>
      </c>
      <c r="C117" s="22" t="str">
        <f t="array" ref="C117">IF($A117="","",IFERROR(INDEX(Companies!$D$2:$D$1000,MATCH($A117,Companies!$B$2:$B$1000,0)),""))</f>
        <v/>
      </c>
      <c r="D117" s="24"/>
      <c r="E117" s="22"/>
      <c r="F117" s="24"/>
      <c r="G117" s="24" t="str">
        <f t="shared" si="1"/>
        <v/>
      </c>
      <c r="H117" s="22"/>
      <c r="I117" s="22"/>
      <c r="K117" s="1"/>
    </row>
    <row r="118" ht="15.0" customHeight="1">
      <c r="A118" s="22"/>
      <c r="B118" s="22" t="str">
        <f t="array" ref="B118">IF($A118="","",IFERROR(INDEX(Companies!$C$2:$C$1000,MATCH($A118,Companies!$B$2:$B$1000,0)),""))</f>
        <v/>
      </c>
      <c r="C118" s="22" t="str">
        <f t="array" ref="C118">IF($A118="","",IFERROR(INDEX(Companies!$D$2:$D$1000,MATCH($A118,Companies!$B$2:$B$1000,0)),""))</f>
        <v/>
      </c>
      <c r="D118" s="24"/>
      <c r="E118" s="22"/>
      <c r="F118" s="24"/>
      <c r="G118" s="24" t="str">
        <f t="shared" si="1"/>
        <v/>
      </c>
      <c r="H118" s="22"/>
      <c r="I118" s="22"/>
      <c r="K118" s="1"/>
    </row>
    <row r="119" ht="15.0" customHeight="1">
      <c r="A119" s="22"/>
      <c r="B119" s="22" t="str">
        <f t="array" ref="B119">IF($A119="","",IFERROR(INDEX(Companies!$C$2:$C$1000,MATCH($A119,Companies!$B$2:$B$1000,0)),""))</f>
        <v/>
      </c>
      <c r="C119" s="22" t="str">
        <f t="array" ref="C119">IF($A119="","",IFERROR(INDEX(Companies!$D$2:$D$1000,MATCH($A119,Companies!$B$2:$B$1000,0)),""))</f>
        <v/>
      </c>
      <c r="D119" s="24"/>
      <c r="E119" s="22"/>
      <c r="F119" s="24"/>
      <c r="G119" s="24" t="str">
        <f t="shared" si="1"/>
        <v/>
      </c>
      <c r="H119" s="22"/>
      <c r="I119" s="22"/>
      <c r="K119" s="1"/>
    </row>
    <row r="120" ht="15.0" customHeight="1">
      <c r="A120" s="22"/>
      <c r="B120" s="22" t="str">
        <f t="array" ref="B120">IF($A120="","",IFERROR(INDEX(Companies!$C$2:$C$1000,MATCH($A120,Companies!$B$2:$B$1000,0)),""))</f>
        <v/>
      </c>
      <c r="C120" s="22" t="str">
        <f t="array" ref="C120">IF($A120="","",IFERROR(INDEX(Companies!$D$2:$D$1000,MATCH($A120,Companies!$B$2:$B$1000,0)),""))</f>
        <v/>
      </c>
      <c r="D120" s="24"/>
      <c r="E120" s="22"/>
      <c r="F120" s="24"/>
      <c r="G120" s="24" t="str">
        <f t="shared" si="1"/>
        <v/>
      </c>
      <c r="H120" s="22"/>
      <c r="I120" s="22"/>
      <c r="K120" s="1"/>
    </row>
    <row r="121" ht="15.0" customHeight="1">
      <c r="A121" s="22"/>
      <c r="B121" s="22" t="str">
        <f t="array" ref="B121">IF($A121="","",IFERROR(INDEX(Companies!$C$2:$C$1000,MATCH($A121,Companies!$B$2:$B$1000,0)),""))</f>
        <v/>
      </c>
      <c r="C121" s="22" t="str">
        <f t="array" ref="C121">IF($A121="","",IFERROR(INDEX(Companies!$D$2:$D$1000,MATCH($A121,Companies!$B$2:$B$1000,0)),""))</f>
        <v/>
      </c>
      <c r="D121" s="24"/>
      <c r="E121" s="22"/>
      <c r="F121" s="24"/>
      <c r="G121" s="24" t="str">
        <f t="shared" si="1"/>
        <v/>
      </c>
      <c r="H121" s="22"/>
      <c r="I121" s="22"/>
      <c r="K121" s="1"/>
    </row>
    <row r="122" ht="15.0" customHeight="1">
      <c r="A122" s="22"/>
      <c r="B122" s="22" t="str">
        <f t="array" ref="B122">IF($A122="","",IFERROR(INDEX(Companies!$C$2:$C$1000,MATCH($A122,Companies!$B$2:$B$1000,0)),""))</f>
        <v/>
      </c>
      <c r="C122" s="22" t="str">
        <f t="array" ref="C122">IF($A122="","",IFERROR(INDEX(Companies!$D$2:$D$1000,MATCH($A122,Companies!$B$2:$B$1000,0)),""))</f>
        <v/>
      </c>
      <c r="D122" s="24"/>
      <c r="E122" s="22"/>
      <c r="F122" s="24"/>
      <c r="G122" s="24" t="str">
        <f t="shared" si="1"/>
        <v/>
      </c>
      <c r="H122" s="22"/>
      <c r="I122" s="22"/>
      <c r="K122" s="1"/>
    </row>
    <row r="123" ht="15.0" customHeight="1">
      <c r="A123" s="22"/>
      <c r="B123" s="22" t="str">
        <f t="array" ref="B123">IF($A123="","",IFERROR(INDEX(Companies!$C$2:$C$1000,MATCH($A123,Companies!$B$2:$B$1000,0)),""))</f>
        <v/>
      </c>
      <c r="C123" s="22" t="str">
        <f t="array" ref="C123">IF($A123="","",IFERROR(INDEX(Companies!$D$2:$D$1000,MATCH($A123,Companies!$B$2:$B$1000,0)),""))</f>
        <v/>
      </c>
      <c r="D123" s="24"/>
      <c r="E123" s="22"/>
      <c r="F123" s="24"/>
      <c r="G123" s="24" t="str">
        <f t="shared" si="1"/>
        <v/>
      </c>
      <c r="H123" s="22"/>
      <c r="I123" s="22"/>
      <c r="K123" s="1"/>
    </row>
    <row r="124" ht="15.0" customHeight="1">
      <c r="A124" s="22"/>
      <c r="B124" s="22" t="str">
        <f t="array" ref="B124">IF($A124="","",IFERROR(INDEX(Companies!$C$2:$C$1000,MATCH($A124,Companies!$B$2:$B$1000,0)),""))</f>
        <v/>
      </c>
      <c r="C124" s="22" t="str">
        <f t="array" ref="C124">IF($A124="","",IFERROR(INDEX(Companies!$D$2:$D$1000,MATCH($A124,Companies!$B$2:$B$1000,0)),""))</f>
        <v/>
      </c>
      <c r="D124" s="24"/>
      <c r="E124" s="22"/>
      <c r="F124" s="24"/>
      <c r="G124" s="24" t="str">
        <f t="shared" si="1"/>
        <v/>
      </c>
      <c r="H124" s="22"/>
      <c r="I124" s="22"/>
      <c r="K124" s="1"/>
    </row>
    <row r="125" ht="15.0" customHeight="1">
      <c r="A125" s="22"/>
      <c r="B125" s="22" t="str">
        <f t="array" ref="B125">IF($A125="","",IFERROR(INDEX(Companies!$C$2:$C$1000,MATCH($A125,Companies!$B$2:$B$1000,0)),""))</f>
        <v/>
      </c>
      <c r="C125" s="22" t="str">
        <f t="array" ref="C125">IF($A125="","",IFERROR(INDEX(Companies!$D$2:$D$1000,MATCH($A125,Companies!$B$2:$B$1000,0)),""))</f>
        <v/>
      </c>
      <c r="D125" s="24"/>
      <c r="E125" s="22"/>
      <c r="F125" s="24"/>
      <c r="G125" s="24" t="str">
        <f t="shared" si="1"/>
        <v/>
      </c>
      <c r="H125" s="22"/>
      <c r="I125" s="22"/>
      <c r="K125" s="1"/>
    </row>
    <row r="126" ht="15.0" customHeight="1">
      <c r="A126" s="22"/>
      <c r="B126" s="22" t="str">
        <f t="array" ref="B126">IF($A126="","",IFERROR(INDEX(Companies!$C$2:$C$1000,MATCH($A126,Companies!$B$2:$B$1000,0)),""))</f>
        <v/>
      </c>
      <c r="C126" s="22" t="str">
        <f t="array" ref="C126">IF($A126="","",IFERROR(INDEX(Companies!$D$2:$D$1000,MATCH($A126,Companies!$B$2:$B$1000,0)),""))</f>
        <v/>
      </c>
      <c r="D126" s="24"/>
      <c r="E126" s="22"/>
      <c r="F126" s="24"/>
      <c r="G126" s="24" t="str">
        <f t="shared" si="1"/>
        <v/>
      </c>
      <c r="H126" s="22"/>
      <c r="I126" s="22"/>
      <c r="K126" s="1"/>
    </row>
    <row r="127" ht="15.0" customHeight="1">
      <c r="A127" s="22"/>
      <c r="B127" s="22" t="str">
        <f t="array" ref="B127">IF($A127="","",IFERROR(INDEX(Companies!$C$2:$C$1000,MATCH($A127,Companies!$B$2:$B$1000,0)),""))</f>
        <v/>
      </c>
      <c r="C127" s="22" t="str">
        <f t="array" ref="C127">IF($A127="","",IFERROR(INDEX(Companies!$D$2:$D$1000,MATCH($A127,Companies!$B$2:$B$1000,0)),""))</f>
        <v/>
      </c>
      <c r="D127" s="24"/>
      <c r="E127" s="22"/>
      <c r="F127" s="24"/>
      <c r="G127" s="24" t="str">
        <f t="shared" si="1"/>
        <v/>
      </c>
      <c r="H127" s="22"/>
      <c r="I127" s="22"/>
      <c r="K127" s="1"/>
    </row>
    <row r="128" ht="15.0" customHeight="1">
      <c r="A128" s="22"/>
      <c r="B128" s="22" t="str">
        <f t="array" ref="B128">IF($A128="","",IFERROR(INDEX(Companies!$C$2:$C$1000,MATCH($A128,Companies!$B$2:$B$1000,0)),""))</f>
        <v/>
      </c>
      <c r="C128" s="22" t="str">
        <f t="array" ref="C128">IF($A128="","",IFERROR(INDEX(Companies!$D$2:$D$1000,MATCH($A128,Companies!$B$2:$B$1000,0)),""))</f>
        <v/>
      </c>
      <c r="D128" s="24"/>
      <c r="E128" s="22"/>
      <c r="F128" s="24"/>
      <c r="G128" s="24" t="str">
        <f t="shared" si="1"/>
        <v/>
      </c>
      <c r="H128" s="22"/>
      <c r="I128" s="22"/>
      <c r="K128" s="1"/>
    </row>
    <row r="129" ht="15.0" customHeight="1">
      <c r="A129" s="22"/>
      <c r="B129" s="22" t="str">
        <f t="array" ref="B129">IF($A129="","",IFERROR(INDEX(Companies!$C$2:$C$1000,MATCH($A129,Companies!$B$2:$B$1000,0)),""))</f>
        <v/>
      </c>
      <c r="C129" s="22" t="str">
        <f t="array" ref="C129">IF($A129="","",IFERROR(INDEX(Companies!$D$2:$D$1000,MATCH($A129,Companies!$B$2:$B$1000,0)),""))</f>
        <v/>
      </c>
      <c r="D129" s="24"/>
      <c r="E129" s="22"/>
      <c r="F129" s="24"/>
      <c r="G129" s="24" t="str">
        <f t="shared" si="1"/>
        <v/>
      </c>
      <c r="H129" s="22"/>
      <c r="I129" s="22"/>
      <c r="K129" s="1"/>
    </row>
    <row r="130" ht="15.0" customHeight="1">
      <c r="A130" s="22"/>
      <c r="B130" s="22" t="str">
        <f t="array" ref="B130">IF($A130="","",IFERROR(INDEX(Companies!$C$2:$C$1000,MATCH($A130,Companies!$B$2:$B$1000,0)),""))</f>
        <v/>
      </c>
      <c r="C130" s="22" t="str">
        <f t="array" ref="C130">IF($A130="","",IFERROR(INDEX(Companies!$D$2:$D$1000,MATCH($A130,Companies!$B$2:$B$1000,0)),""))</f>
        <v/>
      </c>
      <c r="D130" s="24"/>
      <c r="E130" s="22"/>
      <c r="F130" s="24"/>
      <c r="G130" s="24" t="str">
        <f t="shared" si="1"/>
        <v/>
      </c>
      <c r="H130" s="22"/>
      <c r="I130" s="22"/>
      <c r="K130" s="1"/>
    </row>
    <row r="131" ht="15.0" customHeight="1">
      <c r="A131" s="22"/>
      <c r="B131" s="22" t="str">
        <f t="array" ref="B131">IF($A131="","",IFERROR(INDEX(Companies!$C$2:$C$1000,MATCH($A131,Companies!$B$2:$B$1000,0)),""))</f>
        <v/>
      </c>
      <c r="C131" s="22" t="str">
        <f t="array" ref="C131">IF($A131="","",IFERROR(INDEX(Companies!$D$2:$D$1000,MATCH($A131,Companies!$B$2:$B$1000,0)),""))</f>
        <v/>
      </c>
      <c r="D131" s="24"/>
      <c r="E131" s="22"/>
      <c r="F131" s="24"/>
      <c r="G131" s="24" t="str">
        <f t="shared" si="1"/>
        <v/>
      </c>
      <c r="H131" s="22"/>
      <c r="I131" s="22"/>
      <c r="K131" s="1"/>
    </row>
    <row r="132" ht="15.0" customHeight="1">
      <c r="A132" s="22"/>
      <c r="B132" s="22" t="str">
        <f t="array" ref="B132">IF($A132="","",IFERROR(INDEX(Companies!$C$2:$C$1000,MATCH($A132,Companies!$B$2:$B$1000,0)),""))</f>
        <v/>
      </c>
      <c r="C132" s="22" t="str">
        <f t="array" ref="C132">IF($A132="","",IFERROR(INDEX(Companies!$D$2:$D$1000,MATCH($A132,Companies!$B$2:$B$1000,0)),""))</f>
        <v/>
      </c>
      <c r="D132" s="24"/>
      <c r="E132" s="22"/>
      <c r="F132" s="24"/>
      <c r="G132" s="24" t="str">
        <f t="shared" si="1"/>
        <v/>
      </c>
      <c r="H132" s="22"/>
      <c r="I132" s="22"/>
      <c r="K132" s="1"/>
    </row>
    <row r="133" ht="15.0" customHeight="1">
      <c r="A133" s="22"/>
      <c r="B133" s="22" t="str">
        <f t="array" ref="B133">IF($A133="","",IFERROR(INDEX(Companies!$C$2:$C$1000,MATCH($A133,Companies!$B$2:$B$1000,0)),""))</f>
        <v/>
      </c>
      <c r="C133" s="22" t="str">
        <f t="array" ref="C133">IF($A133="","",IFERROR(INDEX(Companies!$D$2:$D$1000,MATCH($A133,Companies!$B$2:$B$1000,0)),""))</f>
        <v/>
      </c>
      <c r="D133" s="24"/>
      <c r="E133" s="22"/>
      <c r="F133" s="24"/>
      <c r="G133" s="24" t="str">
        <f t="shared" si="1"/>
        <v/>
      </c>
      <c r="H133" s="22"/>
      <c r="I133" s="22"/>
      <c r="K133" s="1"/>
    </row>
    <row r="134" ht="15.0" customHeight="1">
      <c r="A134" s="22"/>
      <c r="B134" s="22" t="str">
        <f t="array" ref="B134">IF($A134="","",IFERROR(INDEX(Companies!$C$2:$C$1000,MATCH($A134,Companies!$B$2:$B$1000,0)),""))</f>
        <v/>
      </c>
      <c r="C134" s="22" t="str">
        <f t="array" ref="C134">IF($A134="","",IFERROR(INDEX(Companies!$D$2:$D$1000,MATCH($A134,Companies!$B$2:$B$1000,0)),""))</f>
        <v/>
      </c>
      <c r="D134" s="24"/>
      <c r="E134" s="22"/>
      <c r="F134" s="24"/>
      <c r="G134" s="24" t="str">
        <f t="shared" si="1"/>
        <v/>
      </c>
      <c r="H134" s="22"/>
      <c r="I134" s="22"/>
      <c r="K134" s="1"/>
    </row>
    <row r="135" ht="15.0" customHeight="1">
      <c r="A135" s="22"/>
      <c r="B135" s="22" t="str">
        <f t="array" ref="B135">IF($A135="","",IFERROR(INDEX(Companies!$C$2:$C$1000,MATCH($A135,Companies!$B$2:$B$1000,0)),""))</f>
        <v/>
      </c>
      <c r="C135" s="22" t="str">
        <f t="array" ref="C135">IF($A135="","",IFERROR(INDEX(Companies!$D$2:$D$1000,MATCH($A135,Companies!$B$2:$B$1000,0)),""))</f>
        <v/>
      </c>
      <c r="D135" s="24"/>
      <c r="E135" s="22"/>
      <c r="F135" s="24"/>
      <c r="G135" s="24" t="str">
        <f t="shared" si="1"/>
        <v/>
      </c>
      <c r="H135" s="22"/>
      <c r="I135" s="22"/>
      <c r="K135" s="1"/>
    </row>
    <row r="136" ht="15.0" customHeight="1">
      <c r="A136" s="22"/>
      <c r="B136" s="22" t="str">
        <f t="array" ref="B136">IF($A136="","",IFERROR(INDEX(Companies!$C$2:$C$1000,MATCH($A136,Companies!$B$2:$B$1000,0)),""))</f>
        <v/>
      </c>
      <c r="C136" s="22" t="str">
        <f t="array" ref="C136">IF($A136="","",IFERROR(INDEX(Companies!$D$2:$D$1000,MATCH($A136,Companies!$B$2:$B$1000,0)),""))</f>
        <v/>
      </c>
      <c r="D136" s="24"/>
      <c r="E136" s="22"/>
      <c r="F136" s="24"/>
      <c r="G136" s="24" t="str">
        <f t="shared" si="1"/>
        <v/>
      </c>
      <c r="H136" s="22"/>
      <c r="I136" s="22"/>
      <c r="K136" s="1"/>
    </row>
    <row r="137" ht="15.0" customHeight="1">
      <c r="A137" s="22"/>
      <c r="B137" s="22" t="str">
        <f t="array" ref="B137">IF($A137="","",IFERROR(INDEX(Companies!$C$2:$C$1000,MATCH($A137,Companies!$B$2:$B$1000,0)),""))</f>
        <v/>
      </c>
      <c r="C137" s="22" t="str">
        <f t="array" ref="C137">IF($A137="","",IFERROR(INDEX(Companies!$D$2:$D$1000,MATCH($A137,Companies!$B$2:$B$1000,0)),""))</f>
        <v/>
      </c>
      <c r="D137" s="24"/>
      <c r="E137" s="22"/>
      <c r="F137" s="24"/>
      <c r="G137" s="24" t="str">
        <f t="shared" si="1"/>
        <v/>
      </c>
      <c r="H137" s="22"/>
      <c r="I137" s="22"/>
      <c r="K137" s="1"/>
    </row>
    <row r="138" ht="15.0" customHeight="1">
      <c r="A138" s="22"/>
      <c r="B138" s="22" t="str">
        <f t="array" ref="B138">IF($A138="","",IFERROR(INDEX(Companies!$C$2:$C$1000,MATCH($A138,Companies!$B$2:$B$1000,0)),""))</f>
        <v/>
      </c>
      <c r="C138" s="22" t="str">
        <f t="array" ref="C138">IF($A138="","",IFERROR(INDEX(Companies!$D$2:$D$1000,MATCH($A138,Companies!$B$2:$B$1000,0)),""))</f>
        <v/>
      </c>
      <c r="D138" s="24"/>
      <c r="E138" s="22"/>
      <c r="F138" s="24"/>
      <c r="G138" s="24" t="str">
        <f t="shared" si="1"/>
        <v/>
      </c>
      <c r="H138" s="22"/>
      <c r="I138" s="22"/>
      <c r="K138" s="1"/>
    </row>
    <row r="139" ht="15.0" customHeight="1">
      <c r="A139" s="22"/>
      <c r="B139" s="22" t="str">
        <f t="array" ref="B139">IF($A139="","",IFERROR(INDEX(Companies!$C$2:$C$1000,MATCH($A139,Companies!$B$2:$B$1000,0)),""))</f>
        <v/>
      </c>
      <c r="C139" s="22" t="str">
        <f t="array" ref="C139">IF($A139="","",IFERROR(INDEX(Companies!$D$2:$D$1000,MATCH($A139,Companies!$B$2:$B$1000,0)),""))</f>
        <v/>
      </c>
      <c r="D139" s="24"/>
      <c r="E139" s="22"/>
      <c r="F139" s="24"/>
      <c r="G139" s="24" t="str">
        <f t="shared" si="1"/>
        <v/>
      </c>
      <c r="H139" s="22"/>
      <c r="I139" s="22"/>
      <c r="K139" s="1"/>
    </row>
    <row r="140" ht="15.0" customHeight="1">
      <c r="A140" s="22"/>
      <c r="B140" s="22" t="str">
        <f t="array" ref="B140">IF($A140="","",IFERROR(INDEX(Companies!$C$2:$C$1000,MATCH($A140,Companies!$B$2:$B$1000,0)),""))</f>
        <v/>
      </c>
      <c r="C140" s="22" t="str">
        <f t="array" ref="C140">IF($A140="","",IFERROR(INDEX(Companies!$D$2:$D$1000,MATCH($A140,Companies!$B$2:$B$1000,0)),""))</f>
        <v/>
      </c>
      <c r="D140" s="24"/>
      <c r="E140" s="22"/>
      <c r="F140" s="24"/>
      <c r="G140" s="24" t="str">
        <f t="shared" si="1"/>
        <v/>
      </c>
      <c r="H140" s="22"/>
      <c r="I140" s="22"/>
      <c r="K140" s="1"/>
    </row>
    <row r="141" ht="15.0" customHeight="1">
      <c r="A141" s="22"/>
      <c r="B141" s="22" t="str">
        <f t="array" ref="B141">IF($A141="","",IFERROR(INDEX(Companies!$C$2:$C$1000,MATCH($A141,Companies!$B$2:$B$1000,0)),""))</f>
        <v/>
      </c>
      <c r="C141" s="22" t="str">
        <f t="array" ref="C141">IF($A141="","",IFERROR(INDEX(Companies!$D$2:$D$1000,MATCH($A141,Companies!$B$2:$B$1000,0)),""))</f>
        <v/>
      </c>
      <c r="D141" s="24"/>
      <c r="E141" s="22"/>
      <c r="F141" s="24"/>
      <c r="G141" s="24" t="str">
        <f t="shared" si="1"/>
        <v/>
      </c>
      <c r="H141" s="22"/>
      <c r="I141" s="22"/>
      <c r="K141" s="1"/>
    </row>
    <row r="142" ht="15.0" customHeight="1">
      <c r="A142" s="22"/>
      <c r="B142" s="22" t="str">
        <f t="array" ref="B142">IF($A142="","",IFERROR(INDEX(Companies!$C$2:$C$1000,MATCH($A142,Companies!$B$2:$B$1000,0)),""))</f>
        <v/>
      </c>
      <c r="C142" s="22" t="str">
        <f t="array" ref="C142">IF($A142="","",IFERROR(INDEX(Companies!$D$2:$D$1000,MATCH($A142,Companies!$B$2:$B$1000,0)),""))</f>
        <v/>
      </c>
      <c r="D142" s="24"/>
      <c r="E142" s="22"/>
      <c r="F142" s="24"/>
      <c r="G142" s="24" t="str">
        <f t="shared" si="1"/>
        <v/>
      </c>
      <c r="H142" s="22"/>
      <c r="I142" s="22"/>
      <c r="K142" s="1"/>
    </row>
    <row r="143" ht="15.0" customHeight="1">
      <c r="A143" s="22"/>
      <c r="B143" s="22" t="str">
        <f t="array" ref="B143">IF($A143="","",IFERROR(INDEX(Companies!$C$2:$C$1000,MATCH($A143,Companies!$B$2:$B$1000,0)),""))</f>
        <v/>
      </c>
      <c r="C143" s="22" t="str">
        <f t="array" ref="C143">IF($A143="","",IFERROR(INDEX(Companies!$D$2:$D$1000,MATCH($A143,Companies!$B$2:$B$1000,0)),""))</f>
        <v/>
      </c>
      <c r="D143" s="24"/>
      <c r="E143" s="22"/>
      <c r="F143" s="24"/>
      <c r="G143" s="24" t="str">
        <f t="shared" si="1"/>
        <v/>
      </c>
      <c r="H143" s="22"/>
      <c r="I143" s="22"/>
      <c r="K143" s="1"/>
    </row>
    <row r="144" ht="15.0" customHeight="1">
      <c r="A144" s="22"/>
      <c r="B144" s="22" t="str">
        <f t="array" ref="B144">IF($A144="","",IFERROR(INDEX(Companies!$C$2:$C$1000,MATCH($A144,Companies!$B$2:$B$1000,0)),""))</f>
        <v/>
      </c>
      <c r="C144" s="22" t="str">
        <f t="array" ref="C144">IF($A144="","",IFERROR(INDEX(Companies!$D$2:$D$1000,MATCH($A144,Companies!$B$2:$B$1000,0)),""))</f>
        <v/>
      </c>
      <c r="D144" s="24"/>
      <c r="E144" s="22"/>
      <c r="F144" s="24"/>
      <c r="G144" s="24" t="str">
        <f t="shared" si="1"/>
        <v/>
      </c>
      <c r="H144" s="22"/>
      <c r="I144" s="22"/>
      <c r="K144" s="1"/>
    </row>
    <row r="145" ht="15.0" customHeight="1">
      <c r="A145" s="22"/>
      <c r="B145" s="22" t="str">
        <f t="array" ref="B145">IF($A145="","",IFERROR(INDEX(Companies!$C$2:$C$1000,MATCH($A145,Companies!$B$2:$B$1000,0)),""))</f>
        <v/>
      </c>
      <c r="C145" s="22" t="str">
        <f t="array" ref="C145">IF($A145="","",IFERROR(INDEX(Companies!$D$2:$D$1000,MATCH($A145,Companies!$B$2:$B$1000,0)),""))</f>
        <v/>
      </c>
      <c r="D145" s="24"/>
      <c r="E145" s="22"/>
      <c r="F145" s="24"/>
      <c r="G145" s="24" t="str">
        <f t="shared" si="1"/>
        <v/>
      </c>
      <c r="H145" s="22"/>
      <c r="I145" s="22"/>
      <c r="K145" s="1"/>
    </row>
    <row r="146" ht="15.0" customHeight="1">
      <c r="A146" s="22"/>
      <c r="B146" s="22" t="str">
        <f t="array" ref="B146">IF($A146="","",IFERROR(INDEX(Companies!$C$2:$C$1000,MATCH($A146,Companies!$B$2:$B$1000,0)),""))</f>
        <v/>
      </c>
      <c r="C146" s="22" t="str">
        <f t="array" ref="C146">IF($A146="","",IFERROR(INDEX(Companies!$D$2:$D$1000,MATCH($A146,Companies!$B$2:$B$1000,0)),""))</f>
        <v/>
      </c>
      <c r="D146" s="24"/>
      <c r="E146" s="22"/>
      <c r="F146" s="24"/>
      <c r="G146" s="24" t="str">
        <f t="shared" si="1"/>
        <v/>
      </c>
      <c r="H146" s="22"/>
      <c r="I146" s="22"/>
      <c r="K146" s="1"/>
    </row>
    <row r="147" ht="15.0" customHeight="1">
      <c r="A147" s="22"/>
      <c r="B147" s="22" t="str">
        <f t="array" ref="B147">IF($A147="","",IFERROR(INDEX(Companies!$C$2:$C$1000,MATCH($A147,Companies!$B$2:$B$1000,0)),""))</f>
        <v/>
      </c>
      <c r="C147" s="22" t="str">
        <f t="array" ref="C147">IF($A147="","",IFERROR(INDEX(Companies!$D$2:$D$1000,MATCH($A147,Companies!$B$2:$B$1000,0)),""))</f>
        <v/>
      </c>
      <c r="D147" s="24"/>
      <c r="E147" s="22"/>
      <c r="F147" s="24"/>
      <c r="G147" s="24" t="str">
        <f t="shared" si="1"/>
        <v/>
      </c>
      <c r="H147" s="22"/>
      <c r="I147" s="22"/>
      <c r="K147" s="1"/>
    </row>
    <row r="148" ht="15.0" customHeight="1">
      <c r="A148" s="22"/>
      <c r="B148" s="22" t="str">
        <f t="array" ref="B148">IF($A148="","",IFERROR(INDEX(Companies!$C$2:$C$1000,MATCH($A148,Companies!$B$2:$B$1000,0)),""))</f>
        <v/>
      </c>
      <c r="C148" s="22" t="str">
        <f t="array" ref="C148">IF($A148="","",IFERROR(INDEX(Companies!$D$2:$D$1000,MATCH($A148,Companies!$B$2:$B$1000,0)),""))</f>
        <v/>
      </c>
      <c r="D148" s="24"/>
      <c r="E148" s="22"/>
      <c r="F148" s="24"/>
      <c r="G148" s="24" t="str">
        <f t="shared" si="1"/>
        <v/>
      </c>
      <c r="H148" s="22"/>
      <c r="I148" s="22"/>
      <c r="K148" s="1"/>
    </row>
    <row r="149" ht="15.0" customHeight="1">
      <c r="A149" s="22"/>
      <c r="B149" s="22" t="str">
        <f t="array" ref="B149">IF($A149="","",IFERROR(INDEX(Companies!$C$2:$C$1000,MATCH($A149,Companies!$B$2:$B$1000,0)),""))</f>
        <v/>
      </c>
      <c r="C149" s="22" t="str">
        <f t="array" ref="C149">IF($A149="","",IFERROR(INDEX(Companies!$D$2:$D$1000,MATCH($A149,Companies!$B$2:$B$1000,0)),""))</f>
        <v/>
      </c>
      <c r="D149" s="24"/>
      <c r="E149" s="22"/>
      <c r="F149" s="24"/>
      <c r="G149" s="24" t="str">
        <f t="shared" si="1"/>
        <v/>
      </c>
      <c r="H149" s="22"/>
      <c r="I149" s="22"/>
      <c r="K149" s="1"/>
    </row>
    <row r="150" ht="15.0" customHeight="1">
      <c r="A150" s="22"/>
      <c r="B150" s="22" t="str">
        <f t="array" ref="B150">IF($A150="","",IFERROR(INDEX(Companies!$C$2:$C$1000,MATCH($A150,Companies!$B$2:$B$1000,0)),""))</f>
        <v/>
      </c>
      <c r="C150" s="22" t="str">
        <f t="array" ref="C150">IF($A150="","",IFERROR(INDEX(Companies!$D$2:$D$1000,MATCH($A150,Companies!$B$2:$B$1000,0)),""))</f>
        <v/>
      </c>
      <c r="D150" s="24"/>
      <c r="E150" s="22"/>
      <c r="F150" s="24"/>
      <c r="G150" s="24" t="str">
        <f t="shared" si="1"/>
        <v/>
      </c>
      <c r="H150" s="22"/>
      <c r="I150" s="22"/>
      <c r="K150" s="1"/>
    </row>
    <row r="151" ht="15.0" customHeight="1">
      <c r="A151" s="22"/>
      <c r="B151" s="22" t="str">
        <f t="array" ref="B151">IF($A151="","",IFERROR(INDEX(Companies!$C$2:$C$1000,MATCH($A151,Companies!$B$2:$B$1000,0)),""))</f>
        <v/>
      </c>
      <c r="C151" s="22" t="str">
        <f t="array" ref="C151">IF($A151="","",IFERROR(INDEX(Companies!$D$2:$D$1000,MATCH($A151,Companies!$B$2:$B$1000,0)),""))</f>
        <v/>
      </c>
      <c r="D151" s="24"/>
      <c r="E151" s="22"/>
      <c r="F151" s="24"/>
      <c r="G151" s="24" t="str">
        <f t="shared" si="1"/>
        <v/>
      </c>
      <c r="H151" s="22"/>
      <c r="I151" s="22"/>
      <c r="K151" s="1"/>
    </row>
    <row r="152" ht="15.0" customHeight="1">
      <c r="A152" s="22"/>
      <c r="B152" s="22" t="str">
        <f t="array" ref="B152">IF($A152="","",IFERROR(INDEX(Companies!$C$2:$C$1000,MATCH($A152,Companies!$B$2:$B$1000,0)),""))</f>
        <v/>
      </c>
      <c r="C152" s="22" t="str">
        <f t="array" ref="C152">IF($A152="","",IFERROR(INDEX(Companies!$D$2:$D$1000,MATCH($A152,Companies!$B$2:$B$1000,0)),""))</f>
        <v/>
      </c>
      <c r="D152" s="24"/>
      <c r="E152" s="22"/>
      <c r="F152" s="24"/>
      <c r="G152" s="24" t="str">
        <f t="shared" si="1"/>
        <v/>
      </c>
      <c r="H152" s="22"/>
      <c r="I152" s="22"/>
      <c r="K152" s="1"/>
    </row>
    <row r="153" ht="15.0" customHeight="1">
      <c r="A153" s="22"/>
      <c r="B153" s="22" t="str">
        <f t="array" ref="B153">IF($A153="","",IFERROR(INDEX(Companies!$C$2:$C$1000,MATCH($A153,Companies!$B$2:$B$1000,0)),""))</f>
        <v/>
      </c>
      <c r="C153" s="22" t="str">
        <f t="array" ref="C153">IF($A153="","",IFERROR(INDEX(Companies!$D$2:$D$1000,MATCH($A153,Companies!$B$2:$B$1000,0)),""))</f>
        <v/>
      </c>
      <c r="D153" s="24"/>
      <c r="E153" s="22"/>
      <c r="F153" s="24"/>
      <c r="G153" s="24" t="str">
        <f t="shared" si="1"/>
        <v/>
      </c>
      <c r="H153" s="22"/>
      <c r="I153" s="22"/>
      <c r="K153" s="1"/>
    </row>
    <row r="154" ht="15.0" customHeight="1">
      <c r="A154" s="22"/>
      <c r="B154" s="22" t="str">
        <f t="array" ref="B154">IF($A154="","",IFERROR(INDEX(Companies!$C$2:$C$1000,MATCH($A154,Companies!$B$2:$B$1000,0)),""))</f>
        <v/>
      </c>
      <c r="C154" s="22" t="str">
        <f t="array" ref="C154">IF($A154="","",IFERROR(INDEX(Companies!$D$2:$D$1000,MATCH($A154,Companies!$B$2:$B$1000,0)),""))</f>
        <v/>
      </c>
      <c r="D154" s="24"/>
      <c r="E154" s="22"/>
      <c r="F154" s="24"/>
      <c r="G154" s="24" t="str">
        <f t="shared" si="1"/>
        <v/>
      </c>
      <c r="H154" s="22"/>
      <c r="I154" s="22"/>
      <c r="K154" s="1"/>
    </row>
    <row r="155" ht="15.0" customHeight="1">
      <c r="A155" s="22"/>
      <c r="B155" s="22" t="str">
        <f t="array" ref="B155">IF($A155="","",IFERROR(INDEX(Companies!$C$2:$C$1000,MATCH($A155,Companies!$B$2:$B$1000,0)),""))</f>
        <v/>
      </c>
      <c r="C155" s="22" t="str">
        <f t="array" ref="C155">IF($A155="","",IFERROR(INDEX(Companies!$D$2:$D$1000,MATCH($A155,Companies!$B$2:$B$1000,0)),""))</f>
        <v/>
      </c>
      <c r="D155" s="24"/>
      <c r="E155" s="22"/>
      <c r="F155" s="24"/>
      <c r="G155" s="24" t="str">
        <f t="shared" si="1"/>
        <v/>
      </c>
      <c r="H155" s="22"/>
      <c r="I155" s="22"/>
      <c r="K155" s="1"/>
    </row>
    <row r="156" ht="15.0" customHeight="1">
      <c r="A156" s="22"/>
      <c r="B156" s="22" t="str">
        <f t="array" ref="B156">IF($A156="","",IFERROR(INDEX(Companies!$C$2:$C$1000,MATCH($A156,Companies!$B$2:$B$1000,0)),""))</f>
        <v/>
      </c>
      <c r="C156" s="22" t="str">
        <f t="array" ref="C156">IF($A156="","",IFERROR(INDEX(Companies!$D$2:$D$1000,MATCH($A156,Companies!$B$2:$B$1000,0)),""))</f>
        <v/>
      </c>
      <c r="D156" s="24"/>
      <c r="E156" s="22"/>
      <c r="F156" s="24"/>
      <c r="G156" s="24" t="str">
        <f t="shared" si="1"/>
        <v/>
      </c>
      <c r="H156" s="22"/>
      <c r="I156" s="22"/>
      <c r="K156" s="1"/>
    </row>
    <row r="157" ht="15.0" customHeight="1">
      <c r="A157" s="22"/>
      <c r="B157" s="22" t="str">
        <f t="array" ref="B157">IF($A157="","",IFERROR(INDEX(Companies!$C$2:$C$1000,MATCH($A157,Companies!$B$2:$B$1000,0)),""))</f>
        <v/>
      </c>
      <c r="C157" s="22" t="str">
        <f t="array" ref="C157">IF($A157="","",IFERROR(INDEX(Companies!$D$2:$D$1000,MATCH($A157,Companies!$B$2:$B$1000,0)),""))</f>
        <v/>
      </c>
      <c r="D157" s="24"/>
      <c r="E157" s="22"/>
      <c r="F157" s="24"/>
      <c r="G157" s="24" t="str">
        <f t="shared" si="1"/>
        <v/>
      </c>
      <c r="H157" s="22"/>
      <c r="I157" s="22"/>
      <c r="K157" s="1"/>
    </row>
    <row r="158" ht="15.0" customHeight="1">
      <c r="A158" s="22"/>
      <c r="B158" s="22" t="str">
        <f t="array" ref="B158">IF($A158="","",IFERROR(INDEX(Companies!$C$2:$C$1000,MATCH($A158,Companies!$B$2:$B$1000,0)),""))</f>
        <v/>
      </c>
      <c r="C158" s="22" t="str">
        <f t="array" ref="C158">IF($A158="","",IFERROR(INDEX(Companies!$D$2:$D$1000,MATCH($A158,Companies!$B$2:$B$1000,0)),""))</f>
        <v/>
      </c>
      <c r="D158" s="24"/>
      <c r="E158" s="22"/>
      <c r="F158" s="24"/>
      <c r="G158" s="24" t="str">
        <f t="shared" si="1"/>
        <v/>
      </c>
      <c r="H158" s="22"/>
      <c r="I158" s="22"/>
      <c r="K158" s="1"/>
    </row>
    <row r="159" ht="15.0" customHeight="1">
      <c r="A159" s="22"/>
      <c r="B159" s="22" t="str">
        <f t="array" ref="B159">IF($A159="","",IFERROR(INDEX(Companies!$C$2:$C$1000,MATCH($A159,Companies!$B$2:$B$1000,0)),""))</f>
        <v/>
      </c>
      <c r="C159" s="22" t="str">
        <f t="array" ref="C159">IF($A159="","",IFERROR(INDEX(Companies!$D$2:$D$1000,MATCH($A159,Companies!$B$2:$B$1000,0)),""))</f>
        <v/>
      </c>
      <c r="D159" s="24"/>
      <c r="E159" s="22"/>
      <c r="F159" s="24"/>
      <c r="G159" s="24" t="str">
        <f t="shared" si="1"/>
        <v/>
      </c>
      <c r="H159" s="22"/>
      <c r="I159" s="22"/>
      <c r="K159" s="1"/>
    </row>
    <row r="160" ht="15.0" customHeight="1">
      <c r="A160" s="22"/>
      <c r="B160" s="22" t="str">
        <f t="array" ref="B160">IF($A160="","",IFERROR(INDEX(Companies!$C$2:$C$1000,MATCH($A160,Companies!$B$2:$B$1000,0)),""))</f>
        <v/>
      </c>
      <c r="C160" s="22" t="str">
        <f t="array" ref="C160">IF($A160="","",IFERROR(INDEX(Companies!$D$2:$D$1000,MATCH($A160,Companies!$B$2:$B$1000,0)),""))</f>
        <v/>
      </c>
      <c r="D160" s="24"/>
      <c r="E160" s="22"/>
      <c r="F160" s="24"/>
      <c r="G160" s="24" t="str">
        <f t="shared" si="1"/>
        <v/>
      </c>
      <c r="H160" s="22"/>
      <c r="I160" s="22"/>
      <c r="K160" s="1"/>
    </row>
    <row r="161" ht="15.0" customHeight="1">
      <c r="A161" s="22"/>
      <c r="B161" s="22" t="str">
        <f t="array" ref="B161">IF($A161="","",IFERROR(INDEX(Companies!$C$2:$C$1000,MATCH($A161,Companies!$B$2:$B$1000,0)),""))</f>
        <v/>
      </c>
      <c r="C161" s="22" t="str">
        <f t="array" ref="C161">IF($A161="","",IFERROR(INDEX(Companies!$D$2:$D$1000,MATCH($A161,Companies!$B$2:$B$1000,0)),""))</f>
        <v/>
      </c>
      <c r="D161" s="24"/>
      <c r="E161" s="22"/>
      <c r="F161" s="24"/>
      <c r="G161" s="24" t="str">
        <f t="shared" si="1"/>
        <v/>
      </c>
      <c r="H161" s="22"/>
      <c r="I161" s="22"/>
      <c r="K161" s="1"/>
    </row>
    <row r="162" ht="15.0" customHeight="1">
      <c r="A162" s="22"/>
      <c r="B162" s="22" t="str">
        <f t="array" ref="B162">IF($A162="","",IFERROR(INDEX(Companies!$C$2:$C$1000,MATCH($A162,Companies!$B$2:$B$1000,0)),""))</f>
        <v/>
      </c>
      <c r="C162" s="22" t="str">
        <f t="array" ref="C162">IF($A162="","",IFERROR(INDEX(Companies!$D$2:$D$1000,MATCH($A162,Companies!$B$2:$B$1000,0)),""))</f>
        <v/>
      </c>
      <c r="D162" s="24"/>
      <c r="E162" s="22"/>
      <c r="F162" s="24"/>
      <c r="G162" s="24" t="str">
        <f t="shared" si="1"/>
        <v/>
      </c>
      <c r="H162" s="22"/>
      <c r="I162" s="22"/>
      <c r="K162" s="1"/>
    </row>
    <row r="163" ht="15.0" customHeight="1">
      <c r="A163" s="22"/>
      <c r="B163" s="22" t="str">
        <f t="array" ref="B163">IF($A163="","",IFERROR(INDEX(Companies!$C$2:$C$1000,MATCH($A163,Companies!$B$2:$B$1000,0)),""))</f>
        <v/>
      </c>
      <c r="C163" s="22" t="str">
        <f t="array" ref="C163">IF($A163="","",IFERROR(INDEX(Companies!$D$2:$D$1000,MATCH($A163,Companies!$B$2:$B$1000,0)),""))</f>
        <v/>
      </c>
      <c r="D163" s="24"/>
      <c r="E163" s="22"/>
      <c r="F163" s="24"/>
      <c r="G163" s="24" t="str">
        <f t="shared" si="1"/>
        <v/>
      </c>
      <c r="H163" s="22"/>
      <c r="I163" s="22"/>
      <c r="K163" s="1"/>
    </row>
    <row r="164" ht="15.0" customHeight="1">
      <c r="A164" s="22"/>
      <c r="B164" s="22" t="str">
        <f t="array" ref="B164">IF($A164="","",IFERROR(INDEX(Companies!$C$2:$C$1000,MATCH($A164,Companies!$B$2:$B$1000,0)),""))</f>
        <v/>
      </c>
      <c r="C164" s="22" t="str">
        <f t="array" ref="C164">IF($A164="","",IFERROR(INDEX(Companies!$D$2:$D$1000,MATCH($A164,Companies!$B$2:$B$1000,0)),""))</f>
        <v/>
      </c>
      <c r="D164" s="24"/>
      <c r="E164" s="22"/>
      <c r="F164" s="24"/>
      <c r="G164" s="24" t="str">
        <f t="shared" si="1"/>
        <v/>
      </c>
      <c r="H164" s="22"/>
      <c r="I164" s="22"/>
      <c r="K164" s="1"/>
    </row>
    <row r="165" ht="15.0" customHeight="1">
      <c r="A165" s="22"/>
      <c r="B165" s="22" t="str">
        <f t="array" ref="B165">IF($A165="","",IFERROR(INDEX(Companies!$C$2:$C$1000,MATCH($A165,Companies!$B$2:$B$1000,0)),""))</f>
        <v/>
      </c>
      <c r="C165" s="22" t="str">
        <f t="array" ref="C165">IF($A165="","",IFERROR(INDEX(Companies!$D$2:$D$1000,MATCH($A165,Companies!$B$2:$B$1000,0)),""))</f>
        <v/>
      </c>
      <c r="D165" s="24"/>
      <c r="E165" s="22"/>
      <c r="F165" s="24"/>
      <c r="G165" s="24" t="str">
        <f t="shared" si="1"/>
        <v/>
      </c>
      <c r="H165" s="22"/>
      <c r="I165" s="22"/>
      <c r="K165" s="1"/>
    </row>
    <row r="166" ht="15.0" customHeight="1">
      <c r="A166" s="22"/>
      <c r="B166" s="22" t="str">
        <f t="array" ref="B166">IF($A166="","",IFERROR(INDEX(Companies!$C$2:$C$1000,MATCH($A166,Companies!$B$2:$B$1000,0)),""))</f>
        <v/>
      </c>
      <c r="C166" s="22" t="str">
        <f t="array" ref="C166">IF($A166="","",IFERROR(INDEX(Companies!$D$2:$D$1000,MATCH($A166,Companies!$B$2:$B$1000,0)),""))</f>
        <v/>
      </c>
      <c r="D166" s="24"/>
      <c r="E166" s="22"/>
      <c r="F166" s="24"/>
      <c r="G166" s="24" t="str">
        <f t="shared" si="1"/>
        <v/>
      </c>
      <c r="H166" s="22"/>
      <c r="I166" s="22"/>
      <c r="K166" s="1"/>
    </row>
    <row r="167" ht="15.0" customHeight="1">
      <c r="A167" s="22"/>
      <c r="B167" s="22" t="str">
        <f t="array" ref="B167">IF($A167="","",IFERROR(INDEX(Companies!$C$2:$C$1000,MATCH($A167,Companies!$B$2:$B$1000,0)),""))</f>
        <v/>
      </c>
      <c r="C167" s="22" t="str">
        <f t="array" ref="C167">IF($A167="","",IFERROR(INDEX(Companies!$D$2:$D$1000,MATCH($A167,Companies!$B$2:$B$1000,0)),""))</f>
        <v/>
      </c>
      <c r="D167" s="24"/>
      <c r="E167" s="22"/>
      <c r="F167" s="24"/>
      <c r="G167" s="24" t="str">
        <f t="shared" si="1"/>
        <v/>
      </c>
      <c r="H167" s="22"/>
      <c r="I167" s="22"/>
      <c r="K167" s="1"/>
    </row>
    <row r="168" ht="15.0" customHeight="1">
      <c r="A168" s="22"/>
      <c r="B168" s="22" t="str">
        <f t="array" ref="B168">IF($A168="","",IFERROR(INDEX(Companies!$C$2:$C$1000,MATCH($A168,Companies!$B$2:$B$1000,0)),""))</f>
        <v/>
      </c>
      <c r="C168" s="22" t="str">
        <f t="array" ref="C168">IF($A168="","",IFERROR(INDEX(Companies!$D$2:$D$1000,MATCH($A168,Companies!$B$2:$B$1000,0)),""))</f>
        <v/>
      </c>
      <c r="D168" s="24"/>
      <c r="E168" s="22"/>
      <c r="F168" s="24"/>
      <c r="G168" s="24" t="str">
        <f t="shared" si="1"/>
        <v/>
      </c>
      <c r="H168" s="22"/>
      <c r="I168" s="22"/>
      <c r="K168" s="1"/>
    </row>
    <row r="169" ht="15.0" customHeight="1">
      <c r="A169" s="22"/>
      <c r="B169" s="22" t="str">
        <f t="array" ref="B169">IF($A169="","",IFERROR(INDEX(Companies!$C$2:$C$1000,MATCH($A169,Companies!$B$2:$B$1000,0)),""))</f>
        <v/>
      </c>
      <c r="C169" s="22" t="str">
        <f t="array" ref="C169">IF($A169="","",IFERROR(INDEX(Companies!$D$2:$D$1000,MATCH($A169,Companies!$B$2:$B$1000,0)),""))</f>
        <v/>
      </c>
      <c r="D169" s="24"/>
      <c r="E169" s="22"/>
      <c r="F169" s="24"/>
      <c r="G169" s="24" t="str">
        <f t="shared" si="1"/>
        <v/>
      </c>
      <c r="H169" s="22"/>
      <c r="I169" s="22"/>
      <c r="K169" s="1"/>
    </row>
    <row r="170" ht="15.0" customHeight="1">
      <c r="A170" s="22"/>
      <c r="B170" s="22" t="str">
        <f t="array" ref="B170">IF($A170="","",IFERROR(INDEX(Companies!$C$2:$C$1000,MATCH($A170,Companies!$B$2:$B$1000,0)),""))</f>
        <v/>
      </c>
      <c r="C170" s="22" t="str">
        <f t="array" ref="C170">IF($A170="","",IFERROR(INDEX(Companies!$D$2:$D$1000,MATCH($A170,Companies!$B$2:$B$1000,0)),""))</f>
        <v/>
      </c>
      <c r="D170" s="24"/>
      <c r="E170" s="22"/>
      <c r="F170" s="24"/>
      <c r="G170" s="24" t="str">
        <f t="shared" si="1"/>
        <v/>
      </c>
      <c r="H170" s="22"/>
      <c r="I170" s="22"/>
      <c r="K170" s="1"/>
    </row>
    <row r="171" ht="15.0" customHeight="1">
      <c r="A171" s="22"/>
      <c r="B171" s="22" t="str">
        <f t="array" ref="B171">IF($A171="","",IFERROR(INDEX(Companies!$C$2:$C$1000,MATCH($A171,Companies!$B$2:$B$1000,0)),""))</f>
        <v/>
      </c>
      <c r="C171" s="22" t="str">
        <f t="array" ref="C171">IF($A171="","",IFERROR(INDEX(Companies!$D$2:$D$1000,MATCH($A171,Companies!$B$2:$B$1000,0)),""))</f>
        <v/>
      </c>
      <c r="D171" s="24"/>
      <c r="E171" s="22"/>
      <c r="F171" s="24"/>
      <c r="G171" s="24" t="str">
        <f t="shared" si="1"/>
        <v/>
      </c>
      <c r="H171" s="22"/>
      <c r="I171" s="22"/>
      <c r="K171" s="1"/>
    </row>
    <row r="172" ht="15.0" customHeight="1">
      <c r="A172" s="22"/>
      <c r="B172" s="22" t="str">
        <f t="array" ref="B172">IF($A172="","",IFERROR(INDEX(Companies!$C$2:$C$1000,MATCH($A172,Companies!$B$2:$B$1000,0)),""))</f>
        <v/>
      </c>
      <c r="C172" s="22" t="str">
        <f t="array" ref="C172">IF($A172="","",IFERROR(INDEX(Companies!$D$2:$D$1000,MATCH($A172,Companies!$B$2:$B$1000,0)),""))</f>
        <v/>
      </c>
      <c r="D172" s="24"/>
      <c r="E172" s="22"/>
      <c r="F172" s="24"/>
      <c r="G172" s="24" t="str">
        <f t="shared" si="1"/>
        <v/>
      </c>
      <c r="H172" s="22"/>
      <c r="I172" s="22"/>
      <c r="K172" s="1"/>
    </row>
    <row r="173" ht="15.0" customHeight="1">
      <c r="A173" s="22"/>
      <c r="B173" s="22" t="str">
        <f t="array" ref="B173">IF($A173="","",IFERROR(INDEX(Companies!$C$2:$C$1000,MATCH($A173,Companies!$B$2:$B$1000,0)),""))</f>
        <v/>
      </c>
      <c r="C173" s="22" t="str">
        <f t="array" ref="C173">IF($A173="","",IFERROR(INDEX(Companies!$D$2:$D$1000,MATCH($A173,Companies!$B$2:$B$1000,0)),""))</f>
        <v/>
      </c>
      <c r="D173" s="24"/>
      <c r="E173" s="22"/>
      <c r="F173" s="24"/>
      <c r="G173" s="24" t="str">
        <f t="shared" si="1"/>
        <v/>
      </c>
      <c r="H173" s="22"/>
      <c r="I173" s="22"/>
      <c r="K173" s="1"/>
    </row>
    <row r="174" ht="15.0" customHeight="1">
      <c r="A174" s="22"/>
      <c r="B174" s="22" t="str">
        <f t="array" ref="B174">IF($A174="","",IFERROR(INDEX(Companies!$C$2:$C$1000,MATCH($A174,Companies!$B$2:$B$1000,0)),""))</f>
        <v/>
      </c>
      <c r="C174" s="22" t="str">
        <f t="array" ref="C174">IF($A174="","",IFERROR(INDEX(Companies!$D$2:$D$1000,MATCH($A174,Companies!$B$2:$B$1000,0)),""))</f>
        <v/>
      </c>
      <c r="D174" s="24"/>
      <c r="E174" s="22"/>
      <c r="F174" s="24"/>
      <c r="G174" s="24" t="str">
        <f t="shared" si="1"/>
        <v/>
      </c>
      <c r="H174" s="22"/>
      <c r="I174" s="22"/>
      <c r="K174" s="1"/>
    </row>
    <row r="175" ht="15.0" customHeight="1">
      <c r="A175" s="22"/>
      <c r="B175" s="22" t="str">
        <f t="array" ref="B175">IF($A175="","",IFERROR(INDEX(Companies!$C$2:$C$1000,MATCH($A175,Companies!$B$2:$B$1000,0)),""))</f>
        <v/>
      </c>
      <c r="C175" s="22" t="str">
        <f t="array" ref="C175">IF($A175="","",IFERROR(INDEX(Companies!$D$2:$D$1000,MATCH($A175,Companies!$B$2:$B$1000,0)),""))</f>
        <v/>
      </c>
      <c r="D175" s="24"/>
      <c r="E175" s="22"/>
      <c r="F175" s="24"/>
      <c r="G175" s="24" t="str">
        <f t="shared" si="1"/>
        <v/>
      </c>
      <c r="H175" s="22"/>
      <c r="I175" s="22"/>
      <c r="K175" s="1"/>
    </row>
    <row r="176" ht="15.0" customHeight="1">
      <c r="A176" s="22"/>
      <c r="B176" s="22" t="str">
        <f t="array" ref="B176">IF($A176="","",IFERROR(INDEX(Companies!$C$2:$C$1000,MATCH($A176,Companies!$B$2:$B$1000,0)),""))</f>
        <v/>
      </c>
      <c r="C176" s="22" t="str">
        <f t="array" ref="C176">IF($A176="","",IFERROR(INDEX(Companies!$D$2:$D$1000,MATCH($A176,Companies!$B$2:$B$1000,0)),""))</f>
        <v/>
      </c>
      <c r="D176" s="24"/>
      <c r="E176" s="22"/>
      <c r="F176" s="24"/>
      <c r="G176" s="24" t="str">
        <f t="shared" si="1"/>
        <v/>
      </c>
      <c r="H176" s="22"/>
      <c r="I176" s="22"/>
      <c r="K176" s="1"/>
    </row>
    <row r="177" ht="15.0" customHeight="1">
      <c r="A177" s="22"/>
      <c r="B177" s="22" t="str">
        <f t="array" ref="B177">IF($A177="","",IFERROR(INDEX(Companies!$C$2:$C$1000,MATCH($A177,Companies!$B$2:$B$1000,0)),""))</f>
        <v/>
      </c>
      <c r="C177" s="22" t="str">
        <f t="array" ref="C177">IF($A177="","",IFERROR(INDEX(Companies!$D$2:$D$1000,MATCH($A177,Companies!$B$2:$B$1000,0)),""))</f>
        <v/>
      </c>
      <c r="D177" s="24"/>
      <c r="E177" s="22"/>
      <c r="F177" s="24"/>
      <c r="G177" s="24" t="str">
        <f t="shared" si="1"/>
        <v/>
      </c>
      <c r="H177" s="22"/>
      <c r="I177" s="22"/>
      <c r="K177" s="1"/>
    </row>
    <row r="178" ht="15.0" customHeight="1">
      <c r="A178" s="22"/>
      <c r="B178" s="22" t="str">
        <f t="array" ref="B178">IF($A178="","",IFERROR(INDEX(Companies!$C$2:$C$1000,MATCH($A178,Companies!$B$2:$B$1000,0)),""))</f>
        <v/>
      </c>
      <c r="C178" s="22" t="str">
        <f t="array" ref="C178">IF($A178="","",IFERROR(INDEX(Companies!$D$2:$D$1000,MATCH($A178,Companies!$B$2:$B$1000,0)),""))</f>
        <v/>
      </c>
      <c r="D178" s="24"/>
      <c r="E178" s="22"/>
      <c r="F178" s="24"/>
      <c r="G178" s="24" t="str">
        <f t="shared" si="1"/>
        <v/>
      </c>
      <c r="H178" s="22"/>
      <c r="I178" s="22"/>
      <c r="K178" s="1"/>
    </row>
    <row r="179" ht="15.0" customHeight="1">
      <c r="A179" s="22"/>
      <c r="B179" s="22" t="str">
        <f t="array" ref="B179">IF($A179="","",IFERROR(INDEX(Companies!$C$2:$C$1000,MATCH($A179,Companies!$B$2:$B$1000,0)),""))</f>
        <v/>
      </c>
      <c r="C179" s="22" t="str">
        <f t="array" ref="C179">IF($A179="","",IFERROR(INDEX(Companies!$D$2:$D$1000,MATCH($A179,Companies!$B$2:$B$1000,0)),""))</f>
        <v/>
      </c>
      <c r="D179" s="24"/>
      <c r="E179" s="22"/>
      <c r="F179" s="24"/>
      <c r="G179" s="24" t="str">
        <f t="shared" si="1"/>
        <v/>
      </c>
      <c r="H179" s="22"/>
      <c r="I179" s="22"/>
      <c r="K179" s="1"/>
    </row>
    <row r="180" ht="15.0" customHeight="1">
      <c r="A180" s="22"/>
      <c r="B180" s="22" t="str">
        <f t="array" ref="B180">IF($A180="","",IFERROR(INDEX(Companies!$C$2:$C$1000,MATCH($A180,Companies!$B$2:$B$1000,0)),""))</f>
        <v/>
      </c>
      <c r="C180" s="22" t="str">
        <f t="array" ref="C180">IF($A180="","",IFERROR(INDEX(Companies!$D$2:$D$1000,MATCH($A180,Companies!$B$2:$B$1000,0)),""))</f>
        <v/>
      </c>
      <c r="D180" s="24"/>
      <c r="E180" s="22"/>
      <c r="F180" s="24"/>
      <c r="G180" s="24" t="str">
        <f t="shared" si="1"/>
        <v/>
      </c>
      <c r="H180" s="22"/>
      <c r="I180" s="22"/>
      <c r="K180" s="1"/>
    </row>
    <row r="181" ht="15.0" customHeight="1">
      <c r="A181" s="22"/>
      <c r="B181" s="22" t="str">
        <f t="array" ref="B181">IF($A181="","",IFERROR(INDEX(Companies!$C$2:$C$1000,MATCH($A181,Companies!$B$2:$B$1000,0)),""))</f>
        <v/>
      </c>
      <c r="C181" s="22" t="str">
        <f t="array" ref="C181">IF($A181="","",IFERROR(INDEX(Companies!$D$2:$D$1000,MATCH($A181,Companies!$B$2:$B$1000,0)),""))</f>
        <v/>
      </c>
      <c r="D181" s="24"/>
      <c r="E181" s="22"/>
      <c r="F181" s="24"/>
      <c r="G181" s="24" t="str">
        <f t="shared" si="1"/>
        <v/>
      </c>
      <c r="H181" s="22"/>
      <c r="I181" s="22"/>
      <c r="K181" s="1"/>
    </row>
    <row r="182" ht="15.0" customHeight="1">
      <c r="A182" s="22"/>
      <c r="B182" s="22" t="str">
        <f t="array" ref="B182">IF($A182="","",IFERROR(INDEX(Companies!$C$2:$C$1000,MATCH($A182,Companies!$B$2:$B$1000,0)),""))</f>
        <v/>
      </c>
      <c r="C182" s="22" t="str">
        <f t="array" ref="C182">IF($A182="","",IFERROR(INDEX(Companies!$D$2:$D$1000,MATCH($A182,Companies!$B$2:$B$1000,0)),""))</f>
        <v/>
      </c>
      <c r="D182" s="24"/>
      <c r="E182" s="22"/>
      <c r="F182" s="24"/>
      <c r="G182" s="24" t="str">
        <f t="shared" si="1"/>
        <v/>
      </c>
      <c r="H182" s="22"/>
      <c r="I182" s="22"/>
      <c r="K182" s="1"/>
    </row>
    <row r="183" ht="15.0" customHeight="1">
      <c r="A183" s="22"/>
      <c r="B183" s="22" t="str">
        <f t="array" ref="B183">IF($A183="","",IFERROR(INDEX(Companies!$C$2:$C$1000,MATCH($A183,Companies!$B$2:$B$1000,0)),""))</f>
        <v/>
      </c>
      <c r="C183" s="22" t="str">
        <f t="array" ref="C183">IF($A183="","",IFERROR(INDEX(Companies!$D$2:$D$1000,MATCH($A183,Companies!$B$2:$B$1000,0)),""))</f>
        <v/>
      </c>
      <c r="D183" s="24"/>
      <c r="E183" s="22"/>
      <c r="F183" s="24"/>
      <c r="G183" s="24" t="str">
        <f t="shared" si="1"/>
        <v/>
      </c>
      <c r="H183" s="22"/>
      <c r="I183" s="22"/>
      <c r="K183" s="1"/>
    </row>
    <row r="184" ht="15.0" customHeight="1">
      <c r="A184" s="22"/>
      <c r="B184" s="22" t="str">
        <f t="array" ref="B184">IF($A184="","",IFERROR(INDEX(Companies!$C$2:$C$1000,MATCH($A184,Companies!$B$2:$B$1000,0)),""))</f>
        <v/>
      </c>
      <c r="C184" s="22" t="str">
        <f t="array" ref="C184">IF($A184="","",IFERROR(INDEX(Companies!$D$2:$D$1000,MATCH($A184,Companies!$B$2:$B$1000,0)),""))</f>
        <v/>
      </c>
      <c r="D184" s="24"/>
      <c r="E184" s="22"/>
      <c r="F184" s="24"/>
      <c r="G184" s="24" t="str">
        <f t="shared" si="1"/>
        <v/>
      </c>
      <c r="H184" s="22"/>
      <c r="I184" s="22"/>
      <c r="K184" s="1"/>
    </row>
    <row r="185" ht="15.0" customHeight="1">
      <c r="A185" s="22"/>
      <c r="B185" s="22" t="str">
        <f t="array" ref="B185">IF($A185="","",IFERROR(INDEX(Companies!$C$2:$C$1000,MATCH($A185,Companies!$B$2:$B$1000,0)),""))</f>
        <v/>
      </c>
      <c r="C185" s="22" t="str">
        <f t="array" ref="C185">IF($A185="","",IFERROR(INDEX(Companies!$D$2:$D$1000,MATCH($A185,Companies!$B$2:$B$1000,0)),""))</f>
        <v/>
      </c>
      <c r="D185" s="24"/>
      <c r="E185" s="22"/>
      <c r="F185" s="24"/>
      <c r="G185" s="24" t="str">
        <f t="shared" si="1"/>
        <v/>
      </c>
      <c r="H185" s="22"/>
      <c r="I185" s="22"/>
      <c r="K185" s="1"/>
    </row>
    <row r="186" ht="15.0" customHeight="1">
      <c r="A186" s="22"/>
      <c r="B186" s="22" t="str">
        <f t="array" ref="B186">IF($A186="","",IFERROR(INDEX(Companies!$C$2:$C$1000,MATCH($A186,Companies!$B$2:$B$1000,0)),""))</f>
        <v/>
      </c>
      <c r="C186" s="22" t="str">
        <f t="array" ref="C186">IF($A186="","",IFERROR(INDEX(Companies!$D$2:$D$1000,MATCH($A186,Companies!$B$2:$B$1000,0)),""))</f>
        <v/>
      </c>
      <c r="D186" s="24"/>
      <c r="E186" s="22"/>
      <c r="F186" s="24"/>
      <c r="G186" s="24" t="str">
        <f t="shared" si="1"/>
        <v/>
      </c>
      <c r="H186" s="22"/>
      <c r="I186" s="22"/>
      <c r="K186" s="1"/>
    </row>
    <row r="187" ht="15.0" customHeight="1">
      <c r="A187" s="22"/>
      <c r="B187" s="22" t="str">
        <f t="array" ref="B187">IF($A187="","",IFERROR(INDEX(Companies!$C$2:$C$1000,MATCH($A187,Companies!$B$2:$B$1000,0)),""))</f>
        <v/>
      </c>
      <c r="C187" s="22" t="str">
        <f t="array" ref="C187">IF($A187="","",IFERROR(INDEX(Companies!$D$2:$D$1000,MATCH($A187,Companies!$B$2:$B$1000,0)),""))</f>
        <v/>
      </c>
      <c r="D187" s="24"/>
      <c r="E187" s="22"/>
      <c r="F187" s="24"/>
      <c r="G187" s="24" t="str">
        <f t="shared" si="1"/>
        <v/>
      </c>
      <c r="H187" s="22"/>
      <c r="I187" s="22"/>
      <c r="K187" s="1"/>
    </row>
    <row r="188" ht="15.0" customHeight="1">
      <c r="A188" s="22"/>
      <c r="B188" s="22" t="str">
        <f t="array" ref="B188">IF($A188="","",IFERROR(INDEX(Companies!$C$2:$C$1000,MATCH($A188,Companies!$B$2:$B$1000,0)),""))</f>
        <v/>
      </c>
      <c r="C188" s="22" t="str">
        <f t="array" ref="C188">IF($A188="","",IFERROR(INDEX(Companies!$D$2:$D$1000,MATCH($A188,Companies!$B$2:$B$1000,0)),""))</f>
        <v/>
      </c>
      <c r="D188" s="24"/>
      <c r="E188" s="22"/>
      <c r="F188" s="24"/>
      <c r="G188" s="24" t="str">
        <f t="shared" si="1"/>
        <v/>
      </c>
      <c r="H188" s="22"/>
      <c r="I188" s="22"/>
      <c r="K188" s="1"/>
    </row>
    <row r="189" ht="15.0" customHeight="1">
      <c r="A189" s="22"/>
      <c r="B189" s="22" t="str">
        <f t="array" ref="B189">IF($A189="","",IFERROR(INDEX(Companies!$C$2:$C$1000,MATCH($A189,Companies!$B$2:$B$1000,0)),""))</f>
        <v/>
      </c>
      <c r="C189" s="22" t="str">
        <f t="array" ref="C189">IF($A189="","",IFERROR(INDEX(Companies!$D$2:$D$1000,MATCH($A189,Companies!$B$2:$B$1000,0)),""))</f>
        <v/>
      </c>
      <c r="D189" s="24"/>
      <c r="E189" s="22"/>
      <c r="F189" s="24"/>
      <c r="G189" s="24" t="str">
        <f t="shared" si="1"/>
        <v/>
      </c>
      <c r="H189" s="22"/>
      <c r="I189" s="22"/>
      <c r="K189" s="1"/>
    </row>
    <row r="190" ht="15.0" customHeight="1">
      <c r="A190" s="22"/>
      <c r="B190" s="22" t="str">
        <f t="array" ref="B190">IF($A190="","",IFERROR(INDEX(Companies!$C$2:$C$1000,MATCH($A190,Companies!$B$2:$B$1000,0)),""))</f>
        <v/>
      </c>
      <c r="C190" s="22" t="str">
        <f t="array" ref="C190">IF($A190="","",IFERROR(INDEX(Companies!$D$2:$D$1000,MATCH($A190,Companies!$B$2:$B$1000,0)),""))</f>
        <v/>
      </c>
      <c r="D190" s="24"/>
      <c r="E190" s="22"/>
      <c r="F190" s="24"/>
      <c r="G190" s="24" t="str">
        <f t="shared" si="1"/>
        <v/>
      </c>
      <c r="H190" s="22"/>
      <c r="I190" s="22"/>
      <c r="K190" s="1"/>
    </row>
    <row r="191" ht="15.0" customHeight="1">
      <c r="A191" s="22"/>
      <c r="B191" s="22" t="str">
        <f t="array" ref="B191">IF($A191="","",IFERROR(INDEX(Companies!$C$2:$C$1000,MATCH($A191,Companies!$B$2:$B$1000,0)),""))</f>
        <v/>
      </c>
      <c r="C191" s="22" t="str">
        <f t="array" ref="C191">IF($A191="","",IFERROR(INDEX(Companies!$D$2:$D$1000,MATCH($A191,Companies!$B$2:$B$1000,0)),""))</f>
        <v/>
      </c>
      <c r="D191" s="24"/>
      <c r="E191" s="22"/>
      <c r="F191" s="24"/>
      <c r="G191" s="24" t="str">
        <f t="shared" si="1"/>
        <v/>
      </c>
      <c r="H191" s="22"/>
      <c r="I191" s="22"/>
      <c r="K191" s="1"/>
    </row>
    <row r="192" ht="15.0" customHeight="1">
      <c r="A192" s="22"/>
      <c r="B192" s="22" t="str">
        <f t="array" ref="B192">IF($A192="","",IFERROR(INDEX(Companies!$C$2:$C$1000,MATCH($A192,Companies!$B$2:$B$1000,0)),""))</f>
        <v/>
      </c>
      <c r="C192" s="22" t="str">
        <f t="array" ref="C192">IF($A192="","",IFERROR(INDEX(Companies!$D$2:$D$1000,MATCH($A192,Companies!$B$2:$B$1000,0)),""))</f>
        <v/>
      </c>
      <c r="D192" s="24"/>
      <c r="E192" s="22"/>
      <c r="F192" s="24"/>
      <c r="G192" s="24" t="str">
        <f t="shared" si="1"/>
        <v/>
      </c>
      <c r="H192" s="22"/>
      <c r="I192" s="22"/>
      <c r="K192" s="1"/>
    </row>
    <row r="193" ht="15.0" customHeight="1">
      <c r="A193" s="22"/>
      <c r="B193" s="22" t="str">
        <f t="array" ref="B193">IF($A193="","",IFERROR(INDEX(Companies!$C$2:$C$1000,MATCH($A193,Companies!$B$2:$B$1000,0)),""))</f>
        <v/>
      </c>
      <c r="C193" s="22" t="str">
        <f t="array" ref="C193">IF($A193="","",IFERROR(INDEX(Companies!$D$2:$D$1000,MATCH($A193,Companies!$B$2:$B$1000,0)),""))</f>
        <v/>
      </c>
      <c r="D193" s="24"/>
      <c r="E193" s="22"/>
      <c r="F193" s="24"/>
      <c r="G193" s="24" t="str">
        <f t="shared" si="1"/>
        <v/>
      </c>
      <c r="H193" s="22"/>
      <c r="I193" s="22"/>
      <c r="K193" s="1"/>
    </row>
    <row r="194" ht="15.0" customHeight="1">
      <c r="A194" s="22"/>
      <c r="B194" s="22" t="str">
        <f t="array" ref="B194">IF($A194="","",IFERROR(INDEX(Companies!$C$2:$C$1000,MATCH($A194,Companies!$B$2:$B$1000,0)),""))</f>
        <v/>
      </c>
      <c r="C194" s="22" t="str">
        <f t="array" ref="C194">IF($A194="","",IFERROR(INDEX(Companies!$D$2:$D$1000,MATCH($A194,Companies!$B$2:$B$1000,0)),""))</f>
        <v/>
      </c>
      <c r="D194" s="24"/>
      <c r="E194" s="22"/>
      <c r="F194" s="24"/>
      <c r="G194" s="24" t="str">
        <f t="shared" si="1"/>
        <v/>
      </c>
      <c r="H194" s="22"/>
      <c r="I194" s="22"/>
      <c r="K194" s="1"/>
    </row>
    <row r="195" ht="15.0" customHeight="1">
      <c r="A195" s="22"/>
      <c r="B195" s="22" t="str">
        <f t="array" ref="B195">IF($A195="","",IFERROR(INDEX(Companies!$C$2:$C$1000,MATCH($A195,Companies!$B$2:$B$1000,0)),""))</f>
        <v/>
      </c>
      <c r="C195" s="22" t="str">
        <f t="array" ref="C195">IF($A195="","",IFERROR(INDEX(Companies!$D$2:$D$1000,MATCH($A195,Companies!$B$2:$B$1000,0)),""))</f>
        <v/>
      </c>
      <c r="D195" s="24"/>
      <c r="E195" s="22"/>
      <c r="F195" s="24"/>
      <c r="G195" s="24" t="str">
        <f t="shared" si="1"/>
        <v/>
      </c>
      <c r="H195" s="22"/>
      <c r="I195" s="22"/>
      <c r="K195" s="1"/>
    </row>
    <row r="196" ht="15.0" customHeight="1">
      <c r="A196" s="22"/>
      <c r="B196" s="22" t="str">
        <f t="array" ref="B196">IF($A196="","",IFERROR(INDEX(Companies!$C$2:$C$1000,MATCH($A196,Companies!$B$2:$B$1000,0)),""))</f>
        <v/>
      </c>
      <c r="C196" s="22" t="str">
        <f t="array" ref="C196">IF($A196="","",IFERROR(INDEX(Companies!$D$2:$D$1000,MATCH($A196,Companies!$B$2:$B$1000,0)),""))</f>
        <v/>
      </c>
      <c r="D196" s="24"/>
      <c r="E196" s="22"/>
      <c r="F196" s="24"/>
      <c r="G196" s="24" t="str">
        <f t="shared" si="1"/>
        <v/>
      </c>
      <c r="H196" s="22"/>
      <c r="I196" s="22"/>
      <c r="K196" s="1"/>
    </row>
    <row r="197" ht="15.0" customHeight="1">
      <c r="A197" s="22"/>
      <c r="B197" s="22" t="str">
        <f t="array" ref="B197">IF($A197="","",IFERROR(INDEX(Companies!$C$2:$C$1000,MATCH($A197,Companies!$B$2:$B$1000,0)),""))</f>
        <v/>
      </c>
      <c r="C197" s="22" t="str">
        <f t="array" ref="C197">IF($A197="","",IFERROR(INDEX(Companies!$D$2:$D$1000,MATCH($A197,Companies!$B$2:$B$1000,0)),""))</f>
        <v/>
      </c>
      <c r="D197" s="24"/>
      <c r="E197" s="22"/>
      <c r="F197" s="24"/>
      <c r="G197" s="24" t="str">
        <f t="shared" si="1"/>
        <v/>
      </c>
      <c r="H197" s="22"/>
      <c r="I197" s="22"/>
      <c r="K197" s="1"/>
    </row>
    <row r="198" ht="15.0" customHeight="1">
      <c r="A198" s="22"/>
      <c r="B198" s="22" t="str">
        <f t="array" ref="B198">IF($A198="","",IFERROR(INDEX(Companies!$C$2:$C$1000,MATCH($A198,Companies!$B$2:$B$1000,0)),""))</f>
        <v/>
      </c>
      <c r="C198" s="22" t="str">
        <f t="array" ref="C198">IF($A198="","",IFERROR(INDEX(Companies!$D$2:$D$1000,MATCH($A198,Companies!$B$2:$B$1000,0)),""))</f>
        <v/>
      </c>
      <c r="D198" s="24"/>
      <c r="E198" s="22"/>
      <c r="F198" s="24"/>
      <c r="G198" s="24" t="str">
        <f t="shared" si="1"/>
        <v/>
      </c>
      <c r="H198" s="22"/>
      <c r="I198" s="22"/>
      <c r="K198" s="1"/>
    </row>
    <row r="199" ht="15.0" customHeight="1">
      <c r="A199" s="22"/>
      <c r="B199" s="22" t="str">
        <f t="array" ref="B199">IF($A199="","",IFERROR(INDEX(Companies!$C$2:$C$1000,MATCH($A199,Companies!$B$2:$B$1000,0)),""))</f>
        <v/>
      </c>
      <c r="C199" s="22" t="str">
        <f t="array" ref="C199">IF($A199="","",IFERROR(INDEX(Companies!$D$2:$D$1000,MATCH($A199,Companies!$B$2:$B$1000,0)),""))</f>
        <v/>
      </c>
      <c r="D199" s="24"/>
      <c r="E199" s="22"/>
      <c r="F199" s="24"/>
      <c r="G199" s="24" t="str">
        <f t="shared" si="1"/>
        <v/>
      </c>
      <c r="H199" s="22"/>
      <c r="I199" s="22"/>
      <c r="K199" s="1"/>
    </row>
    <row r="200" ht="15.0" customHeight="1">
      <c r="A200" s="22"/>
      <c r="B200" s="22" t="str">
        <f t="array" ref="B200">IF($A200="","",IFERROR(INDEX(Companies!$C$2:$C$1000,MATCH($A200,Companies!$B$2:$B$1000,0)),""))</f>
        <v/>
      </c>
      <c r="C200" s="22" t="str">
        <f t="array" ref="C200">IF($A200="","",IFERROR(INDEX(Companies!$D$2:$D$1000,MATCH($A200,Companies!$B$2:$B$1000,0)),""))</f>
        <v/>
      </c>
      <c r="D200" s="24"/>
      <c r="E200" s="22"/>
      <c r="F200" s="24"/>
      <c r="G200" s="24" t="str">
        <f t="shared" si="1"/>
        <v/>
      </c>
      <c r="H200" s="22"/>
      <c r="I200" s="22"/>
      <c r="K200" s="1"/>
    </row>
    <row r="201" ht="15.0" customHeight="1">
      <c r="A201" s="22"/>
      <c r="B201" s="22" t="str">
        <f t="array" ref="B201">IF($A201="","",IFERROR(INDEX(Companies!$C$2:$C$1000,MATCH($A201,Companies!$B$2:$B$1000,0)),""))</f>
        <v/>
      </c>
      <c r="C201" s="22" t="str">
        <f t="array" ref="C201">IF($A201="","",IFERROR(INDEX(Companies!$D$2:$D$1000,MATCH($A201,Companies!$B$2:$B$1000,0)),""))</f>
        <v/>
      </c>
      <c r="D201" s="24"/>
      <c r="E201" s="22"/>
      <c r="F201" s="24"/>
      <c r="G201" s="24" t="str">
        <f t="shared" si="1"/>
        <v/>
      </c>
      <c r="H201" s="22"/>
      <c r="I201" s="22"/>
      <c r="K201" s="1"/>
    </row>
    <row r="202" ht="15.0" customHeight="1">
      <c r="A202" s="22"/>
      <c r="B202" s="22" t="str">
        <f t="array" ref="B202">IF($A202="","",IFERROR(INDEX(Companies!$C$2:$C$1000,MATCH($A202,Companies!$B$2:$B$1000,0)),""))</f>
        <v/>
      </c>
      <c r="C202" s="22" t="str">
        <f t="array" ref="C202">IF($A202="","",IFERROR(INDEX(Companies!$D$2:$D$1000,MATCH($A202,Companies!$B$2:$B$1000,0)),""))</f>
        <v/>
      </c>
      <c r="D202" s="24"/>
      <c r="E202" s="22"/>
      <c r="F202" s="24"/>
      <c r="G202" s="24" t="str">
        <f t="shared" si="1"/>
        <v/>
      </c>
      <c r="H202" s="22"/>
      <c r="I202" s="22"/>
      <c r="K202" s="1"/>
    </row>
    <row r="203" ht="15.0" customHeight="1">
      <c r="A203" s="22"/>
      <c r="B203" s="22" t="str">
        <f t="array" ref="B203">IF($A203="","",IFERROR(INDEX(Companies!$C$2:$C$1000,MATCH($A203,Companies!$B$2:$B$1000,0)),""))</f>
        <v/>
      </c>
      <c r="C203" s="22" t="str">
        <f t="array" ref="C203">IF($A203="","",IFERROR(INDEX(Companies!$D$2:$D$1000,MATCH($A203,Companies!$B$2:$B$1000,0)),""))</f>
        <v/>
      </c>
      <c r="D203" s="24"/>
      <c r="E203" s="22"/>
      <c r="F203" s="24"/>
      <c r="G203" s="24" t="str">
        <f t="shared" si="1"/>
        <v/>
      </c>
      <c r="H203" s="22"/>
      <c r="I203" s="22"/>
      <c r="K203" s="1"/>
    </row>
    <row r="204" ht="15.0" customHeight="1">
      <c r="A204" s="22"/>
      <c r="B204" s="22" t="str">
        <f t="array" ref="B204">IF($A204="","",IFERROR(INDEX(Companies!$C$2:$C$1000,MATCH($A204,Companies!$B$2:$B$1000,0)),""))</f>
        <v/>
      </c>
      <c r="C204" s="22" t="str">
        <f t="array" ref="C204">IF($A204="","",IFERROR(INDEX(Companies!$D$2:$D$1000,MATCH($A204,Companies!$B$2:$B$1000,0)),""))</f>
        <v/>
      </c>
      <c r="D204" s="24"/>
      <c r="E204" s="22"/>
      <c r="F204" s="24"/>
      <c r="G204" s="24" t="str">
        <f t="shared" si="1"/>
        <v/>
      </c>
      <c r="H204" s="22"/>
      <c r="I204" s="22"/>
      <c r="K204" s="1"/>
    </row>
    <row r="205" ht="15.0" customHeight="1">
      <c r="A205" s="22"/>
      <c r="B205" s="22" t="str">
        <f t="array" ref="B205">IF($A205="","",IFERROR(INDEX(Companies!$C$2:$C$1000,MATCH($A205,Companies!$B$2:$B$1000,0)),""))</f>
        <v/>
      </c>
      <c r="C205" s="22" t="str">
        <f t="array" ref="C205">IF($A205="","",IFERROR(INDEX(Companies!$D$2:$D$1000,MATCH($A205,Companies!$B$2:$B$1000,0)),""))</f>
        <v/>
      </c>
      <c r="D205" s="24"/>
      <c r="E205" s="22"/>
      <c r="F205" s="24"/>
      <c r="G205" s="24" t="str">
        <f t="shared" si="1"/>
        <v/>
      </c>
      <c r="H205" s="22"/>
      <c r="I205" s="22"/>
      <c r="K205" s="1"/>
    </row>
    <row r="206" ht="15.0" customHeight="1">
      <c r="A206" s="22"/>
      <c r="B206" s="22" t="str">
        <f t="array" ref="B206">IF($A206="","",IFERROR(INDEX(Companies!$C$2:$C$1000,MATCH($A206,Companies!$B$2:$B$1000,0)),""))</f>
        <v/>
      </c>
      <c r="C206" s="22" t="str">
        <f t="array" ref="C206">IF($A206="","",IFERROR(INDEX(Companies!$D$2:$D$1000,MATCH($A206,Companies!$B$2:$B$1000,0)),""))</f>
        <v/>
      </c>
      <c r="D206" s="24"/>
      <c r="E206" s="22"/>
      <c r="F206" s="24"/>
      <c r="G206" s="24" t="str">
        <f t="shared" si="1"/>
        <v/>
      </c>
      <c r="H206" s="22"/>
      <c r="I206" s="22"/>
      <c r="K206" s="1"/>
    </row>
    <row r="207" ht="15.0" customHeight="1">
      <c r="A207" s="22"/>
      <c r="B207" s="22" t="str">
        <f t="array" ref="B207">IF($A207="","",IFERROR(INDEX(Companies!$C$2:$C$1000,MATCH($A207,Companies!$B$2:$B$1000,0)),""))</f>
        <v/>
      </c>
      <c r="C207" s="22" t="str">
        <f t="array" ref="C207">IF($A207="","",IFERROR(INDEX(Companies!$D$2:$D$1000,MATCH($A207,Companies!$B$2:$B$1000,0)),""))</f>
        <v/>
      </c>
      <c r="D207" s="24"/>
      <c r="E207" s="22"/>
      <c r="F207" s="24"/>
      <c r="G207" s="24" t="str">
        <f t="shared" si="1"/>
        <v/>
      </c>
      <c r="H207" s="22"/>
      <c r="I207" s="22"/>
      <c r="K207" s="1"/>
    </row>
    <row r="208" ht="15.0" customHeight="1">
      <c r="A208" s="22"/>
      <c r="B208" s="22" t="str">
        <f t="array" ref="B208">IF($A208="","",IFERROR(INDEX(Companies!$C$2:$C$1000,MATCH($A208,Companies!$B$2:$B$1000,0)),""))</f>
        <v/>
      </c>
      <c r="C208" s="22" t="str">
        <f t="array" ref="C208">IF($A208="","",IFERROR(INDEX(Companies!$D$2:$D$1000,MATCH($A208,Companies!$B$2:$B$1000,0)),""))</f>
        <v/>
      </c>
      <c r="D208" s="24"/>
      <c r="E208" s="22"/>
      <c r="F208" s="24"/>
      <c r="G208" s="24" t="str">
        <f t="shared" si="1"/>
        <v/>
      </c>
      <c r="H208" s="22"/>
      <c r="I208" s="22"/>
      <c r="K208" s="1"/>
    </row>
    <row r="209" ht="15.0" customHeight="1">
      <c r="A209" s="22"/>
      <c r="B209" s="22" t="str">
        <f t="array" ref="B209">IF($A209="","",IFERROR(INDEX(Companies!$C$2:$C$1000,MATCH($A209,Companies!$B$2:$B$1000,0)),""))</f>
        <v/>
      </c>
      <c r="C209" s="22" t="str">
        <f t="array" ref="C209">IF($A209="","",IFERROR(INDEX(Companies!$D$2:$D$1000,MATCH($A209,Companies!$B$2:$B$1000,0)),""))</f>
        <v/>
      </c>
      <c r="D209" s="24"/>
      <c r="E209" s="22"/>
      <c r="F209" s="24"/>
      <c r="G209" s="24" t="str">
        <f t="shared" si="1"/>
        <v/>
      </c>
      <c r="H209" s="22"/>
      <c r="I209" s="22"/>
      <c r="K209" s="1"/>
    </row>
    <row r="210" ht="15.0" customHeight="1">
      <c r="A210" s="22"/>
      <c r="B210" s="22" t="str">
        <f t="array" ref="B210">IF($A210="","",IFERROR(INDEX(Companies!$C$2:$C$1000,MATCH($A210,Companies!$B$2:$B$1000,0)),""))</f>
        <v/>
      </c>
      <c r="C210" s="22" t="str">
        <f t="array" ref="C210">IF($A210="","",IFERROR(INDEX(Companies!$D$2:$D$1000,MATCH($A210,Companies!$B$2:$B$1000,0)),""))</f>
        <v/>
      </c>
      <c r="D210" s="24"/>
      <c r="E210" s="22"/>
      <c r="F210" s="24"/>
      <c r="G210" s="24" t="str">
        <f t="shared" si="1"/>
        <v/>
      </c>
      <c r="H210" s="22"/>
      <c r="I210" s="22"/>
      <c r="K210" s="1"/>
    </row>
    <row r="211" ht="15.0" customHeight="1">
      <c r="A211" s="22"/>
      <c r="B211" s="22" t="str">
        <f t="array" ref="B211">IF($A211="","",IFERROR(INDEX(Companies!$C$2:$C$1000,MATCH($A211,Companies!$B$2:$B$1000,0)),""))</f>
        <v/>
      </c>
      <c r="C211" s="22" t="str">
        <f t="array" ref="C211">IF($A211="","",IFERROR(INDEX(Companies!$D$2:$D$1000,MATCH($A211,Companies!$B$2:$B$1000,0)),""))</f>
        <v/>
      </c>
      <c r="D211" s="24"/>
      <c r="E211" s="22"/>
      <c r="F211" s="24"/>
      <c r="G211" s="24" t="str">
        <f t="shared" si="1"/>
        <v/>
      </c>
      <c r="H211" s="22"/>
      <c r="I211" s="22"/>
      <c r="K211" s="1"/>
    </row>
    <row r="212" ht="15.0" customHeight="1">
      <c r="A212" s="22"/>
      <c r="B212" s="22" t="str">
        <f t="array" ref="B212">IF($A212="","",IFERROR(INDEX(Companies!$C$2:$C$1000,MATCH($A212,Companies!$B$2:$B$1000,0)),""))</f>
        <v/>
      </c>
      <c r="C212" s="22" t="str">
        <f t="array" ref="C212">IF($A212="","",IFERROR(INDEX(Companies!$D$2:$D$1000,MATCH($A212,Companies!$B$2:$B$1000,0)),""))</f>
        <v/>
      </c>
      <c r="D212" s="24"/>
      <c r="E212" s="22"/>
      <c r="F212" s="24"/>
      <c r="G212" s="24" t="str">
        <f t="shared" si="1"/>
        <v/>
      </c>
      <c r="H212" s="22"/>
      <c r="I212" s="22"/>
      <c r="K212" s="1"/>
    </row>
    <row r="213" ht="15.0" customHeight="1">
      <c r="A213" s="22"/>
      <c r="B213" s="22" t="str">
        <f t="array" ref="B213">IF($A213="","",IFERROR(INDEX(Companies!$C$2:$C$1000,MATCH($A213,Companies!$B$2:$B$1000,0)),""))</f>
        <v/>
      </c>
      <c r="C213" s="22" t="str">
        <f t="array" ref="C213">IF($A213="","",IFERROR(INDEX(Companies!$D$2:$D$1000,MATCH($A213,Companies!$B$2:$B$1000,0)),""))</f>
        <v/>
      </c>
      <c r="D213" s="24"/>
      <c r="E213" s="22"/>
      <c r="F213" s="24"/>
      <c r="G213" s="24" t="str">
        <f t="shared" si="1"/>
        <v/>
      </c>
      <c r="H213" s="22"/>
      <c r="I213" s="22"/>
      <c r="K213" s="1"/>
    </row>
    <row r="214" ht="15.0" customHeight="1">
      <c r="A214" s="22"/>
      <c r="B214" s="22" t="str">
        <f t="array" ref="B214">IF($A214="","",IFERROR(INDEX(Companies!$C$2:$C$1000,MATCH($A214,Companies!$B$2:$B$1000,0)),""))</f>
        <v/>
      </c>
      <c r="C214" s="22" t="str">
        <f t="array" ref="C214">IF($A214="","",IFERROR(INDEX(Companies!$D$2:$D$1000,MATCH($A214,Companies!$B$2:$B$1000,0)),""))</f>
        <v/>
      </c>
      <c r="D214" s="24"/>
      <c r="E214" s="22"/>
      <c r="F214" s="24"/>
      <c r="G214" s="24" t="str">
        <f t="shared" si="1"/>
        <v/>
      </c>
      <c r="H214" s="22"/>
      <c r="I214" s="22"/>
      <c r="K214" s="1"/>
    </row>
    <row r="215" ht="15.0" customHeight="1">
      <c r="A215" s="22"/>
      <c r="B215" s="22" t="str">
        <f t="array" ref="B215">IF($A215="","",IFERROR(INDEX(Companies!$C$2:$C$1000,MATCH($A215,Companies!$B$2:$B$1000,0)),""))</f>
        <v/>
      </c>
      <c r="C215" s="22" t="str">
        <f t="array" ref="C215">IF($A215="","",IFERROR(INDEX(Companies!$D$2:$D$1000,MATCH($A215,Companies!$B$2:$B$1000,0)),""))</f>
        <v/>
      </c>
      <c r="D215" s="24"/>
      <c r="E215" s="22"/>
      <c r="F215" s="24"/>
      <c r="G215" s="24" t="str">
        <f t="shared" si="1"/>
        <v/>
      </c>
      <c r="H215" s="22"/>
      <c r="I215" s="22"/>
      <c r="K215" s="1"/>
    </row>
    <row r="216" ht="15.0" customHeight="1">
      <c r="A216" s="22"/>
      <c r="B216" s="22" t="str">
        <f t="array" ref="B216">IF($A216="","",IFERROR(INDEX(Companies!$C$2:$C$1000,MATCH($A216,Companies!$B$2:$B$1000,0)),""))</f>
        <v/>
      </c>
      <c r="C216" s="22" t="str">
        <f t="array" ref="C216">IF($A216="","",IFERROR(INDEX(Companies!$D$2:$D$1000,MATCH($A216,Companies!$B$2:$B$1000,0)),""))</f>
        <v/>
      </c>
      <c r="D216" s="24"/>
      <c r="E216" s="22"/>
      <c r="F216" s="24"/>
      <c r="G216" s="24" t="str">
        <f t="shared" si="1"/>
        <v/>
      </c>
      <c r="H216" s="22"/>
      <c r="I216" s="22"/>
      <c r="K216" s="1"/>
    </row>
    <row r="217" ht="15.0" customHeight="1">
      <c r="A217" s="22"/>
      <c r="B217" s="22" t="str">
        <f t="array" ref="B217">IF($A217="","",IFERROR(INDEX(Companies!$C$2:$C$1000,MATCH($A217,Companies!$B$2:$B$1000,0)),""))</f>
        <v/>
      </c>
      <c r="C217" s="22" t="str">
        <f t="array" ref="C217">IF($A217="","",IFERROR(INDEX(Companies!$D$2:$D$1000,MATCH($A217,Companies!$B$2:$B$1000,0)),""))</f>
        <v/>
      </c>
      <c r="D217" s="24"/>
      <c r="E217" s="22"/>
      <c r="F217" s="24"/>
      <c r="G217" s="24" t="str">
        <f t="shared" si="1"/>
        <v/>
      </c>
      <c r="H217" s="22"/>
      <c r="I217" s="22"/>
      <c r="K217" s="1"/>
    </row>
    <row r="218" ht="15.0" customHeight="1">
      <c r="A218" s="22"/>
      <c r="B218" s="22" t="str">
        <f t="array" ref="B218">IF($A218="","",IFERROR(INDEX(Companies!$C$2:$C$1000,MATCH($A218,Companies!$B$2:$B$1000,0)),""))</f>
        <v/>
      </c>
      <c r="C218" s="22" t="str">
        <f t="array" ref="C218">IF($A218="","",IFERROR(INDEX(Companies!$D$2:$D$1000,MATCH($A218,Companies!$B$2:$B$1000,0)),""))</f>
        <v/>
      </c>
      <c r="D218" s="24"/>
      <c r="E218" s="22"/>
      <c r="F218" s="24"/>
      <c r="G218" s="24" t="str">
        <f t="shared" si="1"/>
        <v/>
      </c>
      <c r="H218" s="22"/>
      <c r="I218" s="22"/>
      <c r="K218" s="1"/>
    </row>
    <row r="219" ht="15.0" customHeight="1">
      <c r="A219" s="22"/>
      <c r="B219" s="22" t="str">
        <f t="array" ref="B219">IF($A219="","",IFERROR(INDEX(Companies!$C$2:$C$1000,MATCH($A219,Companies!$B$2:$B$1000,0)),""))</f>
        <v/>
      </c>
      <c r="C219" s="22" t="str">
        <f t="array" ref="C219">IF($A219="","",IFERROR(INDEX(Companies!$D$2:$D$1000,MATCH($A219,Companies!$B$2:$B$1000,0)),""))</f>
        <v/>
      </c>
      <c r="D219" s="24"/>
      <c r="E219" s="22"/>
      <c r="F219" s="24"/>
      <c r="G219" s="24" t="str">
        <f t="shared" si="1"/>
        <v/>
      </c>
      <c r="H219" s="22"/>
      <c r="I219" s="22"/>
      <c r="K219" s="1"/>
    </row>
    <row r="220" ht="15.0" customHeight="1">
      <c r="A220" s="22"/>
      <c r="B220" s="22" t="str">
        <f t="array" ref="B220">IF($A220="","",IFERROR(INDEX(Companies!$C$2:$C$1000,MATCH($A220,Companies!$B$2:$B$1000,0)),""))</f>
        <v/>
      </c>
      <c r="C220" s="22" t="str">
        <f t="array" ref="C220">IF($A220="","",IFERROR(INDEX(Companies!$D$2:$D$1000,MATCH($A220,Companies!$B$2:$B$1000,0)),""))</f>
        <v/>
      </c>
      <c r="D220" s="24"/>
      <c r="E220" s="22"/>
      <c r="F220" s="24"/>
      <c r="G220" s="24" t="str">
        <f t="shared" si="1"/>
        <v/>
      </c>
      <c r="H220" s="22"/>
      <c r="I220" s="22"/>
      <c r="K220" s="1"/>
    </row>
    <row r="221" ht="15.0" customHeight="1">
      <c r="A221" s="22"/>
      <c r="B221" s="22" t="str">
        <f t="array" ref="B221">IF($A221="","",IFERROR(INDEX(Companies!$C$2:$C$1000,MATCH($A221,Companies!$B$2:$B$1000,0)),""))</f>
        <v/>
      </c>
      <c r="C221" s="22" t="str">
        <f t="array" ref="C221">IF($A221="","",IFERROR(INDEX(Companies!$D$2:$D$1000,MATCH($A221,Companies!$B$2:$B$1000,0)),""))</f>
        <v/>
      </c>
      <c r="D221" s="24"/>
      <c r="E221" s="22"/>
      <c r="F221" s="24"/>
      <c r="G221" s="24" t="str">
        <f t="shared" si="1"/>
        <v/>
      </c>
      <c r="H221" s="22"/>
      <c r="I221" s="22"/>
      <c r="K221" s="1"/>
    </row>
    <row r="222" ht="15.0" customHeight="1">
      <c r="A222" s="22"/>
      <c r="B222" s="22" t="str">
        <f t="array" ref="B222">IF($A222="","",IFERROR(INDEX(Companies!$C$2:$C$1000,MATCH($A222,Companies!$B$2:$B$1000,0)),""))</f>
        <v/>
      </c>
      <c r="C222" s="22" t="str">
        <f t="array" ref="C222">IF($A222="","",IFERROR(INDEX(Companies!$D$2:$D$1000,MATCH($A222,Companies!$B$2:$B$1000,0)),""))</f>
        <v/>
      </c>
      <c r="D222" s="24"/>
      <c r="E222" s="22"/>
      <c r="F222" s="24"/>
      <c r="G222" s="24" t="str">
        <f t="shared" si="1"/>
        <v/>
      </c>
      <c r="H222" s="22"/>
      <c r="I222" s="22"/>
      <c r="K222" s="1"/>
    </row>
    <row r="223" ht="15.0" customHeight="1">
      <c r="A223" s="22"/>
      <c r="B223" s="22" t="str">
        <f t="array" ref="B223">IF($A223="","",IFERROR(INDEX(Companies!$C$2:$C$1000,MATCH($A223,Companies!$B$2:$B$1000,0)),""))</f>
        <v/>
      </c>
      <c r="C223" s="22" t="str">
        <f t="array" ref="C223">IF($A223="","",IFERROR(INDEX(Companies!$D$2:$D$1000,MATCH($A223,Companies!$B$2:$B$1000,0)),""))</f>
        <v/>
      </c>
      <c r="D223" s="24"/>
      <c r="E223" s="22"/>
      <c r="F223" s="24"/>
      <c r="G223" s="24" t="str">
        <f t="shared" si="1"/>
        <v/>
      </c>
      <c r="H223" s="22"/>
      <c r="I223" s="22"/>
      <c r="K223" s="1"/>
    </row>
    <row r="224" ht="15.0" customHeight="1">
      <c r="A224" s="22"/>
      <c r="B224" s="22" t="str">
        <f t="array" ref="B224">IF($A224="","",IFERROR(INDEX(Companies!$C$2:$C$1000,MATCH($A224,Companies!$B$2:$B$1000,0)),""))</f>
        <v/>
      </c>
      <c r="C224" s="22" t="str">
        <f t="array" ref="C224">IF($A224="","",IFERROR(INDEX(Companies!$D$2:$D$1000,MATCH($A224,Companies!$B$2:$B$1000,0)),""))</f>
        <v/>
      </c>
      <c r="D224" s="24"/>
      <c r="E224" s="22"/>
      <c r="F224" s="24"/>
      <c r="G224" s="24" t="str">
        <f t="shared" si="1"/>
        <v/>
      </c>
      <c r="H224" s="22"/>
      <c r="I224" s="22"/>
      <c r="K224" s="1"/>
    </row>
    <row r="225" ht="15.0" customHeight="1">
      <c r="A225" s="22"/>
      <c r="B225" s="22" t="str">
        <f t="array" ref="B225">IF($A225="","",IFERROR(INDEX(Companies!$C$2:$C$1000,MATCH($A225,Companies!$B$2:$B$1000,0)),""))</f>
        <v/>
      </c>
      <c r="C225" s="22" t="str">
        <f t="array" ref="C225">IF($A225="","",IFERROR(INDEX(Companies!$D$2:$D$1000,MATCH($A225,Companies!$B$2:$B$1000,0)),""))</f>
        <v/>
      </c>
      <c r="D225" s="24"/>
      <c r="E225" s="22"/>
      <c r="F225" s="24"/>
      <c r="G225" s="24" t="str">
        <f t="shared" si="1"/>
        <v/>
      </c>
      <c r="H225" s="22"/>
      <c r="I225" s="22"/>
      <c r="K225" s="1"/>
    </row>
    <row r="226" ht="15.0" customHeight="1">
      <c r="A226" s="22"/>
      <c r="B226" s="22" t="str">
        <f t="array" ref="B226">IF($A226="","",IFERROR(INDEX(Companies!$C$2:$C$1000,MATCH($A226,Companies!$B$2:$B$1000,0)),""))</f>
        <v/>
      </c>
      <c r="C226" s="22" t="str">
        <f t="array" ref="C226">IF($A226="","",IFERROR(INDEX(Companies!$D$2:$D$1000,MATCH($A226,Companies!$B$2:$B$1000,0)),""))</f>
        <v/>
      </c>
      <c r="D226" s="24"/>
      <c r="E226" s="22"/>
      <c r="F226" s="24"/>
      <c r="G226" s="24" t="str">
        <f t="shared" si="1"/>
        <v/>
      </c>
      <c r="H226" s="22"/>
      <c r="I226" s="22"/>
      <c r="K226" s="1"/>
    </row>
    <row r="227" ht="15.0" customHeight="1">
      <c r="A227" s="22"/>
      <c r="B227" s="22" t="str">
        <f t="array" ref="B227">IF($A227="","",IFERROR(INDEX(Companies!$C$2:$C$1000,MATCH($A227,Companies!$B$2:$B$1000,0)),""))</f>
        <v/>
      </c>
      <c r="C227" s="22" t="str">
        <f t="array" ref="C227">IF($A227="","",IFERROR(INDEX(Companies!$D$2:$D$1000,MATCH($A227,Companies!$B$2:$B$1000,0)),""))</f>
        <v/>
      </c>
      <c r="D227" s="24"/>
      <c r="E227" s="22"/>
      <c r="F227" s="24"/>
      <c r="G227" s="24" t="str">
        <f t="shared" si="1"/>
        <v/>
      </c>
      <c r="H227" s="22"/>
      <c r="I227" s="22"/>
      <c r="K227" s="1"/>
    </row>
    <row r="228" ht="15.0" customHeight="1">
      <c r="A228" s="22"/>
      <c r="B228" s="22" t="str">
        <f t="array" ref="B228">IF($A228="","",IFERROR(INDEX(Companies!$C$2:$C$1000,MATCH($A228,Companies!$B$2:$B$1000,0)),""))</f>
        <v/>
      </c>
      <c r="C228" s="22" t="str">
        <f t="array" ref="C228">IF($A228="","",IFERROR(INDEX(Companies!$D$2:$D$1000,MATCH($A228,Companies!$B$2:$B$1000,0)),""))</f>
        <v/>
      </c>
      <c r="D228" s="24"/>
      <c r="E228" s="22"/>
      <c r="F228" s="24"/>
      <c r="G228" s="24" t="str">
        <f t="shared" si="1"/>
        <v/>
      </c>
      <c r="H228" s="22"/>
      <c r="I228" s="22"/>
      <c r="K228" s="1"/>
    </row>
    <row r="229" ht="15.0" customHeight="1">
      <c r="A229" s="22"/>
      <c r="B229" s="22" t="str">
        <f t="array" ref="B229">IF($A229="","",IFERROR(INDEX(Companies!$C$2:$C$1000,MATCH($A229,Companies!$B$2:$B$1000,0)),""))</f>
        <v/>
      </c>
      <c r="C229" s="22" t="str">
        <f t="array" ref="C229">IF($A229="","",IFERROR(INDEX(Companies!$D$2:$D$1000,MATCH($A229,Companies!$B$2:$B$1000,0)),""))</f>
        <v/>
      </c>
      <c r="D229" s="24"/>
      <c r="E229" s="22"/>
      <c r="F229" s="24"/>
      <c r="G229" s="24" t="str">
        <f t="shared" si="1"/>
        <v/>
      </c>
      <c r="H229" s="22"/>
      <c r="I229" s="22"/>
      <c r="K229" s="1"/>
    </row>
    <row r="230" ht="15.0" customHeight="1">
      <c r="A230" s="22"/>
      <c r="B230" s="22" t="str">
        <f t="array" ref="B230">IF($A230="","",IFERROR(INDEX(Companies!$C$2:$C$1000,MATCH($A230,Companies!$B$2:$B$1000,0)),""))</f>
        <v/>
      </c>
      <c r="C230" s="22" t="str">
        <f t="array" ref="C230">IF($A230="","",IFERROR(INDEX(Companies!$D$2:$D$1000,MATCH($A230,Companies!$B$2:$B$1000,0)),""))</f>
        <v/>
      </c>
      <c r="D230" s="24"/>
      <c r="E230" s="22"/>
      <c r="F230" s="24"/>
      <c r="G230" s="24" t="str">
        <f t="shared" si="1"/>
        <v/>
      </c>
      <c r="H230" s="22"/>
      <c r="I230" s="22"/>
      <c r="K230" s="1"/>
    </row>
    <row r="231" ht="15.0" customHeight="1">
      <c r="A231" s="22"/>
      <c r="B231" s="22" t="str">
        <f t="array" ref="B231">IF($A231="","",IFERROR(INDEX(Companies!$C$2:$C$1000,MATCH($A231,Companies!$B$2:$B$1000,0)),""))</f>
        <v/>
      </c>
      <c r="C231" s="22" t="str">
        <f t="array" ref="C231">IF($A231="","",IFERROR(INDEX(Companies!$D$2:$D$1000,MATCH($A231,Companies!$B$2:$B$1000,0)),""))</f>
        <v/>
      </c>
      <c r="D231" s="24"/>
      <c r="E231" s="22"/>
      <c r="F231" s="24"/>
      <c r="G231" s="24" t="str">
        <f t="shared" si="1"/>
        <v/>
      </c>
      <c r="H231" s="22"/>
      <c r="I231" s="22"/>
      <c r="K231" s="1"/>
    </row>
    <row r="232" ht="15.0" customHeight="1">
      <c r="A232" s="22"/>
      <c r="B232" s="22" t="str">
        <f t="array" ref="B232">IF($A232="","",IFERROR(INDEX(Companies!$C$2:$C$1000,MATCH($A232,Companies!$B$2:$B$1000,0)),""))</f>
        <v/>
      </c>
      <c r="C232" s="22" t="str">
        <f t="array" ref="C232">IF($A232="","",IFERROR(INDEX(Companies!$D$2:$D$1000,MATCH($A232,Companies!$B$2:$B$1000,0)),""))</f>
        <v/>
      </c>
      <c r="D232" s="24"/>
      <c r="E232" s="22"/>
      <c r="F232" s="24"/>
      <c r="G232" s="24" t="str">
        <f t="shared" si="1"/>
        <v/>
      </c>
      <c r="H232" s="22"/>
      <c r="I232" s="22"/>
      <c r="K232" s="1"/>
    </row>
    <row r="233" ht="15.0" customHeight="1">
      <c r="A233" s="22"/>
      <c r="B233" s="22" t="str">
        <f t="array" ref="B233">IF($A233="","",IFERROR(INDEX(Companies!$C$2:$C$1000,MATCH($A233,Companies!$B$2:$B$1000,0)),""))</f>
        <v/>
      </c>
      <c r="C233" s="22" t="str">
        <f t="array" ref="C233">IF($A233="","",IFERROR(INDEX(Companies!$D$2:$D$1000,MATCH($A233,Companies!$B$2:$B$1000,0)),""))</f>
        <v/>
      </c>
      <c r="D233" s="24"/>
      <c r="E233" s="22"/>
      <c r="F233" s="24"/>
      <c r="G233" s="24" t="str">
        <f t="shared" si="1"/>
        <v/>
      </c>
      <c r="H233" s="22"/>
      <c r="I233" s="22"/>
      <c r="K233" s="1"/>
    </row>
    <row r="234" ht="15.0" customHeight="1">
      <c r="A234" s="22"/>
      <c r="B234" s="22" t="str">
        <f t="array" ref="B234">IF($A234="","",IFERROR(INDEX(Companies!$C$2:$C$1000,MATCH($A234,Companies!$B$2:$B$1000,0)),""))</f>
        <v/>
      </c>
      <c r="C234" s="22" t="str">
        <f t="array" ref="C234">IF($A234="","",IFERROR(INDEX(Companies!$D$2:$D$1000,MATCH($A234,Companies!$B$2:$B$1000,0)),""))</f>
        <v/>
      </c>
      <c r="D234" s="24"/>
      <c r="E234" s="22"/>
      <c r="F234" s="24"/>
      <c r="G234" s="24" t="str">
        <f t="shared" si="1"/>
        <v/>
      </c>
      <c r="H234" s="22"/>
      <c r="I234" s="22"/>
      <c r="K234" s="1"/>
    </row>
    <row r="235" ht="15.0" customHeight="1">
      <c r="A235" s="22"/>
      <c r="B235" s="22" t="str">
        <f t="array" ref="B235">IF($A235="","",IFERROR(INDEX(Companies!$C$2:$C$1000,MATCH($A235,Companies!$B$2:$B$1000,0)),""))</f>
        <v/>
      </c>
      <c r="C235" s="22" t="str">
        <f t="array" ref="C235">IF($A235="","",IFERROR(INDEX(Companies!$D$2:$D$1000,MATCH($A235,Companies!$B$2:$B$1000,0)),""))</f>
        <v/>
      </c>
      <c r="D235" s="24"/>
      <c r="E235" s="22"/>
      <c r="F235" s="24"/>
      <c r="G235" s="24" t="str">
        <f t="shared" si="1"/>
        <v/>
      </c>
      <c r="H235" s="22"/>
      <c r="I235" s="22"/>
      <c r="K235" s="1"/>
    </row>
    <row r="236" ht="15.0" customHeight="1">
      <c r="A236" s="22"/>
      <c r="B236" s="22" t="str">
        <f t="array" ref="B236">IF($A236="","",IFERROR(INDEX(Companies!$C$2:$C$1000,MATCH($A236,Companies!$B$2:$B$1000,0)),""))</f>
        <v/>
      </c>
      <c r="C236" s="22" t="str">
        <f t="array" ref="C236">IF($A236="","",IFERROR(INDEX(Companies!$D$2:$D$1000,MATCH($A236,Companies!$B$2:$B$1000,0)),""))</f>
        <v/>
      </c>
      <c r="D236" s="24"/>
      <c r="E236" s="22"/>
      <c r="F236" s="24"/>
      <c r="G236" s="24" t="str">
        <f t="shared" si="1"/>
        <v/>
      </c>
      <c r="H236" s="22"/>
      <c r="I236" s="22"/>
      <c r="K236" s="1"/>
    </row>
    <row r="237" ht="15.0" customHeight="1">
      <c r="A237" s="22"/>
      <c r="B237" s="22" t="str">
        <f t="array" ref="B237">IF($A237="","",IFERROR(INDEX(Companies!$C$2:$C$1000,MATCH($A237,Companies!$B$2:$B$1000,0)),""))</f>
        <v/>
      </c>
      <c r="C237" s="22" t="str">
        <f t="array" ref="C237">IF($A237="","",IFERROR(INDEX(Companies!$D$2:$D$1000,MATCH($A237,Companies!$B$2:$B$1000,0)),""))</f>
        <v/>
      </c>
      <c r="D237" s="24"/>
      <c r="E237" s="22"/>
      <c r="F237" s="24"/>
      <c r="G237" s="24" t="str">
        <f t="shared" si="1"/>
        <v/>
      </c>
      <c r="H237" s="22"/>
      <c r="I237" s="22"/>
      <c r="K237" s="1"/>
    </row>
    <row r="238" ht="15.0" customHeight="1">
      <c r="A238" s="22"/>
      <c r="B238" s="22" t="str">
        <f t="array" ref="B238">IF($A238="","",IFERROR(INDEX(Companies!$C$2:$C$1000,MATCH($A238,Companies!$B$2:$B$1000,0)),""))</f>
        <v/>
      </c>
      <c r="C238" s="22" t="str">
        <f t="array" ref="C238">IF($A238="","",IFERROR(INDEX(Companies!$D$2:$D$1000,MATCH($A238,Companies!$B$2:$B$1000,0)),""))</f>
        <v/>
      </c>
      <c r="D238" s="24"/>
      <c r="E238" s="22"/>
      <c r="F238" s="24"/>
      <c r="G238" s="24" t="str">
        <f t="shared" si="1"/>
        <v/>
      </c>
      <c r="H238" s="22"/>
      <c r="I238" s="22"/>
      <c r="K238" s="1"/>
    </row>
    <row r="239" ht="15.0" customHeight="1">
      <c r="A239" s="22"/>
      <c r="B239" s="22" t="str">
        <f t="array" ref="B239">IF($A239="","",IFERROR(INDEX(Companies!$C$2:$C$1000,MATCH($A239,Companies!$B$2:$B$1000,0)),""))</f>
        <v/>
      </c>
      <c r="C239" s="22" t="str">
        <f t="array" ref="C239">IF($A239="","",IFERROR(INDEX(Companies!$D$2:$D$1000,MATCH($A239,Companies!$B$2:$B$1000,0)),""))</f>
        <v/>
      </c>
      <c r="D239" s="24"/>
      <c r="E239" s="22"/>
      <c r="F239" s="24"/>
      <c r="G239" s="24" t="str">
        <f t="shared" si="1"/>
        <v/>
      </c>
      <c r="H239" s="22"/>
      <c r="I239" s="22"/>
      <c r="K239" s="1"/>
    </row>
    <row r="240" ht="15.0" customHeight="1">
      <c r="A240" s="22"/>
      <c r="B240" s="22" t="str">
        <f t="array" ref="B240">IF($A240="","",IFERROR(INDEX(Companies!$C$2:$C$1000,MATCH($A240,Companies!$B$2:$B$1000,0)),""))</f>
        <v/>
      </c>
      <c r="C240" s="22" t="str">
        <f t="array" ref="C240">IF($A240="","",IFERROR(INDEX(Companies!$D$2:$D$1000,MATCH($A240,Companies!$B$2:$B$1000,0)),""))</f>
        <v/>
      </c>
      <c r="D240" s="24"/>
      <c r="E240" s="22"/>
      <c r="F240" s="24"/>
      <c r="G240" s="24" t="str">
        <f t="shared" si="1"/>
        <v/>
      </c>
      <c r="H240" s="22"/>
      <c r="I240" s="22"/>
      <c r="K240" s="1"/>
    </row>
    <row r="241" ht="15.0" customHeight="1">
      <c r="A241" s="22"/>
      <c r="B241" s="22" t="str">
        <f t="array" ref="B241">IF($A241="","",IFERROR(INDEX(Companies!$C$2:$C$1000,MATCH($A241,Companies!$B$2:$B$1000,0)),""))</f>
        <v/>
      </c>
      <c r="C241" s="22" t="str">
        <f t="array" ref="C241">IF($A241="","",IFERROR(INDEX(Companies!$D$2:$D$1000,MATCH($A241,Companies!$B$2:$B$1000,0)),""))</f>
        <v/>
      </c>
      <c r="D241" s="24"/>
      <c r="E241" s="22"/>
      <c r="F241" s="24"/>
      <c r="G241" s="24" t="str">
        <f t="shared" si="1"/>
        <v/>
      </c>
      <c r="H241" s="22"/>
      <c r="I241" s="22"/>
      <c r="K241" s="1"/>
    </row>
    <row r="242" ht="15.0" customHeight="1">
      <c r="A242" s="22"/>
      <c r="B242" s="22" t="str">
        <f t="array" ref="B242">IF($A242="","",IFERROR(INDEX(Companies!$C$2:$C$1000,MATCH($A242,Companies!$B$2:$B$1000,0)),""))</f>
        <v/>
      </c>
      <c r="C242" s="22" t="str">
        <f t="array" ref="C242">IF($A242="","",IFERROR(INDEX(Companies!$D$2:$D$1000,MATCH($A242,Companies!$B$2:$B$1000,0)),""))</f>
        <v/>
      </c>
      <c r="D242" s="24"/>
      <c r="E242" s="22"/>
      <c r="F242" s="24"/>
      <c r="G242" s="24" t="str">
        <f t="shared" si="1"/>
        <v/>
      </c>
      <c r="H242" s="22"/>
      <c r="I242" s="22"/>
      <c r="K242" s="1"/>
    </row>
    <row r="243" ht="15.0" customHeight="1">
      <c r="A243" s="22"/>
      <c r="B243" s="22" t="str">
        <f t="array" ref="B243">IF($A243="","",IFERROR(INDEX(Companies!$C$2:$C$1000,MATCH($A243,Companies!$B$2:$B$1000,0)),""))</f>
        <v/>
      </c>
      <c r="C243" s="22" t="str">
        <f t="array" ref="C243">IF($A243="","",IFERROR(INDEX(Companies!$D$2:$D$1000,MATCH($A243,Companies!$B$2:$B$1000,0)),""))</f>
        <v/>
      </c>
      <c r="D243" s="24"/>
      <c r="E243" s="22"/>
      <c r="F243" s="24"/>
      <c r="G243" s="24" t="str">
        <f t="shared" si="1"/>
        <v/>
      </c>
      <c r="H243" s="22"/>
      <c r="I243" s="22"/>
      <c r="K243" s="1"/>
    </row>
    <row r="244" ht="15.0" customHeight="1">
      <c r="A244" s="22"/>
      <c r="B244" s="22" t="str">
        <f t="array" ref="B244">IF($A244="","",IFERROR(INDEX(Companies!$C$2:$C$1000,MATCH($A244,Companies!$B$2:$B$1000,0)),""))</f>
        <v/>
      </c>
      <c r="C244" s="22" t="str">
        <f t="array" ref="C244">IF($A244="","",IFERROR(INDEX(Companies!$D$2:$D$1000,MATCH($A244,Companies!$B$2:$B$1000,0)),""))</f>
        <v/>
      </c>
      <c r="D244" s="24"/>
      <c r="E244" s="22"/>
      <c r="F244" s="24"/>
      <c r="G244" s="24" t="str">
        <f t="shared" si="1"/>
        <v/>
      </c>
      <c r="H244" s="22"/>
      <c r="I244" s="22"/>
      <c r="K244" s="1"/>
    </row>
    <row r="245" ht="15.0" customHeight="1">
      <c r="A245" s="22"/>
      <c r="B245" s="22" t="str">
        <f t="array" ref="B245">IF($A245="","",IFERROR(INDEX(Companies!$C$2:$C$1000,MATCH($A245,Companies!$B$2:$B$1000,0)),""))</f>
        <v/>
      </c>
      <c r="C245" s="22" t="str">
        <f t="array" ref="C245">IF($A245="","",IFERROR(INDEX(Companies!$D$2:$D$1000,MATCH($A245,Companies!$B$2:$B$1000,0)),""))</f>
        <v/>
      </c>
      <c r="D245" s="24"/>
      <c r="E245" s="22"/>
      <c r="F245" s="24"/>
      <c r="G245" s="24" t="str">
        <f t="shared" si="1"/>
        <v/>
      </c>
      <c r="H245" s="22"/>
      <c r="I245" s="22"/>
      <c r="K245" s="1"/>
    </row>
    <row r="246" ht="15.0" customHeight="1">
      <c r="A246" s="22"/>
      <c r="B246" s="22" t="str">
        <f t="array" ref="B246">IF($A246="","",IFERROR(INDEX(Companies!$C$2:$C$1000,MATCH($A246,Companies!$B$2:$B$1000,0)),""))</f>
        <v/>
      </c>
      <c r="C246" s="22" t="str">
        <f t="array" ref="C246">IF($A246="","",IFERROR(INDEX(Companies!$D$2:$D$1000,MATCH($A246,Companies!$B$2:$B$1000,0)),""))</f>
        <v/>
      </c>
      <c r="D246" s="24"/>
      <c r="E246" s="22"/>
      <c r="F246" s="24"/>
      <c r="G246" s="24" t="str">
        <f t="shared" si="1"/>
        <v/>
      </c>
      <c r="H246" s="22"/>
      <c r="I246" s="22"/>
      <c r="K246" s="1"/>
    </row>
    <row r="247" ht="15.0" customHeight="1">
      <c r="A247" s="22"/>
      <c r="B247" s="22" t="str">
        <f t="array" ref="B247">IF($A247="","",IFERROR(INDEX(Companies!$C$2:$C$1000,MATCH($A247,Companies!$B$2:$B$1000,0)),""))</f>
        <v/>
      </c>
      <c r="C247" s="22" t="str">
        <f t="array" ref="C247">IF($A247="","",IFERROR(INDEX(Companies!$D$2:$D$1000,MATCH($A247,Companies!$B$2:$B$1000,0)),""))</f>
        <v/>
      </c>
      <c r="D247" s="24"/>
      <c r="E247" s="22"/>
      <c r="F247" s="24"/>
      <c r="G247" s="24" t="str">
        <f t="shared" si="1"/>
        <v/>
      </c>
      <c r="H247" s="22"/>
      <c r="I247" s="22"/>
      <c r="K247" s="1"/>
    </row>
    <row r="248" ht="15.0" customHeight="1">
      <c r="A248" s="22"/>
      <c r="B248" s="22" t="str">
        <f t="array" ref="B248">IF($A248="","",IFERROR(INDEX(Companies!$C$2:$C$1000,MATCH($A248,Companies!$B$2:$B$1000,0)),""))</f>
        <v/>
      </c>
      <c r="C248" s="22" t="str">
        <f t="array" ref="C248">IF($A248="","",IFERROR(INDEX(Companies!$D$2:$D$1000,MATCH($A248,Companies!$B$2:$B$1000,0)),""))</f>
        <v/>
      </c>
      <c r="D248" s="24"/>
      <c r="E248" s="22"/>
      <c r="F248" s="24"/>
      <c r="G248" s="24" t="str">
        <f t="shared" si="1"/>
        <v/>
      </c>
      <c r="H248" s="22"/>
      <c r="I248" s="22"/>
      <c r="K248" s="1"/>
    </row>
    <row r="249" ht="15.0" customHeight="1">
      <c r="A249" s="22"/>
      <c r="B249" s="22" t="str">
        <f t="array" ref="B249">IF($A249="","",IFERROR(INDEX(Companies!$C$2:$C$1000,MATCH($A249,Companies!$B$2:$B$1000,0)),""))</f>
        <v/>
      </c>
      <c r="C249" s="22" t="str">
        <f t="array" ref="C249">IF($A249="","",IFERROR(INDEX(Companies!$D$2:$D$1000,MATCH($A249,Companies!$B$2:$B$1000,0)),""))</f>
        <v/>
      </c>
      <c r="D249" s="24"/>
      <c r="E249" s="22"/>
      <c r="F249" s="24"/>
      <c r="G249" s="24" t="str">
        <f t="shared" si="1"/>
        <v/>
      </c>
      <c r="H249" s="22"/>
      <c r="I249" s="22"/>
      <c r="K249" s="1"/>
    </row>
    <row r="250" ht="15.0" customHeight="1">
      <c r="A250" s="22"/>
      <c r="B250" s="22" t="str">
        <f t="array" ref="B250">IF($A250="","",IFERROR(INDEX(Companies!$C$2:$C$1000,MATCH($A250,Companies!$B$2:$B$1000,0)),""))</f>
        <v/>
      </c>
      <c r="C250" s="22" t="str">
        <f t="array" ref="C250">IF($A250="","",IFERROR(INDEX(Companies!$D$2:$D$1000,MATCH($A250,Companies!$B$2:$B$1000,0)),""))</f>
        <v/>
      </c>
      <c r="D250" s="24"/>
      <c r="E250" s="22"/>
      <c r="F250" s="24"/>
      <c r="G250" s="24" t="str">
        <f t="shared" si="1"/>
        <v/>
      </c>
      <c r="H250" s="22"/>
      <c r="I250" s="22"/>
      <c r="K250" s="1"/>
    </row>
    <row r="251" ht="15.0" customHeight="1">
      <c r="A251" s="22"/>
      <c r="B251" s="22" t="str">
        <f t="array" ref="B251">IF($A251="","",IFERROR(INDEX(Companies!$C$2:$C$1000,MATCH($A251,Companies!$B$2:$B$1000,0)),""))</f>
        <v/>
      </c>
      <c r="C251" s="22" t="str">
        <f t="array" ref="C251">IF($A251="","",IFERROR(INDEX(Companies!$D$2:$D$1000,MATCH($A251,Companies!$B$2:$B$1000,0)),""))</f>
        <v/>
      </c>
      <c r="D251" s="24"/>
      <c r="E251" s="22"/>
      <c r="F251" s="24"/>
      <c r="G251" s="24" t="str">
        <f t="shared" si="1"/>
        <v/>
      </c>
      <c r="H251" s="22"/>
      <c r="I251" s="22"/>
      <c r="K251" s="1"/>
    </row>
    <row r="252" ht="15.0" customHeight="1">
      <c r="A252" s="22"/>
      <c r="B252" s="22" t="str">
        <f t="array" ref="B252">IF($A252="","",IFERROR(INDEX(Companies!$C$2:$C$1000,MATCH($A252,Companies!$B$2:$B$1000,0)),""))</f>
        <v/>
      </c>
      <c r="C252" s="22" t="str">
        <f t="array" ref="C252">IF($A252="","",IFERROR(INDEX(Companies!$D$2:$D$1000,MATCH($A252,Companies!$B$2:$B$1000,0)),""))</f>
        <v/>
      </c>
      <c r="D252" s="24"/>
      <c r="E252" s="22"/>
      <c r="F252" s="24"/>
      <c r="G252" s="24" t="str">
        <f t="shared" si="1"/>
        <v/>
      </c>
      <c r="H252" s="22"/>
      <c r="I252" s="22"/>
      <c r="K252" s="1"/>
    </row>
    <row r="253" ht="15.0" customHeight="1">
      <c r="A253" s="22"/>
      <c r="B253" s="22" t="str">
        <f t="array" ref="B253">IF($A253="","",IFERROR(INDEX(Companies!$C$2:$C$1000,MATCH($A253,Companies!$B$2:$B$1000,0)),""))</f>
        <v/>
      </c>
      <c r="C253" s="22" t="str">
        <f t="array" ref="C253">IF($A253="","",IFERROR(INDEX(Companies!$D$2:$D$1000,MATCH($A253,Companies!$B$2:$B$1000,0)),""))</f>
        <v/>
      </c>
      <c r="D253" s="24"/>
      <c r="E253" s="22"/>
      <c r="F253" s="24"/>
      <c r="G253" s="24" t="str">
        <f t="shared" si="1"/>
        <v/>
      </c>
      <c r="H253" s="22"/>
      <c r="I253" s="22"/>
      <c r="K253" s="1"/>
    </row>
    <row r="254" ht="15.0" customHeight="1">
      <c r="A254" s="22"/>
      <c r="B254" s="22" t="str">
        <f t="array" ref="B254">IF($A254="","",IFERROR(INDEX(Companies!$C$2:$C$1000,MATCH($A254,Companies!$B$2:$B$1000,0)),""))</f>
        <v/>
      </c>
      <c r="C254" s="22" t="str">
        <f t="array" ref="C254">IF($A254="","",IFERROR(INDEX(Companies!$D$2:$D$1000,MATCH($A254,Companies!$B$2:$B$1000,0)),""))</f>
        <v/>
      </c>
      <c r="D254" s="24"/>
      <c r="E254" s="22"/>
      <c r="F254" s="24"/>
      <c r="G254" s="24" t="str">
        <f t="shared" si="1"/>
        <v/>
      </c>
      <c r="H254" s="22"/>
      <c r="I254" s="22"/>
      <c r="K254" s="1"/>
    </row>
    <row r="255" ht="15.0" customHeight="1">
      <c r="A255" s="22"/>
      <c r="B255" s="22" t="str">
        <f t="array" ref="B255">IF($A255="","",IFERROR(INDEX(Companies!$C$2:$C$1000,MATCH($A255,Companies!$B$2:$B$1000,0)),""))</f>
        <v/>
      </c>
      <c r="C255" s="22" t="str">
        <f t="array" ref="C255">IF($A255="","",IFERROR(INDEX(Companies!$D$2:$D$1000,MATCH($A255,Companies!$B$2:$B$1000,0)),""))</f>
        <v/>
      </c>
      <c r="D255" s="24"/>
      <c r="E255" s="22"/>
      <c r="F255" s="24"/>
      <c r="G255" s="24" t="str">
        <f t="shared" si="1"/>
        <v/>
      </c>
      <c r="H255" s="22"/>
      <c r="I255" s="22"/>
      <c r="K255" s="1"/>
    </row>
    <row r="256" ht="15.0" customHeight="1">
      <c r="A256" s="22"/>
      <c r="B256" s="22" t="str">
        <f t="array" ref="B256">IF($A256="","",IFERROR(INDEX(Companies!$C$2:$C$1000,MATCH($A256,Companies!$B$2:$B$1000,0)),""))</f>
        <v/>
      </c>
      <c r="C256" s="22" t="str">
        <f t="array" ref="C256">IF($A256="","",IFERROR(INDEX(Companies!$D$2:$D$1000,MATCH($A256,Companies!$B$2:$B$1000,0)),""))</f>
        <v/>
      </c>
      <c r="D256" s="24"/>
      <c r="E256" s="22"/>
      <c r="F256" s="24"/>
      <c r="G256" s="24" t="str">
        <f t="shared" si="1"/>
        <v/>
      </c>
      <c r="H256" s="22"/>
      <c r="I256" s="22"/>
      <c r="K256" s="1"/>
    </row>
    <row r="257" ht="15.0" customHeight="1">
      <c r="A257" s="22"/>
      <c r="B257" s="22" t="str">
        <f t="array" ref="B257">IF($A257="","",IFERROR(INDEX(Companies!$C$2:$C$1000,MATCH($A257,Companies!$B$2:$B$1000,0)),""))</f>
        <v/>
      </c>
      <c r="C257" s="22" t="str">
        <f t="array" ref="C257">IF($A257="","",IFERROR(INDEX(Companies!$D$2:$D$1000,MATCH($A257,Companies!$B$2:$B$1000,0)),""))</f>
        <v/>
      </c>
      <c r="D257" s="24"/>
      <c r="E257" s="22"/>
      <c r="F257" s="24"/>
      <c r="G257" s="24" t="str">
        <f t="shared" si="1"/>
        <v/>
      </c>
      <c r="H257" s="22"/>
      <c r="I257" s="22"/>
      <c r="K257" s="1"/>
    </row>
    <row r="258" ht="15.0" customHeight="1">
      <c r="A258" s="22"/>
      <c r="B258" s="22" t="str">
        <f t="array" ref="B258">IF($A258="","",IFERROR(INDEX(Companies!$C$2:$C$1000,MATCH($A258,Companies!$B$2:$B$1000,0)),""))</f>
        <v/>
      </c>
      <c r="C258" s="22" t="str">
        <f t="array" ref="C258">IF($A258="","",IFERROR(INDEX(Companies!$D$2:$D$1000,MATCH($A258,Companies!$B$2:$B$1000,0)),""))</f>
        <v/>
      </c>
      <c r="D258" s="24"/>
      <c r="E258" s="22"/>
      <c r="F258" s="24"/>
      <c r="G258" s="24" t="str">
        <f t="shared" si="1"/>
        <v/>
      </c>
      <c r="H258" s="22"/>
      <c r="I258" s="22"/>
      <c r="K258" s="1"/>
    </row>
    <row r="259" ht="15.0" customHeight="1">
      <c r="A259" s="22"/>
      <c r="B259" s="22" t="str">
        <f t="array" ref="B259">IF($A259="","",IFERROR(INDEX(Companies!$C$2:$C$1000,MATCH($A259,Companies!$B$2:$B$1000,0)),""))</f>
        <v/>
      </c>
      <c r="C259" s="22" t="str">
        <f t="array" ref="C259">IF($A259="","",IFERROR(INDEX(Companies!$D$2:$D$1000,MATCH($A259,Companies!$B$2:$B$1000,0)),""))</f>
        <v/>
      </c>
      <c r="D259" s="24"/>
      <c r="E259" s="22"/>
      <c r="F259" s="24"/>
      <c r="G259" s="24" t="str">
        <f t="shared" si="1"/>
        <v/>
      </c>
      <c r="H259" s="22"/>
      <c r="I259" s="22"/>
      <c r="K259" s="1"/>
    </row>
    <row r="260" ht="15.0" customHeight="1">
      <c r="A260" s="22"/>
      <c r="B260" s="22" t="str">
        <f t="array" ref="B260">IF($A260="","",IFERROR(INDEX(Companies!$C$2:$C$1000,MATCH($A260,Companies!$B$2:$B$1000,0)),""))</f>
        <v/>
      </c>
      <c r="C260" s="22" t="str">
        <f t="array" ref="C260">IF($A260="","",IFERROR(INDEX(Companies!$D$2:$D$1000,MATCH($A260,Companies!$B$2:$B$1000,0)),""))</f>
        <v/>
      </c>
      <c r="D260" s="24"/>
      <c r="E260" s="22"/>
      <c r="F260" s="24"/>
      <c r="G260" s="24" t="str">
        <f t="shared" si="1"/>
        <v/>
      </c>
      <c r="H260" s="22"/>
      <c r="I260" s="22"/>
      <c r="K260" s="1"/>
    </row>
    <row r="261" ht="15.0" customHeight="1">
      <c r="A261" s="22"/>
      <c r="B261" s="22" t="str">
        <f t="array" ref="B261">IF($A261="","",IFERROR(INDEX(Companies!$C$2:$C$1000,MATCH($A261,Companies!$B$2:$B$1000,0)),""))</f>
        <v/>
      </c>
      <c r="C261" s="22" t="str">
        <f t="array" ref="C261">IF($A261="","",IFERROR(INDEX(Companies!$D$2:$D$1000,MATCH($A261,Companies!$B$2:$B$1000,0)),""))</f>
        <v/>
      </c>
      <c r="D261" s="24"/>
      <c r="E261" s="22"/>
      <c r="F261" s="24"/>
      <c r="G261" s="24" t="str">
        <f t="shared" si="1"/>
        <v/>
      </c>
      <c r="H261" s="22"/>
      <c r="I261" s="22"/>
      <c r="K261" s="1"/>
    </row>
    <row r="262" ht="15.0" customHeight="1">
      <c r="A262" s="22"/>
      <c r="B262" s="22" t="str">
        <f t="array" ref="B262">IF($A262="","",IFERROR(INDEX(Companies!$C$2:$C$1000,MATCH($A262,Companies!$B$2:$B$1000,0)),""))</f>
        <v/>
      </c>
      <c r="C262" s="22" t="str">
        <f t="array" ref="C262">IF($A262="","",IFERROR(INDEX(Companies!$D$2:$D$1000,MATCH($A262,Companies!$B$2:$B$1000,0)),""))</f>
        <v/>
      </c>
      <c r="D262" s="24"/>
      <c r="E262" s="22"/>
      <c r="F262" s="24"/>
      <c r="G262" s="24" t="str">
        <f t="shared" si="1"/>
        <v/>
      </c>
      <c r="H262" s="22"/>
      <c r="I262" s="22"/>
      <c r="K262" s="1"/>
    </row>
    <row r="263" ht="15.0" customHeight="1">
      <c r="A263" s="22"/>
      <c r="B263" s="22" t="str">
        <f t="array" ref="B263">IF($A263="","",IFERROR(INDEX(Companies!$C$2:$C$1000,MATCH($A263,Companies!$B$2:$B$1000,0)),""))</f>
        <v/>
      </c>
      <c r="C263" s="22" t="str">
        <f t="array" ref="C263">IF($A263="","",IFERROR(INDEX(Companies!$D$2:$D$1000,MATCH($A263,Companies!$B$2:$B$1000,0)),""))</f>
        <v/>
      </c>
      <c r="D263" s="24"/>
      <c r="E263" s="22"/>
      <c r="F263" s="24"/>
      <c r="G263" s="24" t="str">
        <f t="shared" si="1"/>
        <v/>
      </c>
      <c r="H263" s="22"/>
      <c r="I263" s="22"/>
      <c r="K263" s="1"/>
    </row>
    <row r="264" ht="15.0" customHeight="1">
      <c r="A264" s="22"/>
      <c r="B264" s="22" t="str">
        <f t="array" ref="B264">IF($A264="","",IFERROR(INDEX(Companies!$C$2:$C$1000,MATCH($A264,Companies!$B$2:$B$1000,0)),""))</f>
        <v/>
      </c>
      <c r="C264" s="22" t="str">
        <f t="array" ref="C264">IF($A264="","",IFERROR(INDEX(Companies!$D$2:$D$1000,MATCH($A264,Companies!$B$2:$B$1000,0)),""))</f>
        <v/>
      </c>
      <c r="D264" s="24"/>
      <c r="E264" s="22"/>
      <c r="F264" s="24"/>
      <c r="G264" s="24" t="str">
        <f t="shared" si="1"/>
        <v/>
      </c>
      <c r="H264" s="22"/>
      <c r="I264" s="22"/>
      <c r="K264" s="1"/>
    </row>
    <row r="265" ht="15.0" customHeight="1">
      <c r="A265" s="22"/>
      <c r="B265" s="22" t="str">
        <f t="array" ref="B265">IF($A265="","",IFERROR(INDEX(Companies!$C$2:$C$1000,MATCH($A265,Companies!$B$2:$B$1000,0)),""))</f>
        <v/>
      </c>
      <c r="C265" s="22" t="str">
        <f t="array" ref="C265">IF($A265="","",IFERROR(INDEX(Companies!$D$2:$D$1000,MATCH($A265,Companies!$B$2:$B$1000,0)),""))</f>
        <v/>
      </c>
      <c r="D265" s="24"/>
      <c r="E265" s="22"/>
      <c r="F265" s="24"/>
      <c r="G265" s="24" t="str">
        <f t="shared" si="1"/>
        <v/>
      </c>
      <c r="H265" s="22"/>
      <c r="I265" s="22"/>
      <c r="K265" s="1"/>
    </row>
    <row r="266" ht="15.0" customHeight="1">
      <c r="A266" s="22"/>
      <c r="B266" s="22" t="str">
        <f t="array" ref="B266">IF($A266="","",IFERROR(INDEX(Companies!$C$2:$C$1000,MATCH($A266,Companies!$B$2:$B$1000,0)),""))</f>
        <v/>
      </c>
      <c r="C266" s="22" t="str">
        <f t="array" ref="C266">IF($A266="","",IFERROR(INDEX(Companies!$D$2:$D$1000,MATCH($A266,Companies!$B$2:$B$1000,0)),""))</f>
        <v/>
      </c>
      <c r="D266" s="24"/>
      <c r="E266" s="22"/>
      <c r="F266" s="24"/>
      <c r="G266" s="24" t="str">
        <f t="shared" si="1"/>
        <v/>
      </c>
      <c r="H266" s="22"/>
      <c r="I266" s="22"/>
      <c r="K266" s="1"/>
    </row>
    <row r="267" ht="15.0" customHeight="1">
      <c r="A267" s="22"/>
      <c r="B267" s="22" t="str">
        <f t="array" ref="B267">IF($A267="","",IFERROR(INDEX(Companies!$C$2:$C$1000,MATCH($A267,Companies!$B$2:$B$1000,0)),""))</f>
        <v/>
      </c>
      <c r="C267" s="22" t="str">
        <f t="array" ref="C267">IF($A267="","",IFERROR(INDEX(Companies!$D$2:$D$1000,MATCH($A267,Companies!$B$2:$B$1000,0)),""))</f>
        <v/>
      </c>
      <c r="D267" s="24"/>
      <c r="E267" s="22"/>
      <c r="F267" s="24"/>
      <c r="G267" s="24" t="str">
        <f t="shared" si="1"/>
        <v/>
      </c>
      <c r="H267" s="22"/>
      <c r="I267" s="22"/>
      <c r="K267" s="1"/>
    </row>
    <row r="268" ht="15.0" customHeight="1">
      <c r="A268" s="22"/>
      <c r="B268" s="22" t="str">
        <f t="array" ref="B268">IF($A268="","",IFERROR(INDEX(Companies!$C$2:$C$1000,MATCH($A268,Companies!$B$2:$B$1000,0)),""))</f>
        <v/>
      </c>
      <c r="C268" s="22" t="str">
        <f t="array" ref="C268">IF($A268="","",IFERROR(INDEX(Companies!$D$2:$D$1000,MATCH($A268,Companies!$B$2:$B$1000,0)),""))</f>
        <v/>
      </c>
      <c r="D268" s="24"/>
      <c r="E268" s="22"/>
      <c r="F268" s="24"/>
      <c r="G268" s="24" t="str">
        <f t="shared" si="1"/>
        <v/>
      </c>
      <c r="H268" s="22"/>
      <c r="I268" s="22"/>
      <c r="K268" s="1"/>
    </row>
    <row r="269" ht="15.0" customHeight="1">
      <c r="A269" s="22"/>
      <c r="B269" s="22" t="str">
        <f t="array" ref="B269">IF($A269="","",IFERROR(INDEX(Companies!$C$2:$C$1000,MATCH($A269,Companies!$B$2:$B$1000,0)),""))</f>
        <v/>
      </c>
      <c r="C269" s="22" t="str">
        <f t="array" ref="C269">IF($A269="","",IFERROR(INDEX(Companies!$D$2:$D$1000,MATCH($A269,Companies!$B$2:$B$1000,0)),""))</f>
        <v/>
      </c>
      <c r="D269" s="24"/>
      <c r="E269" s="22"/>
      <c r="F269" s="24"/>
      <c r="G269" s="24" t="str">
        <f t="shared" si="1"/>
        <v/>
      </c>
      <c r="H269" s="22"/>
      <c r="I269" s="22"/>
      <c r="K269" s="1"/>
    </row>
    <row r="270" ht="15.0" customHeight="1">
      <c r="A270" s="22"/>
      <c r="B270" s="22" t="str">
        <f t="array" ref="B270">IF($A270="","",IFERROR(INDEX(Companies!$C$2:$C$1000,MATCH($A270,Companies!$B$2:$B$1000,0)),""))</f>
        <v/>
      </c>
      <c r="C270" s="22" t="str">
        <f t="array" ref="C270">IF($A270="","",IFERROR(INDEX(Companies!$D$2:$D$1000,MATCH($A270,Companies!$B$2:$B$1000,0)),""))</f>
        <v/>
      </c>
      <c r="D270" s="24"/>
      <c r="E270" s="22"/>
      <c r="F270" s="24"/>
      <c r="G270" s="24" t="str">
        <f t="shared" si="1"/>
        <v/>
      </c>
      <c r="H270" s="22"/>
      <c r="I270" s="22"/>
      <c r="K270" s="1"/>
    </row>
    <row r="271" ht="15.0" customHeight="1">
      <c r="A271" s="22"/>
      <c r="B271" s="22" t="str">
        <f t="array" ref="B271">IF($A271="","",IFERROR(INDEX(Companies!$C$2:$C$1000,MATCH($A271,Companies!$B$2:$B$1000,0)),""))</f>
        <v/>
      </c>
      <c r="C271" s="22" t="str">
        <f t="array" ref="C271">IF($A271="","",IFERROR(INDEX(Companies!$D$2:$D$1000,MATCH($A271,Companies!$B$2:$B$1000,0)),""))</f>
        <v/>
      </c>
      <c r="D271" s="24"/>
      <c r="E271" s="22"/>
      <c r="F271" s="24"/>
      <c r="G271" s="24" t="str">
        <f t="shared" si="1"/>
        <v/>
      </c>
      <c r="H271" s="22"/>
      <c r="I271" s="22"/>
      <c r="K271" s="1"/>
    </row>
    <row r="272" ht="15.0" customHeight="1">
      <c r="A272" s="22"/>
      <c r="B272" s="22" t="str">
        <f t="array" ref="B272">IF($A272="","",IFERROR(INDEX(Companies!$C$2:$C$1000,MATCH($A272,Companies!$B$2:$B$1000,0)),""))</f>
        <v/>
      </c>
      <c r="C272" s="22" t="str">
        <f t="array" ref="C272">IF($A272="","",IFERROR(INDEX(Companies!$D$2:$D$1000,MATCH($A272,Companies!$B$2:$B$1000,0)),""))</f>
        <v/>
      </c>
      <c r="D272" s="24"/>
      <c r="E272" s="22"/>
      <c r="F272" s="24"/>
      <c r="G272" s="24" t="str">
        <f t="shared" si="1"/>
        <v/>
      </c>
      <c r="H272" s="22"/>
      <c r="I272" s="22"/>
      <c r="K272" s="1"/>
    </row>
    <row r="273" ht="15.0" customHeight="1">
      <c r="A273" s="22"/>
      <c r="B273" s="22" t="str">
        <f t="array" ref="B273">IF($A273="","",IFERROR(INDEX(Companies!$C$2:$C$1000,MATCH($A273,Companies!$B$2:$B$1000,0)),""))</f>
        <v/>
      </c>
      <c r="C273" s="22" t="str">
        <f t="array" ref="C273">IF($A273="","",IFERROR(INDEX(Companies!$D$2:$D$1000,MATCH($A273,Companies!$B$2:$B$1000,0)),""))</f>
        <v/>
      </c>
      <c r="D273" s="24"/>
      <c r="E273" s="22"/>
      <c r="F273" s="24"/>
      <c r="G273" s="24" t="str">
        <f t="shared" si="1"/>
        <v/>
      </c>
      <c r="H273" s="22"/>
      <c r="I273" s="22"/>
      <c r="K273" s="1"/>
    </row>
    <row r="274" ht="15.0" customHeight="1">
      <c r="A274" s="22"/>
      <c r="B274" s="22" t="str">
        <f t="array" ref="B274">IF($A274="","",IFERROR(INDEX(Companies!$C$2:$C$1000,MATCH($A274,Companies!$B$2:$B$1000,0)),""))</f>
        <v/>
      </c>
      <c r="C274" s="22" t="str">
        <f t="array" ref="C274">IF($A274="","",IFERROR(INDEX(Companies!$D$2:$D$1000,MATCH($A274,Companies!$B$2:$B$1000,0)),""))</f>
        <v/>
      </c>
      <c r="D274" s="24"/>
      <c r="E274" s="22"/>
      <c r="F274" s="24"/>
      <c r="G274" s="24" t="str">
        <f t="shared" si="1"/>
        <v/>
      </c>
      <c r="H274" s="22"/>
      <c r="I274" s="22"/>
      <c r="K274" s="1"/>
    </row>
    <row r="275" ht="15.0" customHeight="1">
      <c r="A275" s="22"/>
      <c r="B275" s="22" t="str">
        <f t="array" ref="B275">IF($A275="","",IFERROR(INDEX(Companies!$C$2:$C$1000,MATCH($A275,Companies!$B$2:$B$1000,0)),""))</f>
        <v/>
      </c>
      <c r="C275" s="22" t="str">
        <f t="array" ref="C275">IF($A275="","",IFERROR(INDEX(Companies!$D$2:$D$1000,MATCH($A275,Companies!$B$2:$B$1000,0)),""))</f>
        <v/>
      </c>
      <c r="D275" s="24"/>
      <c r="E275" s="22"/>
      <c r="F275" s="24"/>
      <c r="G275" s="24" t="str">
        <f t="shared" si="1"/>
        <v/>
      </c>
      <c r="H275" s="22"/>
      <c r="I275" s="22"/>
      <c r="K275" s="1"/>
    </row>
    <row r="276" ht="15.0" customHeight="1">
      <c r="A276" s="22"/>
      <c r="B276" s="22" t="str">
        <f t="array" ref="B276">IF($A276="","",IFERROR(INDEX(Companies!$C$2:$C$1000,MATCH($A276,Companies!$B$2:$B$1000,0)),""))</f>
        <v/>
      </c>
      <c r="C276" s="22" t="str">
        <f t="array" ref="C276">IF($A276="","",IFERROR(INDEX(Companies!$D$2:$D$1000,MATCH($A276,Companies!$B$2:$B$1000,0)),""))</f>
        <v/>
      </c>
      <c r="D276" s="24"/>
      <c r="E276" s="22"/>
      <c r="F276" s="24"/>
      <c r="G276" s="24" t="str">
        <f t="shared" si="1"/>
        <v/>
      </c>
      <c r="H276" s="22"/>
      <c r="I276" s="22"/>
      <c r="K276" s="1"/>
    </row>
    <row r="277" ht="15.0" customHeight="1">
      <c r="A277" s="22"/>
      <c r="B277" s="22" t="str">
        <f t="array" ref="B277">IF($A277="","",IFERROR(INDEX(Companies!$C$2:$C$1000,MATCH($A277,Companies!$B$2:$B$1000,0)),""))</f>
        <v/>
      </c>
      <c r="C277" s="22" t="str">
        <f t="array" ref="C277">IF($A277="","",IFERROR(INDEX(Companies!$D$2:$D$1000,MATCH($A277,Companies!$B$2:$B$1000,0)),""))</f>
        <v/>
      </c>
      <c r="D277" s="24"/>
      <c r="E277" s="22"/>
      <c r="F277" s="24"/>
      <c r="G277" s="24" t="str">
        <f t="shared" si="1"/>
        <v/>
      </c>
      <c r="H277" s="22"/>
      <c r="I277" s="22"/>
      <c r="K277" s="1"/>
    </row>
    <row r="278" ht="15.0" customHeight="1">
      <c r="A278" s="22"/>
      <c r="B278" s="22" t="str">
        <f t="array" ref="B278">IF($A278="","",IFERROR(INDEX(Companies!$C$2:$C$1000,MATCH($A278,Companies!$B$2:$B$1000,0)),""))</f>
        <v/>
      </c>
      <c r="C278" s="22" t="str">
        <f t="array" ref="C278">IF($A278="","",IFERROR(INDEX(Companies!$D$2:$D$1000,MATCH($A278,Companies!$B$2:$B$1000,0)),""))</f>
        <v/>
      </c>
      <c r="D278" s="24"/>
      <c r="E278" s="22"/>
      <c r="F278" s="24"/>
      <c r="G278" s="24" t="str">
        <f t="shared" si="1"/>
        <v/>
      </c>
      <c r="H278" s="22"/>
      <c r="I278" s="22"/>
      <c r="K278" s="1"/>
    </row>
    <row r="279" ht="15.0" customHeight="1">
      <c r="A279" s="22"/>
      <c r="B279" s="22" t="str">
        <f t="array" ref="B279">IF($A279="","",IFERROR(INDEX(Companies!$C$2:$C$1000,MATCH($A279,Companies!$B$2:$B$1000,0)),""))</f>
        <v/>
      </c>
      <c r="C279" s="22" t="str">
        <f t="array" ref="C279">IF($A279="","",IFERROR(INDEX(Companies!$D$2:$D$1000,MATCH($A279,Companies!$B$2:$B$1000,0)),""))</f>
        <v/>
      </c>
      <c r="D279" s="24"/>
      <c r="E279" s="22"/>
      <c r="F279" s="24"/>
      <c r="G279" s="24" t="str">
        <f t="shared" si="1"/>
        <v/>
      </c>
      <c r="H279" s="22"/>
      <c r="I279" s="22"/>
      <c r="K279" s="1"/>
    </row>
    <row r="280" ht="15.0" customHeight="1">
      <c r="A280" s="22"/>
      <c r="B280" s="22" t="str">
        <f t="array" ref="B280">IF($A280="","",IFERROR(INDEX(Companies!$C$2:$C$1000,MATCH($A280,Companies!$B$2:$B$1000,0)),""))</f>
        <v/>
      </c>
      <c r="C280" s="22" t="str">
        <f t="array" ref="C280">IF($A280="","",IFERROR(INDEX(Companies!$D$2:$D$1000,MATCH($A280,Companies!$B$2:$B$1000,0)),""))</f>
        <v/>
      </c>
      <c r="D280" s="24"/>
      <c r="E280" s="22"/>
      <c r="F280" s="24"/>
      <c r="G280" s="24" t="str">
        <f t="shared" si="1"/>
        <v/>
      </c>
      <c r="H280" s="22"/>
      <c r="I280" s="22"/>
      <c r="K280" s="1"/>
    </row>
    <row r="281" ht="15.0" customHeight="1">
      <c r="A281" s="22"/>
      <c r="B281" s="22" t="str">
        <f t="array" ref="B281">IF($A281="","",IFERROR(INDEX(Companies!$C$2:$C$1000,MATCH($A281,Companies!$B$2:$B$1000,0)),""))</f>
        <v/>
      </c>
      <c r="C281" s="22" t="str">
        <f t="array" ref="C281">IF($A281="","",IFERROR(INDEX(Companies!$D$2:$D$1000,MATCH($A281,Companies!$B$2:$B$1000,0)),""))</f>
        <v/>
      </c>
      <c r="D281" s="24"/>
      <c r="E281" s="22"/>
      <c r="F281" s="24"/>
      <c r="G281" s="24" t="str">
        <f t="shared" si="1"/>
        <v/>
      </c>
      <c r="H281" s="22"/>
      <c r="I281" s="22"/>
      <c r="K281" s="1"/>
    </row>
    <row r="282" ht="15.0" customHeight="1">
      <c r="A282" s="22"/>
      <c r="B282" s="22" t="str">
        <f t="array" ref="B282">IF($A282="","",IFERROR(INDEX(Companies!$C$2:$C$1000,MATCH($A282,Companies!$B$2:$B$1000,0)),""))</f>
        <v/>
      </c>
      <c r="C282" s="22" t="str">
        <f t="array" ref="C282">IF($A282="","",IFERROR(INDEX(Companies!$D$2:$D$1000,MATCH($A282,Companies!$B$2:$B$1000,0)),""))</f>
        <v/>
      </c>
      <c r="D282" s="24"/>
      <c r="E282" s="22"/>
      <c r="F282" s="24"/>
      <c r="G282" s="24" t="str">
        <f t="shared" si="1"/>
        <v/>
      </c>
      <c r="H282" s="22"/>
      <c r="I282" s="22"/>
      <c r="K282" s="1"/>
    </row>
    <row r="283" ht="15.0" customHeight="1">
      <c r="A283" s="22"/>
      <c r="B283" s="22" t="str">
        <f t="array" ref="B283">IF($A283="","",IFERROR(INDEX(Companies!$C$2:$C$1000,MATCH($A283,Companies!$B$2:$B$1000,0)),""))</f>
        <v/>
      </c>
      <c r="C283" s="22" t="str">
        <f t="array" ref="C283">IF($A283="","",IFERROR(INDEX(Companies!$D$2:$D$1000,MATCH($A283,Companies!$B$2:$B$1000,0)),""))</f>
        <v/>
      </c>
      <c r="D283" s="24"/>
      <c r="E283" s="22"/>
      <c r="F283" s="24"/>
      <c r="G283" s="24" t="str">
        <f t="shared" si="1"/>
        <v/>
      </c>
      <c r="H283" s="22"/>
      <c r="I283" s="22"/>
      <c r="K283" s="1"/>
    </row>
    <row r="284" ht="15.0" customHeight="1">
      <c r="A284" s="22"/>
      <c r="B284" s="22" t="str">
        <f t="array" ref="B284">IF($A284="","",IFERROR(INDEX(Companies!$C$2:$C$1000,MATCH($A284,Companies!$B$2:$B$1000,0)),""))</f>
        <v/>
      </c>
      <c r="C284" s="22" t="str">
        <f t="array" ref="C284">IF($A284="","",IFERROR(INDEX(Companies!$D$2:$D$1000,MATCH($A284,Companies!$B$2:$B$1000,0)),""))</f>
        <v/>
      </c>
      <c r="D284" s="24"/>
      <c r="E284" s="22"/>
      <c r="F284" s="24"/>
      <c r="G284" s="24" t="str">
        <f t="shared" si="1"/>
        <v/>
      </c>
      <c r="H284" s="22"/>
      <c r="I284" s="22"/>
      <c r="K284" s="1"/>
    </row>
    <row r="285" ht="15.0" customHeight="1">
      <c r="A285" s="22"/>
      <c r="B285" s="22" t="str">
        <f t="array" ref="B285">IF($A285="","",IFERROR(INDEX(Companies!$C$2:$C$1000,MATCH($A285,Companies!$B$2:$B$1000,0)),""))</f>
        <v/>
      </c>
      <c r="C285" s="22" t="str">
        <f t="array" ref="C285">IF($A285="","",IFERROR(INDEX(Companies!$D$2:$D$1000,MATCH($A285,Companies!$B$2:$B$1000,0)),""))</f>
        <v/>
      </c>
      <c r="D285" s="24"/>
      <c r="E285" s="22"/>
      <c r="F285" s="24"/>
      <c r="G285" s="24" t="str">
        <f t="shared" si="1"/>
        <v/>
      </c>
      <c r="H285" s="22"/>
      <c r="I285" s="22"/>
      <c r="K285" s="1"/>
    </row>
    <row r="286" ht="15.0" customHeight="1">
      <c r="A286" s="22"/>
      <c r="B286" s="22" t="str">
        <f t="array" ref="B286">IF($A286="","",IFERROR(INDEX(Companies!$C$2:$C$1000,MATCH($A286,Companies!$B$2:$B$1000,0)),""))</f>
        <v/>
      </c>
      <c r="C286" s="22" t="str">
        <f t="array" ref="C286">IF($A286="","",IFERROR(INDEX(Companies!$D$2:$D$1000,MATCH($A286,Companies!$B$2:$B$1000,0)),""))</f>
        <v/>
      </c>
      <c r="D286" s="24"/>
      <c r="E286" s="22"/>
      <c r="F286" s="24"/>
      <c r="G286" s="24" t="str">
        <f t="shared" si="1"/>
        <v/>
      </c>
      <c r="H286" s="22"/>
      <c r="I286" s="22"/>
      <c r="K286" s="1"/>
    </row>
    <row r="287" ht="15.0" customHeight="1">
      <c r="A287" s="22"/>
      <c r="B287" s="22" t="str">
        <f t="array" ref="B287">IF($A287="","",IFERROR(INDEX(Companies!$C$2:$C$1000,MATCH($A287,Companies!$B$2:$B$1000,0)),""))</f>
        <v/>
      </c>
      <c r="C287" s="22" t="str">
        <f t="array" ref="C287">IF($A287="","",IFERROR(INDEX(Companies!$D$2:$D$1000,MATCH($A287,Companies!$B$2:$B$1000,0)),""))</f>
        <v/>
      </c>
      <c r="D287" s="24"/>
      <c r="E287" s="22"/>
      <c r="F287" s="24"/>
      <c r="G287" s="24" t="str">
        <f t="shared" si="1"/>
        <v/>
      </c>
      <c r="H287" s="22"/>
      <c r="I287" s="22"/>
      <c r="K287" s="1"/>
    </row>
    <row r="288" ht="15.0" customHeight="1">
      <c r="A288" s="22"/>
      <c r="B288" s="22" t="str">
        <f t="array" ref="B288">IF($A288="","",IFERROR(INDEX(Companies!$C$2:$C$1000,MATCH($A288,Companies!$B$2:$B$1000,0)),""))</f>
        <v/>
      </c>
      <c r="C288" s="22" t="str">
        <f t="array" ref="C288">IF($A288="","",IFERROR(INDEX(Companies!$D$2:$D$1000,MATCH($A288,Companies!$B$2:$B$1000,0)),""))</f>
        <v/>
      </c>
      <c r="D288" s="24"/>
      <c r="E288" s="22"/>
      <c r="F288" s="24"/>
      <c r="G288" s="24" t="str">
        <f t="shared" si="1"/>
        <v/>
      </c>
      <c r="H288" s="22"/>
      <c r="I288" s="22"/>
      <c r="K288" s="1"/>
    </row>
    <row r="289" ht="15.0" customHeight="1">
      <c r="A289" s="22"/>
      <c r="B289" s="22" t="str">
        <f t="array" ref="B289">IF($A289="","",IFERROR(INDEX(Companies!$C$2:$C$1000,MATCH($A289,Companies!$B$2:$B$1000,0)),""))</f>
        <v/>
      </c>
      <c r="C289" s="22" t="str">
        <f t="array" ref="C289">IF($A289="","",IFERROR(INDEX(Companies!$D$2:$D$1000,MATCH($A289,Companies!$B$2:$B$1000,0)),""))</f>
        <v/>
      </c>
      <c r="D289" s="24"/>
      <c r="E289" s="22"/>
      <c r="F289" s="24"/>
      <c r="G289" s="24" t="str">
        <f t="shared" si="1"/>
        <v/>
      </c>
      <c r="H289" s="22"/>
      <c r="I289" s="22"/>
      <c r="K289" s="1"/>
    </row>
    <row r="290" ht="15.0" customHeight="1">
      <c r="A290" s="22"/>
      <c r="B290" s="22" t="str">
        <f t="array" ref="B290">IF($A290="","",IFERROR(INDEX(Companies!$C$2:$C$1000,MATCH($A290,Companies!$B$2:$B$1000,0)),""))</f>
        <v/>
      </c>
      <c r="C290" s="22" t="str">
        <f t="array" ref="C290">IF($A290="","",IFERROR(INDEX(Companies!$D$2:$D$1000,MATCH($A290,Companies!$B$2:$B$1000,0)),""))</f>
        <v/>
      </c>
      <c r="D290" s="24"/>
      <c r="E290" s="22"/>
      <c r="F290" s="24"/>
      <c r="G290" s="24" t="str">
        <f t="shared" si="1"/>
        <v/>
      </c>
      <c r="H290" s="22"/>
      <c r="I290" s="22"/>
      <c r="K290" s="1"/>
    </row>
    <row r="291" ht="15.0" customHeight="1">
      <c r="A291" s="22"/>
      <c r="B291" s="22" t="str">
        <f t="array" ref="B291">IF($A291="","",IFERROR(INDEX(Companies!$C$2:$C$1000,MATCH($A291,Companies!$B$2:$B$1000,0)),""))</f>
        <v/>
      </c>
      <c r="C291" s="22" t="str">
        <f t="array" ref="C291">IF($A291="","",IFERROR(INDEX(Companies!$D$2:$D$1000,MATCH($A291,Companies!$B$2:$B$1000,0)),""))</f>
        <v/>
      </c>
      <c r="D291" s="24"/>
      <c r="E291" s="22"/>
      <c r="F291" s="24"/>
      <c r="G291" s="24" t="str">
        <f t="shared" si="1"/>
        <v/>
      </c>
      <c r="H291" s="22"/>
      <c r="I291" s="22"/>
      <c r="K291" s="1"/>
    </row>
    <row r="292" ht="15.0" customHeight="1">
      <c r="A292" s="22"/>
      <c r="B292" s="22" t="str">
        <f t="array" ref="B292">IF($A292="","",IFERROR(INDEX(Companies!$C$2:$C$1000,MATCH($A292,Companies!$B$2:$B$1000,0)),""))</f>
        <v/>
      </c>
      <c r="C292" s="22" t="str">
        <f t="array" ref="C292">IF($A292="","",IFERROR(INDEX(Companies!$D$2:$D$1000,MATCH($A292,Companies!$B$2:$B$1000,0)),""))</f>
        <v/>
      </c>
      <c r="D292" s="24"/>
      <c r="E292" s="22"/>
      <c r="F292" s="24"/>
      <c r="G292" s="24" t="str">
        <f t="shared" si="1"/>
        <v/>
      </c>
      <c r="H292" s="22"/>
      <c r="I292" s="22"/>
      <c r="K292" s="1"/>
    </row>
    <row r="293" ht="15.0" customHeight="1">
      <c r="A293" s="22"/>
      <c r="B293" s="22" t="str">
        <f t="array" ref="B293">IF($A293="","",IFERROR(INDEX(Companies!$C$2:$C$1000,MATCH($A293,Companies!$B$2:$B$1000,0)),""))</f>
        <v/>
      </c>
      <c r="C293" s="22" t="str">
        <f t="array" ref="C293">IF($A293="","",IFERROR(INDEX(Companies!$D$2:$D$1000,MATCH($A293,Companies!$B$2:$B$1000,0)),""))</f>
        <v/>
      </c>
      <c r="D293" s="24"/>
      <c r="E293" s="22"/>
      <c r="F293" s="24"/>
      <c r="G293" s="24" t="str">
        <f t="shared" si="1"/>
        <v/>
      </c>
      <c r="H293" s="22"/>
      <c r="I293" s="22"/>
      <c r="K293" s="1"/>
    </row>
    <row r="294" ht="15.0" customHeight="1">
      <c r="A294" s="22"/>
      <c r="B294" s="22" t="str">
        <f t="array" ref="B294">IF($A294="","",IFERROR(INDEX(Companies!$C$2:$C$1000,MATCH($A294,Companies!$B$2:$B$1000,0)),""))</f>
        <v/>
      </c>
      <c r="C294" s="22" t="str">
        <f t="array" ref="C294">IF($A294="","",IFERROR(INDEX(Companies!$D$2:$D$1000,MATCH($A294,Companies!$B$2:$B$1000,0)),""))</f>
        <v/>
      </c>
      <c r="D294" s="24"/>
      <c r="E294" s="22"/>
      <c r="F294" s="24"/>
      <c r="G294" s="24" t="str">
        <f t="shared" si="1"/>
        <v/>
      </c>
      <c r="H294" s="22"/>
      <c r="I294" s="22"/>
      <c r="K294" s="1"/>
    </row>
    <row r="295" ht="15.0" customHeight="1">
      <c r="A295" s="22"/>
      <c r="B295" s="22" t="str">
        <f t="array" ref="B295">IF($A295="","",IFERROR(INDEX(Companies!$C$2:$C$1000,MATCH($A295,Companies!$B$2:$B$1000,0)),""))</f>
        <v/>
      </c>
      <c r="C295" s="22" t="str">
        <f t="array" ref="C295">IF($A295="","",IFERROR(INDEX(Companies!$D$2:$D$1000,MATCH($A295,Companies!$B$2:$B$1000,0)),""))</f>
        <v/>
      </c>
      <c r="D295" s="24"/>
      <c r="E295" s="22"/>
      <c r="F295" s="24"/>
      <c r="G295" s="24" t="str">
        <f t="shared" si="1"/>
        <v/>
      </c>
      <c r="H295" s="22"/>
      <c r="I295" s="22"/>
      <c r="K295" s="1"/>
    </row>
    <row r="296" ht="15.0" customHeight="1">
      <c r="A296" s="22"/>
      <c r="B296" s="22" t="str">
        <f t="array" ref="B296">IF($A296="","",IFERROR(INDEX(Companies!$C$2:$C$1000,MATCH($A296,Companies!$B$2:$B$1000,0)),""))</f>
        <v/>
      </c>
      <c r="C296" s="22" t="str">
        <f t="array" ref="C296">IF($A296="","",IFERROR(INDEX(Companies!$D$2:$D$1000,MATCH($A296,Companies!$B$2:$B$1000,0)),""))</f>
        <v/>
      </c>
      <c r="D296" s="24"/>
      <c r="E296" s="22"/>
      <c r="F296" s="24"/>
      <c r="G296" s="24" t="str">
        <f t="shared" si="1"/>
        <v/>
      </c>
      <c r="H296" s="22"/>
      <c r="I296" s="22"/>
      <c r="K296" s="1"/>
    </row>
    <row r="297" ht="15.0" customHeight="1">
      <c r="A297" s="22"/>
      <c r="B297" s="22" t="str">
        <f t="array" ref="B297">IF($A297="","",IFERROR(INDEX(Companies!$C$2:$C$1000,MATCH($A297,Companies!$B$2:$B$1000,0)),""))</f>
        <v/>
      </c>
      <c r="C297" s="22" t="str">
        <f t="array" ref="C297">IF($A297="","",IFERROR(INDEX(Companies!$D$2:$D$1000,MATCH($A297,Companies!$B$2:$B$1000,0)),""))</f>
        <v/>
      </c>
      <c r="D297" s="24"/>
      <c r="E297" s="22"/>
      <c r="F297" s="24"/>
      <c r="G297" s="24" t="str">
        <f t="shared" si="1"/>
        <v/>
      </c>
      <c r="H297" s="22"/>
      <c r="I297" s="22"/>
      <c r="K297" s="1"/>
    </row>
    <row r="298" ht="15.0" customHeight="1">
      <c r="A298" s="22"/>
      <c r="B298" s="22" t="str">
        <f t="array" ref="B298">IF($A298="","",IFERROR(INDEX(Companies!$C$2:$C$1000,MATCH($A298,Companies!$B$2:$B$1000,0)),""))</f>
        <v/>
      </c>
      <c r="C298" s="22" t="str">
        <f t="array" ref="C298">IF($A298="","",IFERROR(INDEX(Companies!$D$2:$D$1000,MATCH($A298,Companies!$B$2:$B$1000,0)),""))</f>
        <v/>
      </c>
      <c r="D298" s="24"/>
      <c r="E298" s="22"/>
      <c r="F298" s="24"/>
      <c r="G298" s="24" t="str">
        <f t="shared" si="1"/>
        <v/>
      </c>
      <c r="H298" s="22"/>
      <c r="I298" s="22"/>
      <c r="K298" s="1"/>
    </row>
    <row r="299" ht="15.0" customHeight="1">
      <c r="A299" s="22"/>
      <c r="B299" s="22" t="str">
        <f t="array" ref="B299">IF($A299="","",IFERROR(INDEX(Companies!$C$2:$C$1000,MATCH($A299,Companies!$B$2:$B$1000,0)),""))</f>
        <v/>
      </c>
      <c r="C299" s="22" t="str">
        <f t="array" ref="C299">IF($A299="","",IFERROR(INDEX(Companies!$D$2:$D$1000,MATCH($A299,Companies!$B$2:$B$1000,0)),""))</f>
        <v/>
      </c>
      <c r="D299" s="24"/>
      <c r="E299" s="22"/>
      <c r="F299" s="24"/>
      <c r="G299" s="24" t="str">
        <f t="shared" si="1"/>
        <v/>
      </c>
      <c r="H299" s="22"/>
      <c r="I299" s="22"/>
      <c r="K299" s="1"/>
    </row>
    <row r="300" ht="15.0" customHeight="1">
      <c r="A300" s="22"/>
      <c r="B300" s="22" t="str">
        <f t="array" ref="B300">IF($A300="","",IFERROR(INDEX(Companies!$C$2:$C$1000,MATCH($A300,Companies!$B$2:$B$1000,0)),""))</f>
        <v/>
      </c>
      <c r="C300" s="22" t="str">
        <f t="array" ref="C300">IF($A300="","",IFERROR(INDEX(Companies!$D$2:$D$1000,MATCH($A300,Companies!$B$2:$B$1000,0)),""))</f>
        <v/>
      </c>
      <c r="D300" s="24"/>
      <c r="E300" s="22"/>
      <c r="F300" s="24"/>
      <c r="G300" s="24" t="str">
        <f t="shared" si="1"/>
        <v/>
      </c>
      <c r="H300" s="22"/>
      <c r="I300" s="22"/>
      <c r="K300" s="1"/>
    </row>
    <row r="301" ht="15.0" customHeight="1">
      <c r="A301" s="22"/>
      <c r="B301" s="22" t="str">
        <f t="array" ref="B301">IF($A301="","",IFERROR(INDEX(Companies!$C$2:$C$1000,MATCH($A301,Companies!$B$2:$B$1000,0)),""))</f>
        <v/>
      </c>
      <c r="C301" s="22" t="str">
        <f t="array" ref="C301">IF($A301="","",IFERROR(INDEX(Companies!$D$2:$D$1000,MATCH($A301,Companies!$B$2:$B$1000,0)),""))</f>
        <v/>
      </c>
      <c r="D301" s="24"/>
      <c r="E301" s="22"/>
      <c r="F301" s="24"/>
      <c r="G301" s="24" t="str">
        <f t="shared" si="1"/>
        <v/>
      </c>
      <c r="H301" s="22"/>
      <c r="I301" s="22"/>
      <c r="K301" s="1"/>
    </row>
    <row r="302" ht="15.0" customHeight="1">
      <c r="A302" s="22"/>
      <c r="B302" s="22" t="str">
        <f t="array" ref="B302">IF($A302="","",IFERROR(INDEX(Companies!$C$2:$C$1000,MATCH($A302,Companies!$B$2:$B$1000,0)),""))</f>
        <v/>
      </c>
      <c r="C302" s="22" t="str">
        <f t="array" ref="C302">IF($A302="","",IFERROR(INDEX(Companies!$D$2:$D$1000,MATCH($A302,Companies!$B$2:$B$1000,0)),""))</f>
        <v/>
      </c>
      <c r="D302" s="24"/>
      <c r="E302" s="22"/>
      <c r="F302" s="24"/>
      <c r="G302" s="24" t="str">
        <f t="shared" si="1"/>
        <v/>
      </c>
      <c r="H302" s="22"/>
      <c r="I302" s="22"/>
      <c r="K302" s="1"/>
    </row>
    <row r="303" ht="15.0" customHeight="1">
      <c r="A303" s="22"/>
      <c r="B303" s="22" t="str">
        <f t="array" ref="B303">IF($A303="","",IFERROR(INDEX(Companies!$C$2:$C$1000,MATCH($A303,Companies!$B$2:$B$1000,0)),""))</f>
        <v/>
      </c>
      <c r="C303" s="22" t="str">
        <f t="array" ref="C303">IF($A303="","",IFERROR(INDEX(Companies!$D$2:$D$1000,MATCH($A303,Companies!$B$2:$B$1000,0)),""))</f>
        <v/>
      </c>
      <c r="D303" s="24"/>
      <c r="E303" s="22"/>
      <c r="F303" s="24"/>
      <c r="G303" s="24" t="str">
        <f t="shared" si="1"/>
        <v/>
      </c>
      <c r="H303" s="22"/>
      <c r="I303" s="22"/>
      <c r="K303" s="1"/>
    </row>
    <row r="304" ht="15.0" customHeight="1">
      <c r="A304" s="22"/>
      <c r="B304" s="22" t="str">
        <f t="array" ref="B304">IF($A304="","",IFERROR(INDEX(Companies!$C$2:$C$1000,MATCH($A304,Companies!$B$2:$B$1000,0)),""))</f>
        <v/>
      </c>
      <c r="C304" s="22" t="str">
        <f t="array" ref="C304">IF($A304="","",IFERROR(INDEX(Companies!$D$2:$D$1000,MATCH($A304,Companies!$B$2:$B$1000,0)),""))</f>
        <v/>
      </c>
      <c r="D304" s="24"/>
      <c r="E304" s="22"/>
      <c r="F304" s="24"/>
      <c r="G304" s="24" t="str">
        <f t="shared" si="1"/>
        <v/>
      </c>
      <c r="H304" s="22"/>
      <c r="I304" s="22"/>
      <c r="K304" s="1"/>
    </row>
    <row r="305" ht="15.0" customHeight="1">
      <c r="A305" s="22"/>
      <c r="B305" s="22" t="str">
        <f t="array" ref="B305">IF($A305="","",IFERROR(INDEX(Companies!$C$2:$C$1000,MATCH($A305,Companies!$B$2:$B$1000,0)),""))</f>
        <v/>
      </c>
      <c r="C305" s="22" t="str">
        <f t="array" ref="C305">IF($A305="","",IFERROR(INDEX(Companies!$D$2:$D$1000,MATCH($A305,Companies!$B$2:$B$1000,0)),""))</f>
        <v/>
      </c>
      <c r="D305" s="24"/>
      <c r="E305" s="22"/>
      <c r="F305" s="24"/>
      <c r="G305" s="24" t="str">
        <f t="shared" si="1"/>
        <v/>
      </c>
      <c r="H305" s="22"/>
      <c r="I305" s="22"/>
      <c r="K305" s="1"/>
    </row>
    <row r="306" ht="15.0" customHeight="1">
      <c r="A306" s="22"/>
      <c r="B306" s="22" t="str">
        <f t="array" ref="B306">IF($A306="","",IFERROR(INDEX(Companies!$C$2:$C$1000,MATCH($A306,Companies!$B$2:$B$1000,0)),""))</f>
        <v/>
      </c>
      <c r="C306" s="22" t="str">
        <f t="array" ref="C306">IF($A306="","",IFERROR(INDEX(Companies!$D$2:$D$1000,MATCH($A306,Companies!$B$2:$B$1000,0)),""))</f>
        <v/>
      </c>
      <c r="D306" s="24"/>
      <c r="E306" s="22"/>
      <c r="F306" s="24"/>
      <c r="G306" s="24" t="str">
        <f t="shared" si="1"/>
        <v/>
      </c>
      <c r="H306" s="22"/>
      <c r="I306" s="22"/>
      <c r="K306" s="1"/>
    </row>
    <row r="307" ht="15.0" customHeight="1">
      <c r="A307" s="22"/>
      <c r="B307" s="22" t="str">
        <f t="array" ref="B307">IF($A307="","",IFERROR(INDEX(Companies!$C$2:$C$1000,MATCH($A307,Companies!$B$2:$B$1000,0)),""))</f>
        <v/>
      </c>
      <c r="C307" s="22" t="str">
        <f t="array" ref="C307">IF($A307="","",IFERROR(INDEX(Companies!$D$2:$D$1000,MATCH($A307,Companies!$B$2:$B$1000,0)),""))</f>
        <v/>
      </c>
      <c r="D307" s="24"/>
      <c r="E307" s="22"/>
      <c r="F307" s="24"/>
      <c r="G307" s="24" t="str">
        <f t="shared" si="1"/>
        <v/>
      </c>
      <c r="H307" s="22"/>
      <c r="I307" s="22"/>
      <c r="K307" s="1"/>
    </row>
    <row r="308" ht="15.0" customHeight="1">
      <c r="A308" s="22"/>
      <c r="B308" s="22" t="str">
        <f t="array" ref="B308">IF($A308="","",IFERROR(INDEX(Companies!$C$2:$C$1000,MATCH($A308,Companies!$B$2:$B$1000,0)),""))</f>
        <v/>
      </c>
      <c r="C308" s="22" t="str">
        <f t="array" ref="C308">IF($A308="","",IFERROR(INDEX(Companies!$D$2:$D$1000,MATCH($A308,Companies!$B$2:$B$1000,0)),""))</f>
        <v/>
      </c>
      <c r="D308" s="24"/>
      <c r="E308" s="22"/>
      <c r="F308" s="24"/>
      <c r="G308" s="24" t="str">
        <f t="shared" si="1"/>
        <v/>
      </c>
      <c r="H308" s="22"/>
      <c r="I308" s="22"/>
      <c r="K308" s="1"/>
    </row>
    <row r="309" ht="15.0" customHeight="1">
      <c r="A309" s="22"/>
      <c r="B309" s="22" t="str">
        <f t="array" ref="B309">IF($A309="","",IFERROR(INDEX(Companies!$C$2:$C$1000,MATCH($A309,Companies!$B$2:$B$1000,0)),""))</f>
        <v/>
      </c>
      <c r="C309" s="22" t="str">
        <f t="array" ref="C309">IF($A309="","",IFERROR(INDEX(Companies!$D$2:$D$1000,MATCH($A309,Companies!$B$2:$B$1000,0)),""))</f>
        <v/>
      </c>
      <c r="D309" s="24"/>
      <c r="E309" s="22"/>
      <c r="F309" s="24"/>
      <c r="G309" s="24" t="str">
        <f t="shared" si="1"/>
        <v/>
      </c>
      <c r="H309" s="22"/>
      <c r="I309" s="22"/>
      <c r="K309" s="1"/>
    </row>
    <row r="310" ht="15.0" customHeight="1">
      <c r="A310" s="22"/>
      <c r="B310" s="22" t="str">
        <f t="array" ref="B310">IF($A310="","",IFERROR(INDEX(Companies!$C$2:$C$1000,MATCH($A310,Companies!$B$2:$B$1000,0)),""))</f>
        <v/>
      </c>
      <c r="C310" s="22" t="str">
        <f t="array" ref="C310">IF($A310="","",IFERROR(INDEX(Companies!$D$2:$D$1000,MATCH($A310,Companies!$B$2:$B$1000,0)),""))</f>
        <v/>
      </c>
      <c r="D310" s="24"/>
      <c r="E310" s="22"/>
      <c r="F310" s="24"/>
      <c r="G310" s="24" t="str">
        <f t="shared" si="1"/>
        <v/>
      </c>
      <c r="H310" s="22"/>
      <c r="I310" s="22"/>
      <c r="K310" s="1"/>
    </row>
    <row r="311" ht="15.0" customHeight="1">
      <c r="A311" s="22"/>
      <c r="B311" s="22" t="str">
        <f t="array" ref="B311">IF($A311="","",IFERROR(INDEX(Companies!$C$2:$C$1000,MATCH($A311,Companies!$B$2:$B$1000,0)),""))</f>
        <v/>
      </c>
      <c r="C311" s="22" t="str">
        <f t="array" ref="C311">IF($A311="","",IFERROR(INDEX(Companies!$D$2:$D$1000,MATCH($A311,Companies!$B$2:$B$1000,0)),""))</f>
        <v/>
      </c>
      <c r="D311" s="24"/>
      <c r="E311" s="22"/>
      <c r="F311" s="24"/>
      <c r="G311" s="24" t="str">
        <f t="shared" si="1"/>
        <v/>
      </c>
      <c r="H311" s="22"/>
      <c r="I311" s="22"/>
      <c r="K311" s="1"/>
    </row>
    <row r="312" ht="15.0" customHeight="1">
      <c r="A312" s="22"/>
      <c r="B312" s="22" t="str">
        <f t="array" ref="B312">IF($A312="","",IFERROR(INDEX(Companies!$C$2:$C$1000,MATCH($A312,Companies!$B$2:$B$1000,0)),""))</f>
        <v/>
      </c>
      <c r="C312" s="22" t="str">
        <f t="array" ref="C312">IF($A312="","",IFERROR(INDEX(Companies!$D$2:$D$1000,MATCH($A312,Companies!$B$2:$B$1000,0)),""))</f>
        <v/>
      </c>
      <c r="D312" s="24"/>
      <c r="E312" s="22"/>
      <c r="F312" s="24"/>
      <c r="G312" s="24" t="str">
        <f t="shared" si="1"/>
        <v/>
      </c>
      <c r="H312" s="22"/>
      <c r="I312" s="22"/>
      <c r="K312" s="1"/>
    </row>
    <row r="313" ht="15.0" customHeight="1">
      <c r="A313" s="22"/>
      <c r="B313" s="22" t="str">
        <f t="array" ref="B313">IF($A313="","",IFERROR(INDEX(Companies!$C$2:$C$1000,MATCH($A313,Companies!$B$2:$B$1000,0)),""))</f>
        <v/>
      </c>
      <c r="C313" s="22" t="str">
        <f t="array" ref="C313">IF($A313="","",IFERROR(INDEX(Companies!$D$2:$D$1000,MATCH($A313,Companies!$B$2:$B$1000,0)),""))</f>
        <v/>
      </c>
      <c r="D313" s="24"/>
      <c r="E313" s="22"/>
      <c r="F313" s="24"/>
      <c r="G313" s="24" t="str">
        <f t="shared" si="1"/>
        <v/>
      </c>
      <c r="H313" s="22"/>
      <c r="I313" s="22"/>
      <c r="K313" s="1"/>
    </row>
    <row r="314" ht="15.0" customHeight="1">
      <c r="A314" s="22"/>
      <c r="B314" s="22" t="str">
        <f t="array" ref="B314">IF($A314="","",IFERROR(INDEX(Companies!$C$2:$C$1000,MATCH($A314,Companies!$B$2:$B$1000,0)),""))</f>
        <v/>
      </c>
      <c r="C314" s="22" t="str">
        <f t="array" ref="C314">IF($A314="","",IFERROR(INDEX(Companies!$D$2:$D$1000,MATCH($A314,Companies!$B$2:$B$1000,0)),""))</f>
        <v/>
      </c>
      <c r="D314" s="24"/>
      <c r="E314" s="22"/>
      <c r="F314" s="24"/>
      <c r="G314" s="24" t="str">
        <f t="shared" si="1"/>
        <v/>
      </c>
      <c r="H314" s="22"/>
      <c r="I314" s="22"/>
      <c r="K314" s="1"/>
    </row>
    <row r="315" ht="15.0" customHeight="1">
      <c r="A315" s="22"/>
      <c r="B315" s="22" t="str">
        <f t="array" ref="B315">IF($A315="","",IFERROR(INDEX(Companies!$C$2:$C$1000,MATCH($A315,Companies!$B$2:$B$1000,0)),""))</f>
        <v/>
      </c>
      <c r="C315" s="22" t="str">
        <f t="array" ref="C315">IF($A315="","",IFERROR(INDEX(Companies!$D$2:$D$1000,MATCH($A315,Companies!$B$2:$B$1000,0)),""))</f>
        <v/>
      </c>
      <c r="D315" s="24"/>
      <c r="E315" s="22"/>
      <c r="F315" s="24"/>
      <c r="G315" s="24" t="str">
        <f t="shared" si="1"/>
        <v/>
      </c>
      <c r="H315" s="22"/>
      <c r="I315" s="22"/>
      <c r="K315" s="1"/>
    </row>
    <row r="316" ht="15.0" customHeight="1">
      <c r="A316" s="22"/>
      <c r="B316" s="22" t="str">
        <f t="array" ref="B316">IF($A316="","",IFERROR(INDEX(Companies!$C$2:$C$1000,MATCH($A316,Companies!$B$2:$B$1000,0)),""))</f>
        <v/>
      </c>
      <c r="C316" s="22" t="str">
        <f t="array" ref="C316">IF($A316="","",IFERROR(INDEX(Companies!$D$2:$D$1000,MATCH($A316,Companies!$B$2:$B$1000,0)),""))</f>
        <v/>
      </c>
      <c r="D316" s="24"/>
      <c r="E316" s="22"/>
      <c r="F316" s="24"/>
      <c r="G316" s="24" t="str">
        <f t="shared" si="1"/>
        <v/>
      </c>
      <c r="H316" s="22"/>
      <c r="I316" s="22"/>
      <c r="K316" s="1"/>
    </row>
    <row r="317" ht="15.0" customHeight="1">
      <c r="A317" s="22"/>
      <c r="B317" s="22" t="str">
        <f t="array" ref="B317">IF($A317="","",IFERROR(INDEX(Companies!$C$2:$C$1000,MATCH($A317,Companies!$B$2:$B$1000,0)),""))</f>
        <v/>
      </c>
      <c r="C317" s="22" t="str">
        <f t="array" ref="C317">IF($A317="","",IFERROR(INDEX(Companies!$D$2:$D$1000,MATCH($A317,Companies!$B$2:$B$1000,0)),""))</f>
        <v/>
      </c>
      <c r="D317" s="24"/>
      <c r="E317" s="22"/>
      <c r="F317" s="24"/>
      <c r="G317" s="24" t="str">
        <f t="shared" si="1"/>
        <v/>
      </c>
      <c r="H317" s="22"/>
      <c r="I317" s="22"/>
      <c r="K317" s="1"/>
    </row>
    <row r="318" ht="15.0" customHeight="1">
      <c r="A318" s="22"/>
      <c r="B318" s="22" t="str">
        <f t="array" ref="B318">IF($A318="","",IFERROR(INDEX(Companies!$C$2:$C$1000,MATCH($A318,Companies!$B$2:$B$1000,0)),""))</f>
        <v/>
      </c>
      <c r="C318" s="22" t="str">
        <f t="array" ref="C318">IF($A318="","",IFERROR(INDEX(Companies!$D$2:$D$1000,MATCH($A318,Companies!$B$2:$B$1000,0)),""))</f>
        <v/>
      </c>
      <c r="D318" s="24"/>
      <c r="E318" s="22"/>
      <c r="F318" s="24"/>
      <c r="G318" s="24" t="str">
        <f t="shared" si="1"/>
        <v/>
      </c>
      <c r="H318" s="22"/>
      <c r="I318" s="22"/>
      <c r="K318" s="1"/>
    </row>
    <row r="319" ht="15.0" customHeight="1">
      <c r="A319" s="22"/>
      <c r="B319" s="22" t="str">
        <f t="array" ref="B319">IF($A319="","",IFERROR(INDEX(Companies!$C$2:$C$1000,MATCH($A319,Companies!$B$2:$B$1000,0)),""))</f>
        <v/>
      </c>
      <c r="C319" s="22" t="str">
        <f t="array" ref="C319">IF($A319="","",IFERROR(INDEX(Companies!$D$2:$D$1000,MATCH($A319,Companies!$B$2:$B$1000,0)),""))</f>
        <v/>
      </c>
      <c r="D319" s="24"/>
      <c r="E319" s="22"/>
      <c r="F319" s="24"/>
      <c r="G319" s="24" t="str">
        <f t="shared" si="1"/>
        <v/>
      </c>
      <c r="H319" s="22"/>
      <c r="I319" s="22"/>
      <c r="K319" s="1"/>
    </row>
    <row r="320" ht="15.0" customHeight="1">
      <c r="A320" s="22"/>
      <c r="B320" s="22" t="str">
        <f t="array" ref="B320">IF($A320="","",IFERROR(INDEX(Companies!$C$2:$C$1000,MATCH($A320,Companies!$B$2:$B$1000,0)),""))</f>
        <v/>
      </c>
      <c r="C320" s="22" t="str">
        <f t="array" ref="C320">IF($A320="","",IFERROR(INDEX(Companies!$D$2:$D$1000,MATCH($A320,Companies!$B$2:$B$1000,0)),""))</f>
        <v/>
      </c>
      <c r="D320" s="24"/>
      <c r="E320" s="22"/>
      <c r="F320" s="24"/>
      <c r="G320" s="24" t="str">
        <f t="shared" si="1"/>
        <v/>
      </c>
      <c r="H320" s="22"/>
      <c r="I320" s="22"/>
      <c r="K320" s="1"/>
    </row>
    <row r="321" ht="15.0" customHeight="1">
      <c r="A321" s="22"/>
      <c r="B321" s="22" t="str">
        <f t="array" ref="B321">IF($A321="","",IFERROR(INDEX(Companies!$C$2:$C$1000,MATCH($A321,Companies!$B$2:$B$1000,0)),""))</f>
        <v/>
      </c>
      <c r="C321" s="22" t="str">
        <f t="array" ref="C321">IF($A321="","",IFERROR(INDEX(Companies!$D$2:$D$1000,MATCH($A321,Companies!$B$2:$B$1000,0)),""))</f>
        <v/>
      </c>
      <c r="D321" s="24"/>
      <c r="E321" s="22"/>
      <c r="F321" s="24"/>
      <c r="G321" s="24" t="str">
        <f t="shared" si="1"/>
        <v/>
      </c>
      <c r="H321" s="22"/>
      <c r="I321" s="22"/>
      <c r="K321" s="1"/>
    </row>
    <row r="322" ht="15.0" customHeight="1">
      <c r="A322" s="22"/>
      <c r="B322" s="22" t="str">
        <f t="array" ref="B322">IF($A322="","",IFERROR(INDEX(Companies!$C$2:$C$1000,MATCH($A322,Companies!$B$2:$B$1000,0)),""))</f>
        <v/>
      </c>
      <c r="C322" s="22" t="str">
        <f t="array" ref="C322">IF($A322="","",IFERROR(INDEX(Companies!$D$2:$D$1000,MATCH($A322,Companies!$B$2:$B$1000,0)),""))</f>
        <v/>
      </c>
      <c r="D322" s="24"/>
      <c r="E322" s="22"/>
      <c r="F322" s="24"/>
      <c r="G322" s="24" t="str">
        <f t="shared" si="1"/>
        <v/>
      </c>
      <c r="H322" s="22"/>
      <c r="I322" s="22"/>
      <c r="K322" s="1"/>
    </row>
    <row r="323" ht="15.0" customHeight="1">
      <c r="A323" s="22"/>
      <c r="B323" s="22" t="str">
        <f t="array" ref="B323">IF($A323="","",IFERROR(INDEX(Companies!$C$2:$C$1000,MATCH($A323,Companies!$B$2:$B$1000,0)),""))</f>
        <v/>
      </c>
      <c r="C323" s="22" t="str">
        <f t="array" ref="C323">IF($A323="","",IFERROR(INDEX(Companies!$D$2:$D$1000,MATCH($A323,Companies!$B$2:$B$1000,0)),""))</f>
        <v/>
      </c>
      <c r="D323" s="24"/>
      <c r="E323" s="22"/>
      <c r="F323" s="24"/>
      <c r="G323" s="24" t="str">
        <f t="shared" si="1"/>
        <v/>
      </c>
      <c r="H323" s="22"/>
      <c r="I323" s="22"/>
      <c r="K323" s="1"/>
    </row>
    <row r="324" ht="15.0" customHeight="1">
      <c r="A324" s="22"/>
      <c r="B324" s="22" t="str">
        <f t="array" ref="B324">IF($A324="","",IFERROR(INDEX(Companies!$C$2:$C$1000,MATCH($A324,Companies!$B$2:$B$1000,0)),""))</f>
        <v/>
      </c>
      <c r="C324" s="22" t="str">
        <f t="array" ref="C324">IF($A324="","",IFERROR(INDEX(Companies!$D$2:$D$1000,MATCH($A324,Companies!$B$2:$B$1000,0)),""))</f>
        <v/>
      </c>
      <c r="D324" s="24"/>
      <c r="E324" s="22"/>
      <c r="F324" s="24"/>
      <c r="G324" s="24" t="str">
        <f t="shared" si="1"/>
        <v/>
      </c>
      <c r="H324" s="22"/>
      <c r="I324" s="22"/>
      <c r="K324" s="1"/>
    </row>
    <row r="325" ht="15.0" customHeight="1">
      <c r="A325" s="22"/>
      <c r="B325" s="22" t="str">
        <f t="array" ref="B325">IF($A325="","",IFERROR(INDEX(Companies!$C$2:$C$1000,MATCH($A325,Companies!$B$2:$B$1000,0)),""))</f>
        <v/>
      </c>
      <c r="C325" s="22" t="str">
        <f t="array" ref="C325">IF($A325="","",IFERROR(INDEX(Companies!$D$2:$D$1000,MATCH($A325,Companies!$B$2:$B$1000,0)),""))</f>
        <v/>
      </c>
      <c r="D325" s="24"/>
      <c r="E325" s="22"/>
      <c r="F325" s="24"/>
      <c r="G325" s="24" t="str">
        <f t="shared" si="1"/>
        <v/>
      </c>
      <c r="H325" s="22"/>
      <c r="I325" s="22"/>
      <c r="K325" s="1"/>
    </row>
    <row r="326" ht="15.0" customHeight="1">
      <c r="A326" s="22"/>
      <c r="B326" s="22" t="str">
        <f t="array" ref="B326">IF($A326="","",IFERROR(INDEX(Companies!$C$2:$C$1000,MATCH($A326,Companies!$B$2:$B$1000,0)),""))</f>
        <v/>
      </c>
      <c r="C326" s="22" t="str">
        <f t="array" ref="C326">IF($A326="","",IFERROR(INDEX(Companies!$D$2:$D$1000,MATCH($A326,Companies!$B$2:$B$1000,0)),""))</f>
        <v/>
      </c>
      <c r="D326" s="24"/>
      <c r="E326" s="22"/>
      <c r="F326" s="24"/>
      <c r="G326" s="24" t="str">
        <f t="shared" si="1"/>
        <v/>
      </c>
      <c r="H326" s="22"/>
      <c r="I326" s="22"/>
      <c r="K326" s="1"/>
    </row>
    <row r="327" ht="15.0" customHeight="1">
      <c r="A327" s="22"/>
      <c r="B327" s="22" t="str">
        <f t="array" ref="B327">IF($A327="","",IFERROR(INDEX(Companies!$C$2:$C$1000,MATCH($A327,Companies!$B$2:$B$1000,0)),""))</f>
        <v/>
      </c>
      <c r="C327" s="22" t="str">
        <f t="array" ref="C327">IF($A327="","",IFERROR(INDEX(Companies!$D$2:$D$1000,MATCH($A327,Companies!$B$2:$B$1000,0)),""))</f>
        <v/>
      </c>
      <c r="D327" s="24"/>
      <c r="E327" s="22"/>
      <c r="F327" s="24"/>
      <c r="G327" s="24" t="str">
        <f t="shared" si="1"/>
        <v/>
      </c>
      <c r="H327" s="22"/>
      <c r="I327" s="22"/>
      <c r="K327" s="1"/>
    </row>
    <row r="328" ht="15.0" customHeight="1">
      <c r="A328" s="22"/>
      <c r="B328" s="22" t="str">
        <f t="array" ref="B328">IF($A328="","",IFERROR(INDEX(Companies!$C$2:$C$1000,MATCH($A328,Companies!$B$2:$B$1000,0)),""))</f>
        <v/>
      </c>
      <c r="C328" s="22" t="str">
        <f t="array" ref="C328">IF($A328="","",IFERROR(INDEX(Companies!$D$2:$D$1000,MATCH($A328,Companies!$B$2:$B$1000,0)),""))</f>
        <v/>
      </c>
      <c r="D328" s="24"/>
      <c r="E328" s="22"/>
      <c r="F328" s="24"/>
      <c r="G328" s="24" t="str">
        <f t="shared" si="1"/>
        <v/>
      </c>
      <c r="H328" s="22"/>
      <c r="I328" s="22"/>
      <c r="K328" s="1"/>
    </row>
    <row r="329" ht="15.0" customHeight="1">
      <c r="A329" s="22"/>
      <c r="B329" s="22" t="str">
        <f t="array" ref="B329">IF($A329="","",IFERROR(INDEX(Companies!$C$2:$C$1000,MATCH($A329,Companies!$B$2:$B$1000,0)),""))</f>
        <v/>
      </c>
      <c r="C329" s="22" t="str">
        <f t="array" ref="C329">IF($A329="","",IFERROR(INDEX(Companies!$D$2:$D$1000,MATCH($A329,Companies!$B$2:$B$1000,0)),""))</f>
        <v/>
      </c>
      <c r="D329" s="24"/>
      <c r="E329" s="22"/>
      <c r="F329" s="24"/>
      <c r="G329" s="24" t="str">
        <f t="shared" si="1"/>
        <v/>
      </c>
      <c r="H329" s="22"/>
      <c r="I329" s="22"/>
      <c r="K329" s="1"/>
    </row>
    <row r="330" ht="15.0" customHeight="1">
      <c r="A330" s="22"/>
      <c r="B330" s="22" t="str">
        <f t="array" ref="B330">IF($A330="","",IFERROR(INDEX(Companies!$C$2:$C$1000,MATCH($A330,Companies!$B$2:$B$1000,0)),""))</f>
        <v/>
      </c>
      <c r="C330" s="22" t="str">
        <f t="array" ref="C330">IF($A330="","",IFERROR(INDEX(Companies!$D$2:$D$1000,MATCH($A330,Companies!$B$2:$B$1000,0)),""))</f>
        <v/>
      </c>
      <c r="D330" s="24"/>
      <c r="E330" s="22"/>
      <c r="F330" s="24"/>
      <c r="G330" s="24" t="str">
        <f t="shared" si="1"/>
        <v/>
      </c>
      <c r="H330" s="22"/>
      <c r="I330" s="22"/>
      <c r="K330" s="1"/>
    </row>
    <row r="331" ht="15.0" customHeight="1">
      <c r="A331" s="22"/>
      <c r="B331" s="22" t="str">
        <f t="array" ref="B331">IF($A331="","",IFERROR(INDEX(Companies!$C$2:$C$1000,MATCH($A331,Companies!$B$2:$B$1000,0)),""))</f>
        <v/>
      </c>
      <c r="C331" s="22" t="str">
        <f t="array" ref="C331">IF($A331="","",IFERROR(INDEX(Companies!$D$2:$D$1000,MATCH($A331,Companies!$B$2:$B$1000,0)),""))</f>
        <v/>
      </c>
      <c r="D331" s="24"/>
      <c r="E331" s="22"/>
      <c r="F331" s="24"/>
      <c r="G331" s="24" t="str">
        <f t="shared" si="1"/>
        <v/>
      </c>
      <c r="H331" s="22"/>
      <c r="I331" s="22"/>
      <c r="K331" s="1"/>
    </row>
    <row r="332" ht="15.0" customHeight="1">
      <c r="A332" s="22"/>
      <c r="B332" s="22" t="str">
        <f t="array" ref="B332">IF($A332="","",IFERROR(INDEX(Companies!$C$2:$C$1000,MATCH($A332,Companies!$B$2:$B$1000,0)),""))</f>
        <v/>
      </c>
      <c r="C332" s="22" t="str">
        <f t="array" ref="C332">IF($A332="","",IFERROR(INDEX(Companies!$D$2:$D$1000,MATCH($A332,Companies!$B$2:$B$1000,0)),""))</f>
        <v/>
      </c>
      <c r="D332" s="24"/>
      <c r="E332" s="22"/>
      <c r="F332" s="24"/>
      <c r="G332" s="24" t="str">
        <f t="shared" si="1"/>
        <v/>
      </c>
      <c r="H332" s="22"/>
      <c r="I332" s="22"/>
      <c r="K332" s="1"/>
    </row>
    <row r="333" ht="15.0" customHeight="1">
      <c r="A333" s="22"/>
      <c r="B333" s="22" t="str">
        <f t="array" ref="B333">IF($A333="","",IFERROR(INDEX(Companies!$C$2:$C$1000,MATCH($A333,Companies!$B$2:$B$1000,0)),""))</f>
        <v/>
      </c>
      <c r="C333" s="22" t="str">
        <f t="array" ref="C333">IF($A333="","",IFERROR(INDEX(Companies!$D$2:$D$1000,MATCH($A333,Companies!$B$2:$B$1000,0)),""))</f>
        <v/>
      </c>
      <c r="D333" s="24"/>
      <c r="E333" s="22"/>
      <c r="F333" s="24"/>
      <c r="G333" s="24" t="str">
        <f t="shared" si="1"/>
        <v/>
      </c>
      <c r="H333" s="22"/>
      <c r="I333" s="22"/>
      <c r="K333" s="1"/>
    </row>
    <row r="334" ht="15.0" customHeight="1">
      <c r="A334" s="22"/>
      <c r="B334" s="22" t="str">
        <f t="array" ref="B334">IF($A334="","",IFERROR(INDEX(Companies!$C$2:$C$1000,MATCH($A334,Companies!$B$2:$B$1000,0)),""))</f>
        <v/>
      </c>
      <c r="C334" s="22" t="str">
        <f t="array" ref="C334">IF($A334="","",IFERROR(INDEX(Companies!$D$2:$D$1000,MATCH($A334,Companies!$B$2:$B$1000,0)),""))</f>
        <v/>
      </c>
      <c r="D334" s="24"/>
      <c r="E334" s="22"/>
      <c r="F334" s="24"/>
      <c r="G334" s="24" t="str">
        <f t="shared" si="1"/>
        <v/>
      </c>
      <c r="H334" s="22"/>
      <c r="I334" s="22"/>
      <c r="K334" s="1"/>
    </row>
    <row r="335" ht="15.0" customHeight="1">
      <c r="A335" s="22"/>
      <c r="B335" s="22" t="str">
        <f t="array" ref="B335">IF($A335="","",IFERROR(INDEX(Companies!$C$2:$C$1000,MATCH($A335,Companies!$B$2:$B$1000,0)),""))</f>
        <v/>
      </c>
      <c r="C335" s="22" t="str">
        <f t="array" ref="C335">IF($A335="","",IFERROR(INDEX(Companies!$D$2:$D$1000,MATCH($A335,Companies!$B$2:$B$1000,0)),""))</f>
        <v/>
      </c>
      <c r="D335" s="24"/>
      <c r="E335" s="22"/>
      <c r="F335" s="24"/>
      <c r="G335" s="24" t="str">
        <f t="shared" si="1"/>
        <v/>
      </c>
      <c r="H335" s="22"/>
      <c r="I335" s="22"/>
      <c r="K335" s="1"/>
    </row>
    <row r="336" ht="15.0" customHeight="1">
      <c r="A336" s="22"/>
      <c r="B336" s="22" t="str">
        <f t="array" ref="B336">IF($A336="","",IFERROR(INDEX(Companies!$C$2:$C$1000,MATCH($A336,Companies!$B$2:$B$1000,0)),""))</f>
        <v/>
      </c>
      <c r="C336" s="22" t="str">
        <f t="array" ref="C336">IF($A336="","",IFERROR(INDEX(Companies!$D$2:$D$1000,MATCH($A336,Companies!$B$2:$B$1000,0)),""))</f>
        <v/>
      </c>
      <c r="D336" s="24"/>
      <c r="E336" s="22"/>
      <c r="F336" s="24"/>
      <c r="G336" s="24" t="str">
        <f t="shared" si="1"/>
        <v/>
      </c>
      <c r="H336" s="22"/>
      <c r="I336" s="22"/>
      <c r="K336" s="1"/>
    </row>
    <row r="337" ht="15.0" customHeight="1">
      <c r="A337" s="22"/>
      <c r="B337" s="22" t="str">
        <f t="array" ref="B337">IF($A337="","",IFERROR(INDEX(Companies!$C$2:$C$1000,MATCH($A337,Companies!$B$2:$B$1000,0)),""))</f>
        <v/>
      </c>
      <c r="C337" s="22" t="str">
        <f t="array" ref="C337">IF($A337="","",IFERROR(INDEX(Companies!$D$2:$D$1000,MATCH($A337,Companies!$B$2:$B$1000,0)),""))</f>
        <v/>
      </c>
      <c r="D337" s="24"/>
      <c r="E337" s="22"/>
      <c r="F337" s="24"/>
      <c r="G337" s="24" t="str">
        <f t="shared" si="1"/>
        <v/>
      </c>
      <c r="H337" s="22"/>
      <c r="I337" s="22"/>
      <c r="K337" s="1"/>
    </row>
    <row r="338" ht="15.0" customHeight="1">
      <c r="A338" s="22"/>
      <c r="B338" s="22" t="str">
        <f t="array" ref="B338">IF($A338="","",IFERROR(INDEX(Companies!$C$2:$C$1000,MATCH($A338,Companies!$B$2:$B$1000,0)),""))</f>
        <v/>
      </c>
      <c r="C338" s="22" t="str">
        <f t="array" ref="C338">IF($A338="","",IFERROR(INDEX(Companies!$D$2:$D$1000,MATCH($A338,Companies!$B$2:$B$1000,0)),""))</f>
        <v/>
      </c>
      <c r="D338" s="24"/>
      <c r="E338" s="22"/>
      <c r="F338" s="24"/>
      <c r="G338" s="24" t="str">
        <f t="shared" si="1"/>
        <v/>
      </c>
      <c r="H338" s="22"/>
      <c r="I338" s="22"/>
      <c r="K338" s="1"/>
    </row>
    <row r="339" ht="15.0" customHeight="1">
      <c r="A339" s="22"/>
      <c r="B339" s="22" t="str">
        <f t="array" ref="B339">IF($A339="","",IFERROR(INDEX(Companies!$C$2:$C$1000,MATCH($A339,Companies!$B$2:$B$1000,0)),""))</f>
        <v/>
      </c>
      <c r="C339" s="22" t="str">
        <f t="array" ref="C339">IF($A339="","",IFERROR(INDEX(Companies!$D$2:$D$1000,MATCH($A339,Companies!$B$2:$B$1000,0)),""))</f>
        <v/>
      </c>
      <c r="D339" s="24"/>
      <c r="E339" s="22"/>
      <c r="F339" s="24"/>
      <c r="G339" s="24" t="str">
        <f t="shared" si="1"/>
        <v/>
      </c>
      <c r="H339" s="22"/>
      <c r="I339" s="22"/>
      <c r="K339" s="1"/>
    </row>
    <row r="340" ht="15.0" customHeight="1">
      <c r="A340" s="22"/>
      <c r="B340" s="22" t="str">
        <f t="array" ref="B340">IF($A340="","",IFERROR(INDEX(Companies!$C$2:$C$1000,MATCH($A340,Companies!$B$2:$B$1000,0)),""))</f>
        <v/>
      </c>
      <c r="C340" s="22" t="str">
        <f t="array" ref="C340">IF($A340="","",IFERROR(INDEX(Companies!$D$2:$D$1000,MATCH($A340,Companies!$B$2:$B$1000,0)),""))</f>
        <v/>
      </c>
      <c r="D340" s="24"/>
      <c r="E340" s="22"/>
      <c r="F340" s="24"/>
      <c r="G340" s="24" t="str">
        <f t="shared" si="1"/>
        <v/>
      </c>
      <c r="H340" s="22"/>
      <c r="I340" s="22"/>
      <c r="K340" s="1"/>
    </row>
    <row r="341" ht="15.0" customHeight="1">
      <c r="A341" s="22"/>
      <c r="B341" s="22" t="str">
        <f t="array" ref="B341">IF($A341="","",IFERROR(INDEX(Companies!$C$2:$C$1000,MATCH($A341,Companies!$B$2:$B$1000,0)),""))</f>
        <v/>
      </c>
      <c r="C341" s="22" t="str">
        <f t="array" ref="C341">IF($A341="","",IFERROR(INDEX(Companies!$D$2:$D$1000,MATCH($A341,Companies!$B$2:$B$1000,0)),""))</f>
        <v/>
      </c>
      <c r="D341" s="24"/>
      <c r="E341" s="22"/>
      <c r="F341" s="24"/>
      <c r="G341" s="24" t="str">
        <f t="shared" si="1"/>
        <v/>
      </c>
      <c r="H341" s="22"/>
      <c r="I341" s="22"/>
      <c r="K341" s="1"/>
    </row>
    <row r="342" ht="15.0" customHeight="1">
      <c r="A342" s="22"/>
      <c r="B342" s="22" t="str">
        <f t="array" ref="B342">IF($A342="","",IFERROR(INDEX(Companies!$C$2:$C$1000,MATCH($A342,Companies!$B$2:$B$1000,0)),""))</f>
        <v/>
      </c>
      <c r="C342" s="22" t="str">
        <f t="array" ref="C342">IF($A342="","",IFERROR(INDEX(Companies!$D$2:$D$1000,MATCH($A342,Companies!$B$2:$B$1000,0)),""))</f>
        <v/>
      </c>
      <c r="D342" s="24"/>
      <c r="E342" s="22"/>
      <c r="F342" s="24"/>
      <c r="G342" s="24" t="str">
        <f t="shared" si="1"/>
        <v/>
      </c>
      <c r="H342" s="22"/>
      <c r="I342" s="22"/>
      <c r="K342" s="1"/>
    </row>
    <row r="343" ht="15.0" customHeight="1">
      <c r="A343" s="22"/>
      <c r="B343" s="22" t="str">
        <f t="array" ref="B343">IF($A343="","",IFERROR(INDEX(Companies!$C$2:$C$1000,MATCH($A343,Companies!$B$2:$B$1000,0)),""))</f>
        <v/>
      </c>
      <c r="C343" s="22" t="str">
        <f t="array" ref="C343">IF($A343="","",IFERROR(INDEX(Companies!$D$2:$D$1000,MATCH($A343,Companies!$B$2:$B$1000,0)),""))</f>
        <v/>
      </c>
      <c r="D343" s="24"/>
      <c r="E343" s="22"/>
      <c r="F343" s="24"/>
      <c r="G343" s="24" t="str">
        <f t="shared" si="1"/>
        <v/>
      </c>
      <c r="H343" s="22"/>
      <c r="I343" s="22"/>
      <c r="K343" s="1"/>
    </row>
    <row r="344" ht="15.0" customHeight="1">
      <c r="A344" s="22"/>
      <c r="B344" s="22" t="str">
        <f t="array" ref="B344">IF($A344="","",IFERROR(INDEX(Companies!$C$2:$C$1000,MATCH($A344,Companies!$B$2:$B$1000,0)),""))</f>
        <v/>
      </c>
      <c r="C344" s="22" t="str">
        <f t="array" ref="C344">IF($A344="","",IFERROR(INDEX(Companies!$D$2:$D$1000,MATCH($A344,Companies!$B$2:$B$1000,0)),""))</f>
        <v/>
      </c>
      <c r="D344" s="24"/>
      <c r="E344" s="22"/>
      <c r="F344" s="24"/>
      <c r="G344" s="24" t="str">
        <f t="shared" si="1"/>
        <v/>
      </c>
      <c r="H344" s="22"/>
      <c r="I344" s="22"/>
      <c r="K344" s="1"/>
    </row>
    <row r="345" ht="15.0" customHeight="1">
      <c r="A345" s="22"/>
      <c r="B345" s="22" t="str">
        <f t="array" ref="B345">IF($A345="","",IFERROR(INDEX(Companies!$C$2:$C$1000,MATCH($A345,Companies!$B$2:$B$1000,0)),""))</f>
        <v/>
      </c>
      <c r="C345" s="22" t="str">
        <f t="array" ref="C345">IF($A345="","",IFERROR(INDEX(Companies!$D$2:$D$1000,MATCH($A345,Companies!$B$2:$B$1000,0)),""))</f>
        <v/>
      </c>
      <c r="D345" s="24"/>
      <c r="E345" s="22"/>
      <c r="F345" s="24"/>
      <c r="G345" s="24" t="str">
        <f t="shared" si="1"/>
        <v/>
      </c>
      <c r="H345" s="22"/>
      <c r="I345" s="22"/>
      <c r="K345" s="1"/>
    </row>
    <row r="346" ht="15.0" customHeight="1">
      <c r="A346" s="22"/>
      <c r="B346" s="22" t="str">
        <f t="array" ref="B346">IF($A346="","",IFERROR(INDEX(Companies!$C$2:$C$1000,MATCH($A346,Companies!$B$2:$B$1000,0)),""))</f>
        <v/>
      </c>
      <c r="C346" s="22" t="str">
        <f t="array" ref="C346">IF($A346="","",IFERROR(INDEX(Companies!$D$2:$D$1000,MATCH($A346,Companies!$B$2:$B$1000,0)),""))</f>
        <v/>
      </c>
      <c r="D346" s="24"/>
      <c r="E346" s="22"/>
      <c r="F346" s="24"/>
      <c r="G346" s="24" t="str">
        <f t="shared" si="1"/>
        <v/>
      </c>
      <c r="H346" s="22"/>
      <c r="I346" s="22"/>
      <c r="K346" s="1"/>
    </row>
    <row r="347" ht="15.0" customHeight="1">
      <c r="A347" s="22"/>
      <c r="B347" s="22" t="str">
        <f t="array" ref="B347">IF($A347="","",IFERROR(INDEX(Companies!$C$2:$C$1000,MATCH($A347,Companies!$B$2:$B$1000,0)),""))</f>
        <v/>
      </c>
      <c r="C347" s="22" t="str">
        <f t="array" ref="C347">IF($A347="","",IFERROR(INDEX(Companies!$D$2:$D$1000,MATCH($A347,Companies!$B$2:$B$1000,0)),""))</f>
        <v/>
      </c>
      <c r="D347" s="24"/>
      <c r="E347" s="22"/>
      <c r="F347" s="24"/>
      <c r="G347" s="24" t="str">
        <f t="shared" si="1"/>
        <v/>
      </c>
      <c r="H347" s="22"/>
      <c r="I347" s="22"/>
      <c r="K347" s="1"/>
    </row>
    <row r="348" ht="15.0" customHeight="1">
      <c r="A348" s="22"/>
      <c r="B348" s="22" t="str">
        <f t="array" ref="B348">IF($A348="","",IFERROR(INDEX(Companies!$C$2:$C$1000,MATCH($A348,Companies!$B$2:$B$1000,0)),""))</f>
        <v/>
      </c>
      <c r="C348" s="22" t="str">
        <f t="array" ref="C348">IF($A348="","",IFERROR(INDEX(Companies!$D$2:$D$1000,MATCH($A348,Companies!$B$2:$B$1000,0)),""))</f>
        <v/>
      </c>
      <c r="D348" s="24"/>
      <c r="E348" s="22"/>
      <c r="F348" s="24"/>
      <c r="G348" s="24" t="str">
        <f t="shared" si="1"/>
        <v/>
      </c>
      <c r="H348" s="22"/>
      <c r="I348" s="22"/>
      <c r="K348" s="1"/>
    </row>
    <row r="349" ht="15.0" customHeight="1">
      <c r="A349" s="22"/>
      <c r="B349" s="22" t="str">
        <f t="array" ref="B349">IF($A349="","",IFERROR(INDEX(Companies!$C$2:$C$1000,MATCH($A349,Companies!$B$2:$B$1000,0)),""))</f>
        <v/>
      </c>
      <c r="C349" s="22" t="str">
        <f t="array" ref="C349">IF($A349="","",IFERROR(INDEX(Companies!$D$2:$D$1000,MATCH($A349,Companies!$B$2:$B$1000,0)),""))</f>
        <v/>
      </c>
      <c r="D349" s="24"/>
      <c r="E349" s="22"/>
      <c r="F349" s="24"/>
      <c r="G349" s="24" t="str">
        <f t="shared" si="1"/>
        <v/>
      </c>
      <c r="H349" s="22"/>
      <c r="I349" s="22"/>
      <c r="K349" s="1"/>
    </row>
    <row r="350" ht="15.0" customHeight="1">
      <c r="A350" s="22"/>
      <c r="B350" s="22" t="str">
        <f t="array" ref="B350">IF($A350="","",IFERROR(INDEX(Companies!$C$2:$C$1000,MATCH($A350,Companies!$B$2:$B$1000,0)),""))</f>
        <v/>
      </c>
      <c r="C350" s="22" t="str">
        <f t="array" ref="C350">IF($A350="","",IFERROR(INDEX(Companies!$D$2:$D$1000,MATCH($A350,Companies!$B$2:$B$1000,0)),""))</f>
        <v/>
      </c>
      <c r="D350" s="24"/>
      <c r="E350" s="22"/>
      <c r="F350" s="24"/>
      <c r="G350" s="24" t="str">
        <f t="shared" si="1"/>
        <v/>
      </c>
      <c r="H350" s="22"/>
      <c r="I350" s="22"/>
      <c r="K350" s="1"/>
    </row>
    <row r="351" ht="15.0" customHeight="1">
      <c r="A351" s="22"/>
      <c r="B351" s="22" t="str">
        <f t="array" ref="B351">IF($A351="","",IFERROR(INDEX(Companies!$C$2:$C$1000,MATCH($A351,Companies!$B$2:$B$1000,0)),""))</f>
        <v/>
      </c>
      <c r="C351" s="22" t="str">
        <f t="array" ref="C351">IF($A351="","",IFERROR(INDEX(Companies!$D$2:$D$1000,MATCH($A351,Companies!$B$2:$B$1000,0)),""))</f>
        <v/>
      </c>
      <c r="D351" s="24"/>
      <c r="E351" s="22"/>
      <c r="F351" s="24"/>
      <c r="G351" s="24" t="str">
        <f t="shared" si="1"/>
        <v/>
      </c>
      <c r="H351" s="22"/>
      <c r="I351" s="22"/>
      <c r="K351" s="1"/>
    </row>
    <row r="352" ht="15.0" customHeight="1">
      <c r="A352" s="22"/>
      <c r="B352" s="22" t="str">
        <f t="array" ref="B352">IF($A352="","",IFERROR(INDEX(Companies!$C$2:$C$1000,MATCH($A352,Companies!$B$2:$B$1000,0)),""))</f>
        <v/>
      </c>
      <c r="C352" s="22" t="str">
        <f t="array" ref="C352">IF($A352="","",IFERROR(INDEX(Companies!$D$2:$D$1000,MATCH($A352,Companies!$B$2:$B$1000,0)),""))</f>
        <v/>
      </c>
      <c r="D352" s="24"/>
      <c r="E352" s="22"/>
      <c r="F352" s="24"/>
      <c r="G352" s="24" t="str">
        <f t="shared" si="1"/>
        <v/>
      </c>
      <c r="H352" s="22"/>
      <c r="I352" s="22"/>
      <c r="K352" s="1"/>
    </row>
    <row r="353" ht="15.0" customHeight="1">
      <c r="A353" s="22"/>
      <c r="B353" s="22" t="str">
        <f t="array" ref="B353">IF($A353="","",IFERROR(INDEX(Companies!$C$2:$C$1000,MATCH($A353,Companies!$B$2:$B$1000,0)),""))</f>
        <v/>
      </c>
      <c r="C353" s="22" t="str">
        <f t="array" ref="C353">IF($A353="","",IFERROR(INDEX(Companies!$D$2:$D$1000,MATCH($A353,Companies!$B$2:$B$1000,0)),""))</f>
        <v/>
      </c>
      <c r="D353" s="24"/>
      <c r="E353" s="22"/>
      <c r="F353" s="24"/>
      <c r="G353" s="24" t="str">
        <f t="shared" si="1"/>
        <v/>
      </c>
      <c r="H353" s="22"/>
      <c r="I353" s="22"/>
      <c r="K353" s="1"/>
    </row>
    <row r="354" ht="15.0" customHeight="1">
      <c r="A354" s="22"/>
      <c r="B354" s="22" t="str">
        <f t="array" ref="B354">IF($A354="","",IFERROR(INDEX(Companies!$C$2:$C$1000,MATCH($A354,Companies!$B$2:$B$1000,0)),""))</f>
        <v/>
      </c>
      <c r="C354" s="22" t="str">
        <f t="array" ref="C354">IF($A354="","",IFERROR(INDEX(Companies!$D$2:$D$1000,MATCH($A354,Companies!$B$2:$B$1000,0)),""))</f>
        <v/>
      </c>
      <c r="D354" s="24"/>
      <c r="E354" s="22"/>
      <c r="F354" s="24"/>
      <c r="G354" s="24" t="str">
        <f t="shared" si="1"/>
        <v/>
      </c>
      <c r="H354" s="22"/>
      <c r="I354" s="22"/>
      <c r="K354" s="1"/>
    </row>
    <row r="355" ht="15.0" customHeight="1">
      <c r="A355" s="22"/>
      <c r="B355" s="22" t="str">
        <f t="array" ref="B355">IF($A355="","",IFERROR(INDEX(Companies!$C$2:$C$1000,MATCH($A355,Companies!$B$2:$B$1000,0)),""))</f>
        <v/>
      </c>
      <c r="C355" s="22" t="str">
        <f t="array" ref="C355">IF($A355="","",IFERROR(INDEX(Companies!$D$2:$D$1000,MATCH($A355,Companies!$B$2:$B$1000,0)),""))</f>
        <v/>
      </c>
      <c r="D355" s="24"/>
      <c r="E355" s="22"/>
      <c r="F355" s="24"/>
      <c r="G355" s="24" t="str">
        <f t="shared" si="1"/>
        <v/>
      </c>
      <c r="H355" s="22"/>
      <c r="I355" s="22"/>
      <c r="K355" s="1"/>
    </row>
    <row r="356" ht="15.0" customHeight="1">
      <c r="A356" s="22"/>
      <c r="B356" s="22" t="str">
        <f t="array" ref="B356">IF($A356="","",IFERROR(INDEX(Companies!$C$2:$C$1000,MATCH($A356,Companies!$B$2:$B$1000,0)),""))</f>
        <v/>
      </c>
      <c r="C356" s="22" t="str">
        <f t="array" ref="C356">IF($A356="","",IFERROR(INDEX(Companies!$D$2:$D$1000,MATCH($A356,Companies!$B$2:$B$1000,0)),""))</f>
        <v/>
      </c>
      <c r="D356" s="24"/>
      <c r="E356" s="22"/>
      <c r="F356" s="24"/>
      <c r="G356" s="24" t="str">
        <f t="shared" si="1"/>
        <v/>
      </c>
      <c r="H356" s="22"/>
      <c r="I356" s="22"/>
      <c r="K356" s="1"/>
    </row>
    <row r="357" ht="15.0" customHeight="1">
      <c r="A357" s="22"/>
      <c r="B357" s="22" t="str">
        <f t="array" ref="B357">IF($A357="","",IFERROR(INDEX(Companies!$C$2:$C$1000,MATCH($A357,Companies!$B$2:$B$1000,0)),""))</f>
        <v/>
      </c>
      <c r="C357" s="22" t="str">
        <f t="array" ref="C357">IF($A357="","",IFERROR(INDEX(Companies!$D$2:$D$1000,MATCH($A357,Companies!$B$2:$B$1000,0)),""))</f>
        <v/>
      </c>
      <c r="D357" s="24"/>
      <c r="E357" s="22"/>
      <c r="F357" s="24"/>
      <c r="G357" s="24" t="str">
        <f t="shared" si="1"/>
        <v/>
      </c>
      <c r="H357" s="22"/>
      <c r="I357" s="22"/>
      <c r="K357" s="1"/>
    </row>
    <row r="358" ht="15.0" customHeight="1">
      <c r="A358" s="22"/>
      <c r="B358" s="22" t="str">
        <f t="array" ref="B358">IF($A358="","",IFERROR(INDEX(Companies!$C$2:$C$1000,MATCH($A358,Companies!$B$2:$B$1000,0)),""))</f>
        <v/>
      </c>
      <c r="C358" s="22" t="str">
        <f t="array" ref="C358">IF($A358="","",IFERROR(INDEX(Companies!$D$2:$D$1000,MATCH($A358,Companies!$B$2:$B$1000,0)),""))</f>
        <v/>
      </c>
      <c r="D358" s="24"/>
      <c r="E358" s="22"/>
      <c r="F358" s="24"/>
      <c r="G358" s="24" t="str">
        <f t="shared" si="1"/>
        <v/>
      </c>
      <c r="H358" s="22"/>
      <c r="I358" s="22"/>
      <c r="K358" s="1"/>
    </row>
    <row r="359" ht="15.0" customHeight="1">
      <c r="A359" s="22"/>
      <c r="B359" s="22" t="str">
        <f t="array" ref="B359">IF($A359="","",IFERROR(INDEX(Companies!$C$2:$C$1000,MATCH($A359,Companies!$B$2:$B$1000,0)),""))</f>
        <v/>
      </c>
      <c r="C359" s="22" t="str">
        <f t="array" ref="C359">IF($A359="","",IFERROR(INDEX(Companies!$D$2:$D$1000,MATCH($A359,Companies!$B$2:$B$1000,0)),""))</f>
        <v/>
      </c>
      <c r="D359" s="24"/>
      <c r="E359" s="22"/>
      <c r="F359" s="24"/>
      <c r="G359" s="24" t="str">
        <f t="shared" si="1"/>
        <v/>
      </c>
      <c r="H359" s="22"/>
      <c r="I359" s="22"/>
      <c r="K359" s="1"/>
    </row>
    <row r="360" ht="15.0" customHeight="1">
      <c r="A360" s="22"/>
      <c r="B360" s="22" t="str">
        <f t="array" ref="B360">IF($A360="","",IFERROR(INDEX(Companies!$C$2:$C$1000,MATCH($A360,Companies!$B$2:$B$1000,0)),""))</f>
        <v/>
      </c>
      <c r="C360" s="22" t="str">
        <f t="array" ref="C360">IF($A360="","",IFERROR(INDEX(Companies!$D$2:$D$1000,MATCH($A360,Companies!$B$2:$B$1000,0)),""))</f>
        <v/>
      </c>
      <c r="D360" s="24"/>
      <c r="E360" s="22"/>
      <c r="F360" s="24"/>
      <c r="G360" s="24" t="str">
        <f t="shared" si="1"/>
        <v/>
      </c>
      <c r="H360" s="22"/>
      <c r="I360" s="22"/>
      <c r="K360" s="1"/>
    </row>
    <row r="361" ht="15.0" customHeight="1">
      <c r="A361" s="22"/>
      <c r="B361" s="22" t="str">
        <f t="array" ref="B361">IF($A361="","",IFERROR(INDEX(Companies!$C$2:$C$1000,MATCH($A361,Companies!$B$2:$B$1000,0)),""))</f>
        <v/>
      </c>
      <c r="C361" s="22" t="str">
        <f t="array" ref="C361">IF($A361="","",IFERROR(INDEX(Companies!$D$2:$D$1000,MATCH($A361,Companies!$B$2:$B$1000,0)),""))</f>
        <v/>
      </c>
      <c r="D361" s="24"/>
      <c r="E361" s="22"/>
      <c r="F361" s="24"/>
      <c r="G361" s="24" t="str">
        <f t="shared" si="1"/>
        <v/>
      </c>
      <c r="H361" s="22"/>
      <c r="I361" s="22"/>
      <c r="K361" s="1"/>
    </row>
    <row r="362" ht="15.0" customHeight="1">
      <c r="A362" s="22"/>
      <c r="B362" s="22" t="str">
        <f t="array" ref="B362">IF($A362="","",IFERROR(INDEX(Companies!$C$2:$C$1000,MATCH($A362,Companies!$B$2:$B$1000,0)),""))</f>
        <v/>
      </c>
      <c r="C362" s="22" t="str">
        <f t="array" ref="C362">IF($A362="","",IFERROR(INDEX(Companies!$D$2:$D$1000,MATCH($A362,Companies!$B$2:$B$1000,0)),""))</f>
        <v/>
      </c>
      <c r="D362" s="24"/>
      <c r="E362" s="22"/>
      <c r="F362" s="24"/>
      <c r="G362" s="24" t="str">
        <f t="shared" si="1"/>
        <v/>
      </c>
      <c r="H362" s="22"/>
      <c r="I362" s="22"/>
      <c r="K362" s="1"/>
    </row>
    <row r="363" ht="15.0" customHeight="1">
      <c r="A363" s="22"/>
      <c r="B363" s="22" t="str">
        <f t="array" ref="B363">IF($A363="","",IFERROR(INDEX(Companies!$C$2:$C$1000,MATCH($A363,Companies!$B$2:$B$1000,0)),""))</f>
        <v/>
      </c>
      <c r="C363" s="22" t="str">
        <f t="array" ref="C363">IF($A363="","",IFERROR(INDEX(Companies!$D$2:$D$1000,MATCH($A363,Companies!$B$2:$B$1000,0)),""))</f>
        <v/>
      </c>
      <c r="D363" s="24"/>
      <c r="E363" s="22"/>
      <c r="F363" s="24"/>
      <c r="G363" s="24" t="str">
        <f t="shared" si="1"/>
        <v/>
      </c>
      <c r="H363" s="22"/>
      <c r="I363" s="22"/>
      <c r="K363" s="1"/>
    </row>
    <row r="364" ht="15.0" customHeight="1">
      <c r="A364" s="22"/>
      <c r="B364" s="22" t="str">
        <f t="array" ref="B364">IF($A364="","",IFERROR(INDEX(Companies!$C$2:$C$1000,MATCH($A364,Companies!$B$2:$B$1000,0)),""))</f>
        <v/>
      </c>
      <c r="C364" s="22" t="str">
        <f t="array" ref="C364">IF($A364="","",IFERROR(INDEX(Companies!$D$2:$D$1000,MATCH($A364,Companies!$B$2:$B$1000,0)),""))</f>
        <v/>
      </c>
      <c r="D364" s="24"/>
      <c r="E364" s="22"/>
      <c r="F364" s="24"/>
      <c r="G364" s="24" t="str">
        <f t="shared" si="1"/>
        <v/>
      </c>
      <c r="H364" s="22"/>
      <c r="I364" s="22"/>
      <c r="K364" s="1"/>
    </row>
    <row r="365" ht="15.0" customHeight="1">
      <c r="A365" s="22"/>
      <c r="B365" s="22" t="str">
        <f t="array" ref="B365">IF($A365="","",IFERROR(INDEX(Companies!$C$2:$C$1000,MATCH($A365,Companies!$B$2:$B$1000,0)),""))</f>
        <v/>
      </c>
      <c r="C365" s="22" t="str">
        <f t="array" ref="C365">IF($A365="","",IFERROR(INDEX(Companies!$D$2:$D$1000,MATCH($A365,Companies!$B$2:$B$1000,0)),""))</f>
        <v/>
      </c>
      <c r="D365" s="24"/>
      <c r="E365" s="22"/>
      <c r="F365" s="24"/>
      <c r="G365" s="24" t="str">
        <f t="shared" si="1"/>
        <v/>
      </c>
      <c r="H365" s="22"/>
      <c r="I365" s="22"/>
      <c r="K365" s="1"/>
    </row>
    <row r="366" ht="15.0" customHeight="1">
      <c r="A366" s="22"/>
      <c r="B366" s="22" t="str">
        <f t="array" ref="B366">IF($A366="","",IFERROR(INDEX(Companies!$C$2:$C$1000,MATCH($A366,Companies!$B$2:$B$1000,0)),""))</f>
        <v/>
      </c>
      <c r="C366" s="22" t="str">
        <f t="array" ref="C366">IF($A366="","",IFERROR(INDEX(Companies!$D$2:$D$1000,MATCH($A366,Companies!$B$2:$B$1000,0)),""))</f>
        <v/>
      </c>
      <c r="D366" s="24"/>
      <c r="E366" s="22"/>
      <c r="F366" s="24"/>
      <c r="G366" s="24" t="str">
        <f t="shared" si="1"/>
        <v/>
      </c>
      <c r="H366" s="22"/>
      <c r="I366" s="22"/>
      <c r="K366" s="1"/>
    </row>
    <row r="367" ht="15.0" customHeight="1">
      <c r="A367" s="22"/>
      <c r="B367" s="22" t="str">
        <f t="array" ref="B367">IF($A367="","",IFERROR(INDEX(Companies!$C$2:$C$1000,MATCH($A367,Companies!$B$2:$B$1000,0)),""))</f>
        <v/>
      </c>
      <c r="C367" s="22" t="str">
        <f t="array" ref="C367">IF($A367="","",IFERROR(INDEX(Companies!$D$2:$D$1000,MATCH($A367,Companies!$B$2:$B$1000,0)),""))</f>
        <v/>
      </c>
      <c r="D367" s="24"/>
      <c r="E367" s="22"/>
      <c r="F367" s="24"/>
      <c r="G367" s="24" t="str">
        <f t="shared" si="1"/>
        <v/>
      </c>
      <c r="H367" s="22"/>
      <c r="I367" s="22"/>
      <c r="K367" s="1"/>
    </row>
    <row r="368" ht="15.0" customHeight="1">
      <c r="A368" s="22"/>
      <c r="B368" s="22" t="str">
        <f t="array" ref="B368">IF($A368="","",IFERROR(INDEX(Companies!$C$2:$C$1000,MATCH($A368,Companies!$B$2:$B$1000,0)),""))</f>
        <v/>
      </c>
      <c r="C368" s="22" t="str">
        <f t="array" ref="C368">IF($A368="","",IFERROR(INDEX(Companies!$D$2:$D$1000,MATCH($A368,Companies!$B$2:$B$1000,0)),""))</f>
        <v/>
      </c>
      <c r="D368" s="24"/>
      <c r="E368" s="22"/>
      <c r="F368" s="24"/>
      <c r="G368" s="24" t="str">
        <f t="shared" si="1"/>
        <v/>
      </c>
      <c r="H368" s="22"/>
      <c r="I368" s="22"/>
      <c r="K368" s="1"/>
    </row>
    <row r="369" ht="15.0" customHeight="1">
      <c r="A369" s="22"/>
      <c r="B369" s="22" t="str">
        <f t="array" ref="B369">IF($A369="","",IFERROR(INDEX(Companies!$C$2:$C$1000,MATCH($A369,Companies!$B$2:$B$1000,0)),""))</f>
        <v/>
      </c>
      <c r="C369" s="22" t="str">
        <f t="array" ref="C369">IF($A369="","",IFERROR(INDEX(Companies!$D$2:$D$1000,MATCH($A369,Companies!$B$2:$B$1000,0)),""))</f>
        <v/>
      </c>
      <c r="D369" s="24"/>
      <c r="E369" s="22"/>
      <c r="F369" s="24"/>
      <c r="G369" s="24" t="str">
        <f t="shared" si="1"/>
        <v/>
      </c>
      <c r="H369" s="22"/>
      <c r="I369" s="22"/>
      <c r="K369" s="1"/>
    </row>
    <row r="370" ht="15.0" customHeight="1">
      <c r="A370" s="22"/>
      <c r="B370" s="22" t="str">
        <f t="array" ref="B370">IF($A370="","",IFERROR(INDEX(Companies!$C$2:$C$1000,MATCH($A370,Companies!$B$2:$B$1000,0)),""))</f>
        <v/>
      </c>
      <c r="C370" s="22" t="str">
        <f t="array" ref="C370">IF($A370="","",IFERROR(INDEX(Companies!$D$2:$D$1000,MATCH($A370,Companies!$B$2:$B$1000,0)),""))</f>
        <v/>
      </c>
      <c r="D370" s="24"/>
      <c r="E370" s="22"/>
      <c r="F370" s="24"/>
      <c r="G370" s="24" t="str">
        <f t="shared" si="1"/>
        <v/>
      </c>
      <c r="H370" s="22"/>
      <c r="I370" s="22"/>
      <c r="K370" s="1"/>
    </row>
    <row r="371" ht="15.0" customHeight="1">
      <c r="A371" s="22"/>
      <c r="B371" s="22" t="str">
        <f t="array" ref="B371">IF($A371="","",IFERROR(INDEX(Companies!$C$2:$C$1000,MATCH($A371,Companies!$B$2:$B$1000,0)),""))</f>
        <v/>
      </c>
      <c r="C371" s="22" t="str">
        <f t="array" ref="C371">IF($A371="","",IFERROR(INDEX(Companies!$D$2:$D$1000,MATCH($A371,Companies!$B$2:$B$1000,0)),""))</f>
        <v/>
      </c>
      <c r="D371" s="24"/>
      <c r="E371" s="22"/>
      <c r="F371" s="24"/>
      <c r="G371" s="24" t="str">
        <f t="shared" si="1"/>
        <v/>
      </c>
      <c r="H371" s="22"/>
      <c r="I371" s="22"/>
      <c r="K371" s="1"/>
    </row>
    <row r="372" ht="15.0" customHeight="1">
      <c r="A372" s="22"/>
      <c r="B372" s="22" t="str">
        <f t="array" ref="B372">IF($A372="","",IFERROR(INDEX(Companies!$C$2:$C$1000,MATCH($A372,Companies!$B$2:$B$1000,0)),""))</f>
        <v/>
      </c>
      <c r="C372" s="22" t="str">
        <f t="array" ref="C372">IF($A372="","",IFERROR(INDEX(Companies!$D$2:$D$1000,MATCH($A372,Companies!$B$2:$B$1000,0)),""))</f>
        <v/>
      </c>
      <c r="D372" s="24"/>
      <c r="E372" s="22"/>
      <c r="F372" s="24"/>
      <c r="G372" s="24" t="str">
        <f t="shared" si="1"/>
        <v/>
      </c>
      <c r="H372" s="22"/>
      <c r="I372" s="22"/>
      <c r="K372" s="1"/>
    </row>
    <row r="373" ht="15.0" customHeight="1">
      <c r="A373" s="22"/>
      <c r="B373" s="22" t="str">
        <f t="array" ref="B373">IF($A373="","",IFERROR(INDEX(Companies!$C$2:$C$1000,MATCH($A373,Companies!$B$2:$B$1000,0)),""))</f>
        <v/>
      </c>
      <c r="C373" s="22" t="str">
        <f t="array" ref="C373">IF($A373="","",IFERROR(INDEX(Companies!$D$2:$D$1000,MATCH($A373,Companies!$B$2:$B$1000,0)),""))</f>
        <v/>
      </c>
      <c r="D373" s="24"/>
      <c r="E373" s="22"/>
      <c r="F373" s="24"/>
      <c r="G373" s="24" t="str">
        <f t="shared" si="1"/>
        <v/>
      </c>
      <c r="H373" s="22"/>
      <c r="I373" s="22"/>
      <c r="K373" s="1"/>
    </row>
    <row r="374" ht="15.0" customHeight="1">
      <c r="A374" s="22"/>
      <c r="B374" s="22" t="str">
        <f t="array" ref="B374">IF($A374="","",IFERROR(INDEX(Companies!$C$2:$C$1000,MATCH($A374,Companies!$B$2:$B$1000,0)),""))</f>
        <v/>
      </c>
      <c r="C374" s="22" t="str">
        <f t="array" ref="C374">IF($A374="","",IFERROR(INDEX(Companies!$D$2:$D$1000,MATCH($A374,Companies!$B$2:$B$1000,0)),""))</f>
        <v/>
      </c>
      <c r="D374" s="24"/>
      <c r="E374" s="22"/>
      <c r="F374" s="24"/>
      <c r="G374" s="24" t="str">
        <f t="shared" si="1"/>
        <v/>
      </c>
      <c r="H374" s="22"/>
      <c r="I374" s="22"/>
      <c r="K374" s="1"/>
    </row>
    <row r="375" ht="15.0" customHeight="1">
      <c r="A375" s="22"/>
      <c r="B375" s="22" t="str">
        <f t="array" ref="B375">IF($A375="","",IFERROR(INDEX(Companies!$C$2:$C$1000,MATCH($A375,Companies!$B$2:$B$1000,0)),""))</f>
        <v/>
      </c>
      <c r="C375" s="22" t="str">
        <f t="array" ref="C375">IF($A375="","",IFERROR(INDEX(Companies!$D$2:$D$1000,MATCH($A375,Companies!$B$2:$B$1000,0)),""))</f>
        <v/>
      </c>
      <c r="D375" s="24"/>
      <c r="E375" s="22"/>
      <c r="F375" s="24"/>
      <c r="G375" s="24" t="str">
        <f t="shared" si="1"/>
        <v/>
      </c>
      <c r="H375" s="22"/>
      <c r="I375" s="22"/>
      <c r="K375" s="1"/>
    </row>
    <row r="376" ht="15.0" customHeight="1">
      <c r="A376" s="22"/>
      <c r="B376" s="22" t="str">
        <f t="array" ref="B376">IF($A376="","",IFERROR(INDEX(Companies!$C$2:$C$1000,MATCH($A376,Companies!$B$2:$B$1000,0)),""))</f>
        <v/>
      </c>
      <c r="C376" s="22" t="str">
        <f t="array" ref="C376">IF($A376="","",IFERROR(INDEX(Companies!$D$2:$D$1000,MATCH($A376,Companies!$B$2:$B$1000,0)),""))</f>
        <v/>
      </c>
      <c r="D376" s="24"/>
      <c r="E376" s="22"/>
      <c r="F376" s="24"/>
      <c r="G376" s="24" t="str">
        <f t="shared" si="1"/>
        <v/>
      </c>
      <c r="H376" s="22"/>
      <c r="I376" s="22"/>
      <c r="K376" s="1"/>
    </row>
    <row r="377" ht="15.0" customHeight="1">
      <c r="A377" s="22"/>
      <c r="B377" s="22" t="str">
        <f t="array" ref="B377">IF($A377="","",IFERROR(INDEX(Companies!$C$2:$C$1000,MATCH($A377,Companies!$B$2:$B$1000,0)),""))</f>
        <v/>
      </c>
      <c r="C377" s="22" t="str">
        <f t="array" ref="C377">IF($A377="","",IFERROR(INDEX(Companies!$D$2:$D$1000,MATCH($A377,Companies!$B$2:$B$1000,0)),""))</f>
        <v/>
      </c>
      <c r="D377" s="24"/>
      <c r="E377" s="22"/>
      <c r="F377" s="24"/>
      <c r="G377" s="24" t="str">
        <f t="shared" si="1"/>
        <v/>
      </c>
      <c r="H377" s="22"/>
      <c r="I377" s="22"/>
      <c r="K377" s="1"/>
    </row>
    <row r="378" ht="15.0" customHeight="1">
      <c r="A378" s="22"/>
      <c r="B378" s="22" t="str">
        <f t="array" ref="B378">IF($A378="","",IFERROR(INDEX(Companies!$C$2:$C$1000,MATCH($A378,Companies!$B$2:$B$1000,0)),""))</f>
        <v/>
      </c>
      <c r="C378" s="22" t="str">
        <f t="array" ref="C378">IF($A378="","",IFERROR(INDEX(Companies!$D$2:$D$1000,MATCH($A378,Companies!$B$2:$B$1000,0)),""))</f>
        <v/>
      </c>
      <c r="D378" s="24"/>
      <c r="E378" s="22"/>
      <c r="F378" s="24"/>
      <c r="G378" s="24" t="str">
        <f t="shared" si="1"/>
        <v/>
      </c>
      <c r="H378" s="22"/>
      <c r="I378" s="22"/>
      <c r="K378" s="1"/>
    </row>
    <row r="379" ht="15.0" customHeight="1">
      <c r="A379" s="22"/>
      <c r="B379" s="22" t="str">
        <f t="array" ref="B379">IF($A379="","",IFERROR(INDEX(Companies!$C$2:$C$1000,MATCH($A379,Companies!$B$2:$B$1000,0)),""))</f>
        <v/>
      </c>
      <c r="C379" s="22" t="str">
        <f t="array" ref="C379">IF($A379="","",IFERROR(INDEX(Companies!$D$2:$D$1000,MATCH($A379,Companies!$B$2:$B$1000,0)),""))</f>
        <v/>
      </c>
      <c r="D379" s="24"/>
      <c r="E379" s="22"/>
      <c r="F379" s="24"/>
      <c r="G379" s="24" t="str">
        <f t="shared" si="1"/>
        <v/>
      </c>
      <c r="H379" s="22"/>
      <c r="I379" s="22"/>
      <c r="K379" s="1"/>
    </row>
    <row r="380" ht="15.0" customHeight="1">
      <c r="A380" s="22"/>
      <c r="B380" s="22" t="str">
        <f t="array" ref="B380">IF($A380="","",IFERROR(INDEX(Companies!$C$2:$C$1000,MATCH($A380,Companies!$B$2:$B$1000,0)),""))</f>
        <v/>
      </c>
      <c r="C380" s="22" t="str">
        <f t="array" ref="C380">IF($A380="","",IFERROR(INDEX(Companies!$D$2:$D$1000,MATCH($A380,Companies!$B$2:$B$1000,0)),""))</f>
        <v/>
      </c>
      <c r="D380" s="24"/>
      <c r="E380" s="22"/>
      <c r="F380" s="24"/>
      <c r="G380" s="24" t="str">
        <f t="shared" si="1"/>
        <v/>
      </c>
      <c r="H380" s="22"/>
      <c r="I380" s="22"/>
      <c r="K380" s="1"/>
    </row>
    <row r="381" ht="15.0" customHeight="1">
      <c r="A381" s="22"/>
      <c r="B381" s="22" t="str">
        <f t="array" ref="B381">IF($A381="","",IFERROR(INDEX(Companies!$C$2:$C$1000,MATCH($A381,Companies!$B$2:$B$1000,0)),""))</f>
        <v/>
      </c>
      <c r="C381" s="22" t="str">
        <f t="array" ref="C381">IF($A381="","",IFERROR(INDEX(Companies!$D$2:$D$1000,MATCH($A381,Companies!$B$2:$B$1000,0)),""))</f>
        <v/>
      </c>
      <c r="D381" s="24"/>
      <c r="E381" s="22"/>
      <c r="F381" s="24"/>
      <c r="G381" s="24" t="str">
        <f t="shared" si="1"/>
        <v/>
      </c>
      <c r="H381" s="22"/>
      <c r="I381" s="22"/>
      <c r="K381" s="1"/>
    </row>
    <row r="382" ht="15.0" customHeight="1">
      <c r="A382" s="22"/>
      <c r="B382" s="22" t="str">
        <f t="array" ref="B382">IF($A382="","",IFERROR(INDEX(Companies!$C$2:$C$1000,MATCH($A382,Companies!$B$2:$B$1000,0)),""))</f>
        <v/>
      </c>
      <c r="C382" s="22" t="str">
        <f t="array" ref="C382">IF($A382="","",IFERROR(INDEX(Companies!$D$2:$D$1000,MATCH($A382,Companies!$B$2:$B$1000,0)),""))</f>
        <v/>
      </c>
      <c r="D382" s="24"/>
      <c r="E382" s="22"/>
      <c r="F382" s="24"/>
      <c r="G382" s="24" t="str">
        <f t="shared" si="1"/>
        <v/>
      </c>
      <c r="H382" s="22"/>
      <c r="I382" s="22"/>
      <c r="K382" s="1"/>
    </row>
    <row r="383" ht="15.0" customHeight="1">
      <c r="A383" s="22"/>
      <c r="B383" s="22" t="str">
        <f t="array" ref="B383">IF($A383="","",IFERROR(INDEX(Companies!$C$2:$C$1000,MATCH($A383,Companies!$B$2:$B$1000,0)),""))</f>
        <v/>
      </c>
      <c r="C383" s="22" t="str">
        <f t="array" ref="C383">IF($A383="","",IFERROR(INDEX(Companies!$D$2:$D$1000,MATCH($A383,Companies!$B$2:$B$1000,0)),""))</f>
        <v/>
      </c>
      <c r="D383" s="24"/>
      <c r="E383" s="22"/>
      <c r="F383" s="24"/>
      <c r="G383" s="24" t="str">
        <f t="shared" si="1"/>
        <v/>
      </c>
      <c r="H383" s="22"/>
      <c r="I383" s="22"/>
      <c r="K383" s="1"/>
    </row>
    <row r="384" ht="15.0" customHeight="1">
      <c r="A384" s="22"/>
      <c r="B384" s="22" t="str">
        <f t="array" ref="B384">IF($A384="","",IFERROR(INDEX(Companies!$C$2:$C$1000,MATCH($A384,Companies!$B$2:$B$1000,0)),""))</f>
        <v/>
      </c>
      <c r="C384" s="22" t="str">
        <f t="array" ref="C384">IF($A384="","",IFERROR(INDEX(Companies!$D$2:$D$1000,MATCH($A384,Companies!$B$2:$B$1000,0)),""))</f>
        <v/>
      </c>
      <c r="D384" s="24"/>
      <c r="E384" s="22"/>
      <c r="F384" s="24"/>
      <c r="G384" s="24" t="str">
        <f t="shared" si="1"/>
        <v/>
      </c>
      <c r="H384" s="22"/>
      <c r="I384" s="22"/>
      <c r="K384" s="1"/>
    </row>
    <row r="385" ht="15.0" customHeight="1">
      <c r="A385" s="22"/>
      <c r="B385" s="22" t="str">
        <f t="array" ref="B385">IF($A385="","",IFERROR(INDEX(Companies!$C$2:$C$1000,MATCH($A385,Companies!$B$2:$B$1000,0)),""))</f>
        <v/>
      </c>
      <c r="C385" s="22" t="str">
        <f t="array" ref="C385">IF($A385="","",IFERROR(INDEX(Companies!$D$2:$D$1000,MATCH($A385,Companies!$B$2:$B$1000,0)),""))</f>
        <v/>
      </c>
      <c r="D385" s="24"/>
      <c r="E385" s="22"/>
      <c r="F385" s="24"/>
      <c r="G385" s="24" t="str">
        <f t="shared" si="1"/>
        <v/>
      </c>
      <c r="H385" s="22"/>
      <c r="I385" s="22"/>
      <c r="K385" s="1"/>
    </row>
    <row r="386" ht="15.0" customHeight="1">
      <c r="A386" s="22"/>
      <c r="B386" s="22" t="str">
        <f t="array" ref="B386">IF($A386="","",IFERROR(INDEX(Companies!$C$2:$C$1000,MATCH($A386,Companies!$B$2:$B$1000,0)),""))</f>
        <v/>
      </c>
      <c r="C386" s="22" t="str">
        <f t="array" ref="C386">IF($A386="","",IFERROR(INDEX(Companies!$D$2:$D$1000,MATCH($A386,Companies!$B$2:$B$1000,0)),""))</f>
        <v/>
      </c>
      <c r="D386" s="24"/>
      <c r="E386" s="22"/>
      <c r="F386" s="24"/>
      <c r="G386" s="24" t="str">
        <f t="shared" si="1"/>
        <v/>
      </c>
      <c r="H386" s="22"/>
      <c r="I386" s="22"/>
      <c r="K386" s="1"/>
    </row>
    <row r="387" ht="15.0" customHeight="1">
      <c r="A387" s="22"/>
      <c r="B387" s="22" t="str">
        <f t="array" ref="B387">IF($A387="","",IFERROR(INDEX(Companies!$C$2:$C$1000,MATCH($A387,Companies!$B$2:$B$1000,0)),""))</f>
        <v/>
      </c>
      <c r="C387" s="22" t="str">
        <f t="array" ref="C387">IF($A387="","",IFERROR(INDEX(Companies!$D$2:$D$1000,MATCH($A387,Companies!$B$2:$B$1000,0)),""))</f>
        <v/>
      </c>
      <c r="D387" s="24"/>
      <c r="E387" s="22"/>
      <c r="F387" s="24"/>
      <c r="G387" s="24" t="str">
        <f t="shared" si="1"/>
        <v/>
      </c>
      <c r="H387" s="22"/>
      <c r="I387" s="22"/>
      <c r="K387" s="1"/>
    </row>
    <row r="388" ht="15.0" customHeight="1">
      <c r="A388" s="22"/>
      <c r="B388" s="22" t="str">
        <f t="array" ref="B388">IF($A388="","",IFERROR(INDEX(Companies!$C$2:$C$1000,MATCH($A388,Companies!$B$2:$B$1000,0)),""))</f>
        <v/>
      </c>
      <c r="C388" s="22" t="str">
        <f t="array" ref="C388">IF($A388="","",IFERROR(INDEX(Companies!$D$2:$D$1000,MATCH($A388,Companies!$B$2:$B$1000,0)),""))</f>
        <v/>
      </c>
      <c r="D388" s="24"/>
      <c r="E388" s="22"/>
      <c r="F388" s="24"/>
      <c r="G388" s="24" t="str">
        <f t="shared" si="1"/>
        <v/>
      </c>
      <c r="H388" s="22"/>
      <c r="I388" s="22"/>
      <c r="K388" s="1"/>
    </row>
    <row r="389" ht="15.0" customHeight="1">
      <c r="A389" s="22"/>
      <c r="B389" s="22" t="str">
        <f t="array" ref="B389">IF($A389="","",IFERROR(INDEX(Companies!$C$2:$C$1000,MATCH($A389,Companies!$B$2:$B$1000,0)),""))</f>
        <v/>
      </c>
      <c r="C389" s="22" t="str">
        <f t="array" ref="C389">IF($A389="","",IFERROR(INDEX(Companies!$D$2:$D$1000,MATCH($A389,Companies!$B$2:$B$1000,0)),""))</f>
        <v/>
      </c>
      <c r="D389" s="24"/>
      <c r="E389" s="22"/>
      <c r="F389" s="24"/>
      <c r="G389" s="24" t="str">
        <f t="shared" si="1"/>
        <v/>
      </c>
      <c r="H389" s="22"/>
      <c r="I389" s="22"/>
      <c r="K389" s="1"/>
    </row>
    <row r="390" ht="15.0" customHeight="1">
      <c r="A390" s="22"/>
      <c r="B390" s="22" t="str">
        <f t="array" ref="B390">IF($A390="","",IFERROR(INDEX(Companies!$C$2:$C$1000,MATCH($A390,Companies!$B$2:$B$1000,0)),""))</f>
        <v/>
      </c>
      <c r="C390" s="22" t="str">
        <f t="array" ref="C390">IF($A390="","",IFERROR(INDEX(Companies!$D$2:$D$1000,MATCH($A390,Companies!$B$2:$B$1000,0)),""))</f>
        <v/>
      </c>
      <c r="D390" s="24"/>
      <c r="E390" s="22"/>
      <c r="F390" s="24"/>
      <c r="G390" s="24" t="str">
        <f t="shared" si="1"/>
        <v/>
      </c>
      <c r="H390" s="22"/>
      <c r="I390" s="22"/>
      <c r="K390" s="1"/>
    </row>
    <row r="391" ht="15.0" customHeight="1">
      <c r="A391" s="22"/>
      <c r="B391" s="22" t="str">
        <f t="array" ref="B391">IF($A391="","",IFERROR(INDEX(Companies!$C$2:$C$1000,MATCH($A391,Companies!$B$2:$B$1000,0)),""))</f>
        <v/>
      </c>
      <c r="C391" s="22" t="str">
        <f t="array" ref="C391">IF($A391="","",IFERROR(INDEX(Companies!$D$2:$D$1000,MATCH($A391,Companies!$B$2:$B$1000,0)),""))</f>
        <v/>
      </c>
      <c r="D391" s="24"/>
      <c r="E391" s="22"/>
      <c r="F391" s="24"/>
      <c r="G391" s="24" t="str">
        <f t="shared" si="1"/>
        <v/>
      </c>
      <c r="H391" s="22"/>
      <c r="I391" s="22"/>
      <c r="K391" s="1"/>
    </row>
    <row r="392" ht="15.0" customHeight="1">
      <c r="A392" s="22"/>
      <c r="B392" s="22" t="str">
        <f t="array" ref="B392">IF($A392="","",IFERROR(INDEX(Companies!$C$2:$C$1000,MATCH($A392,Companies!$B$2:$B$1000,0)),""))</f>
        <v/>
      </c>
      <c r="C392" s="22" t="str">
        <f t="array" ref="C392">IF($A392="","",IFERROR(INDEX(Companies!$D$2:$D$1000,MATCH($A392,Companies!$B$2:$B$1000,0)),""))</f>
        <v/>
      </c>
      <c r="D392" s="24"/>
      <c r="E392" s="22"/>
      <c r="F392" s="24"/>
      <c r="G392" s="24" t="str">
        <f t="shared" si="1"/>
        <v/>
      </c>
      <c r="H392" s="22"/>
      <c r="I392" s="22"/>
      <c r="K392" s="1"/>
    </row>
    <row r="393" ht="15.0" customHeight="1">
      <c r="A393" s="22"/>
      <c r="B393" s="22" t="str">
        <f t="array" ref="B393">IF($A393="","",IFERROR(INDEX(Companies!$C$2:$C$1000,MATCH($A393,Companies!$B$2:$B$1000,0)),""))</f>
        <v/>
      </c>
      <c r="C393" s="22" t="str">
        <f t="array" ref="C393">IF($A393="","",IFERROR(INDEX(Companies!$D$2:$D$1000,MATCH($A393,Companies!$B$2:$B$1000,0)),""))</f>
        <v/>
      </c>
      <c r="D393" s="24"/>
      <c r="E393" s="22"/>
      <c r="F393" s="24"/>
      <c r="G393" s="24" t="str">
        <f t="shared" si="1"/>
        <v/>
      </c>
      <c r="H393" s="22"/>
      <c r="I393" s="22"/>
      <c r="K393" s="1"/>
    </row>
    <row r="394" ht="15.0" customHeight="1">
      <c r="A394" s="22"/>
      <c r="B394" s="22" t="str">
        <f t="array" ref="B394">IF($A394="","",IFERROR(INDEX(Companies!$C$2:$C$1000,MATCH($A394,Companies!$B$2:$B$1000,0)),""))</f>
        <v/>
      </c>
      <c r="C394" s="22" t="str">
        <f t="array" ref="C394">IF($A394="","",IFERROR(INDEX(Companies!$D$2:$D$1000,MATCH($A394,Companies!$B$2:$B$1000,0)),""))</f>
        <v/>
      </c>
      <c r="D394" s="24"/>
      <c r="E394" s="22"/>
      <c r="F394" s="24"/>
      <c r="G394" s="24" t="str">
        <f t="shared" si="1"/>
        <v/>
      </c>
      <c r="H394" s="22"/>
      <c r="I394" s="22"/>
      <c r="K394" s="1"/>
    </row>
    <row r="395" ht="15.0" customHeight="1">
      <c r="A395" s="22"/>
      <c r="B395" s="22" t="str">
        <f t="array" ref="B395">IF($A395="","",IFERROR(INDEX(Companies!$C$2:$C$1000,MATCH($A395,Companies!$B$2:$B$1000,0)),""))</f>
        <v/>
      </c>
      <c r="C395" s="22" t="str">
        <f t="array" ref="C395">IF($A395="","",IFERROR(INDEX(Companies!$D$2:$D$1000,MATCH($A395,Companies!$B$2:$B$1000,0)),""))</f>
        <v/>
      </c>
      <c r="D395" s="24"/>
      <c r="E395" s="22"/>
      <c r="F395" s="24"/>
      <c r="G395" s="24" t="str">
        <f t="shared" si="1"/>
        <v/>
      </c>
      <c r="H395" s="22"/>
      <c r="I395" s="22"/>
      <c r="K395" s="1"/>
    </row>
    <row r="396" ht="15.0" customHeight="1">
      <c r="A396" s="22"/>
      <c r="B396" s="22" t="str">
        <f t="array" ref="B396">IF($A396="","",IFERROR(INDEX(Companies!$C$2:$C$1000,MATCH($A396,Companies!$B$2:$B$1000,0)),""))</f>
        <v/>
      </c>
      <c r="C396" s="22" t="str">
        <f t="array" ref="C396">IF($A396="","",IFERROR(INDEX(Companies!$D$2:$D$1000,MATCH($A396,Companies!$B$2:$B$1000,0)),""))</f>
        <v/>
      </c>
      <c r="D396" s="24"/>
      <c r="E396" s="22"/>
      <c r="F396" s="24"/>
      <c r="G396" s="24" t="str">
        <f t="shared" si="1"/>
        <v/>
      </c>
      <c r="H396" s="22"/>
      <c r="I396" s="22"/>
      <c r="K396" s="1"/>
    </row>
    <row r="397" ht="15.0" customHeight="1">
      <c r="A397" s="22"/>
      <c r="B397" s="22" t="str">
        <f t="array" ref="B397">IF($A397="","",IFERROR(INDEX(Companies!$C$2:$C$1000,MATCH($A397,Companies!$B$2:$B$1000,0)),""))</f>
        <v/>
      </c>
      <c r="C397" s="22" t="str">
        <f t="array" ref="C397">IF($A397="","",IFERROR(INDEX(Companies!$D$2:$D$1000,MATCH($A397,Companies!$B$2:$B$1000,0)),""))</f>
        <v/>
      </c>
      <c r="D397" s="24"/>
      <c r="E397" s="22"/>
      <c r="F397" s="24"/>
      <c r="G397" s="24" t="str">
        <f t="shared" si="1"/>
        <v/>
      </c>
      <c r="H397" s="22"/>
      <c r="I397" s="22"/>
      <c r="K397" s="1"/>
    </row>
    <row r="398" ht="15.0" customHeight="1">
      <c r="A398" s="22"/>
      <c r="B398" s="22" t="str">
        <f t="array" ref="B398">IF($A398="","",IFERROR(INDEX(Companies!$C$2:$C$1000,MATCH($A398,Companies!$B$2:$B$1000,0)),""))</f>
        <v/>
      </c>
      <c r="C398" s="22" t="str">
        <f t="array" ref="C398">IF($A398="","",IFERROR(INDEX(Companies!$D$2:$D$1000,MATCH($A398,Companies!$B$2:$B$1000,0)),""))</f>
        <v/>
      </c>
      <c r="D398" s="24"/>
      <c r="E398" s="22"/>
      <c r="F398" s="24"/>
      <c r="G398" s="24" t="str">
        <f t="shared" si="1"/>
        <v/>
      </c>
      <c r="H398" s="22"/>
      <c r="I398" s="22"/>
      <c r="K398" s="1"/>
    </row>
    <row r="399" ht="15.0" customHeight="1">
      <c r="A399" s="22"/>
      <c r="B399" s="22" t="str">
        <f t="array" ref="B399">IF($A399="","",IFERROR(INDEX(Companies!$C$2:$C$1000,MATCH($A399,Companies!$B$2:$B$1000,0)),""))</f>
        <v/>
      </c>
      <c r="C399" s="22" t="str">
        <f t="array" ref="C399">IF($A399="","",IFERROR(INDEX(Companies!$D$2:$D$1000,MATCH($A399,Companies!$B$2:$B$1000,0)),""))</f>
        <v/>
      </c>
      <c r="D399" s="24"/>
      <c r="E399" s="22"/>
      <c r="F399" s="24"/>
      <c r="G399" s="24" t="str">
        <f t="shared" si="1"/>
        <v/>
      </c>
      <c r="H399" s="22"/>
      <c r="I399" s="22"/>
      <c r="K399" s="1"/>
    </row>
    <row r="400" ht="15.0" customHeight="1">
      <c r="A400" s="22"/>
      <c r="B400" s="22" t="str">
        <f t="array" ref="B400">IF($A400="","",IFERROR(INDEX(Companies!$C$2:$C$1000,MATCH($A400,Companies!$B$2:$B$1000,0)),""))</f>
        <v/>
      </c>
      <c r="C400" s="22" t="str">
        <f t="array" ref="C400">IF($A400="","",IFERROR(INDEX(Companies!$D$2:$D$1000,MATCH($A400,Companies!$B$2:$B$1000,0)),""))</f>
        <v/>
      </c>
      <c r="D400" s="24"/>
      <c r="E400" s="22"/>
      <c r="F400" s="24"/>
      <c r="G400" s="24" t="str">
        <f t="shared" si="1"/>
        <v/>
      </c>
      <c r="H400" s="22"/>
      <c r="I400" s="22"/>
      <c r="K400" s="1"/>
    </row>
    <row r="401" ht="15.0" customHeight="1">
      <c r="A401" s="22"/>
      <c r="B401" s="22" t="str">
        <f t="array" ref="B401">IF($A401="","",IFERROR(INDEX(Companies!$C$2:$C$1000,MATCH($A401,Companies!$B$2:$B$1000,0)),""))</f>
        <v/>
      </c>
      <c r="C401" s="22" t="str">
        <f t="array" ref="C401">IF($A401="","",IFERROR(INDEX(Companies!$D$2:$D$1000,MATCH($A401,Companies!$B$2:$B$1000,0)),""))</f>
        <v/>
      </c>
      <c r="D401" s="24"/>
      <c r="E401" s="22"/>
      <c r="F401" s="24"/>
      <c r="G401" s="24" t="str">
        <f t="shared" si="1"/>
        <v/>
      </c>
      <c r="H401" s="22"/>
      <c r="I401" s="22"/>
      <c r="K401" s="1"/>
    </row>
    <row r="402" ht="15.0" customHeight="1">
      <c r="A402" s="22"/>
      <c r="B402" s="22" t="str">
        <f t="array" ref="B402">IF($A402="","",IFERROR(INDEX(Companies!$C$2:$C$1000,MATCH($A402,Companies!$B$2:$B$1000,0)),""))</f>
        <v/>
      </c>
      <c r="C402" s="22" t="str">
        <f t="array" ref="C402">IF($A402="","",IFERROR(INDEX(Companies!$D$2:$D$1000,MATCH($A402,Companies!$B$2:$B$1000,0)),""))</f>
        <v/>
      </c>
      <c r="D402" s="24"/>
      <c r="E402" s="22"/>
      <c r="F402" s="24"/>
      <c r="G402" s="24" t="str">
        <f t="shared" si="1"/>
        <v/>
      </c>
      <c r="H402" s="22"/>
      <c r="I402" s="22"/>
      <c r="K402" s="1"/>
    </row>
    <row r="403" ht="15.0" customHeight="1">
      <c r="A403" s="22"/>
      <c r="B403" s="22" t="str">
        <f t="array" ref="B403">IF($A403="","",IFERROR(INDEX(Companies!$C$2:$C$1000,MATCH($A403,Companies!$B$2:$B$1000,0)),""))</f>
        <v/>
      </c>
      <c r="C403" s="22" t="str">
        <f t="array" ref="C403">IF($A403="","",IFERROR(INDEX(Companies!$D$2:$D$1000,MATCH($A403,Companies!$B$2:$B$1000,0)),""))</f>
        <v/>
      </c>
      <c r="D403" s="24"/>
      <c r="E403" s="22"/>
      <c r="F403" s="24"/>
      <c r="G403" s="24" t="str">
        <f t="shared" si="1"/>
        <v/>
      </c>
      <c r="H403" s="22"/>
      <c r="I403" s="22"/>
      <c r="K403" s="1"/>
    </row>
    <row r="404" ht="15.0" customHeight="1">
      <c r="A404" s="22"/>
      <c r="B404" s="22" t="str">
        <f t="array" ref="B404">IF($A404="","",IFERROR(INDEX(Companies!$C$2:$C$1000,MATCH($A404,Companies!$B$2:$B$1000,0)),""))</f>
        <v/>
      </c>
      <c r="C404" s="22" t="str">
        <f t="array" ref="C404">IF($A404="","",IFERROR(INDEX(Companies!$D$2:$D$1000,MATCH($A404,Companies!$B$2:$B$1000,0)),""))</f>
        <v/>
      </c>
      <c r="D404" s="24"/>
      <c r="E404" s="22"/>
      <c r="F404" s="24"/>
      <c r="G404" s="24" t="str">
        <f t="shared" si="1"/>
        <v/>
      </c>
      <c r="H404" s="22"/>
      <c r="I404" s="22"/>
      <c r="K404" s="1"/>
    </row>
    <row r="405" ht="15.0" customHeight="1">
      <c r="A405" s="22"/>
      <c r="B405" s="22" t="str">
        <f t="array" ref="B405">IF($A405="","",IFERROR(INDEX(Companies!$C$2:$C$1000,MATCH($A405,Companies!$B$2:$B$1000,0)),""))</f>
        <v/>
      </c>
      <c r="C405" s="22" t="str">
        <f t="array" ref="C405">IF($A405="","",IFERROR(INDEX(Companies!$D$2:$D$1000,MATCH($A405,Companies!$B$2:$B$1000,0)),""))</f>
        <v/>
      </c>
      <c r="D405" s="24"/>
      <c r="E405" s="22"/>
      <c r="F405" s="24"/>
      <c r="G405" s="24" t="str">
        <f t="shared" si="1"/>
        <v/>
      </c>
      <c r="H405" s="22"/>
      <c r="I405" s="22"/>
      <c r="K405" s="1"/>
    </row>
    <row r="406" ht="15.0" customHeight="1">
      <c r="A406" s="22"/>
      <c r="B406" s="22" t="str">
        <f t="array" ref="B406">IF($A406="","",IFERROR(INDEX(Companies!$C$2:$C$1000,MATCH($A406,Companies!$B$2:$B$1000,0)),""))</f>
        <v/>
      </c>
      <c r="C406" s="22" t="str">
        <f t="array" ref="C406">IF($A406="","",IFERROR(INDEX(Companies!$D$2:$D$1000,MATCH($A406,Companies!$B$2:$B$1000,0)),""))</f>
        <v/>
      </c>
      <c r="D406" s="24"/>
      <c r="E406" s="22"/>
      <c r="F406" s="24"/>
      <c r="G406" s="24" t="str">
        <f t="shared" si="1"/>
        <v/>
      </c>
      <c r="H406" s="22"/>
      <c r="I406" s="22"/>
      <c r="K406" s="1"/>
    </row>
    <row r="407" ht="15.0" customHeight="1">
      <c r="A407" s="22"/>
      <c r="B407" s="22" t="str">
        <f t="array" ref="B407">IF($A407="","",IFERROR(INDEX(Companies!$C$2:$C$1000,MATCH($A407,Companies!$B$2:$B$1000,0)),""))</f>
        <v/>
      </c>
      <c r="C407" s="22" t="str">
        <f t="array" ref="C407">IF($A407="","",IFERROR(INDEX(Companies!$D$2:$D$1000,MATCH($A407,Companies!$B$2:$B$1000,0)),""))</f>
        <v/>
      </c>
      <c r="D407" s="24"/>
      <c r="E407" s="22"/>
      <c r="F407" s="24"/>
      <c r="G407" s="24" t="str">
        <f t="shared" si="1"/>
        <v/>
      </c>
      <c r="H407" s="22"/>
      <c r="I407" s="22"/>
      <c r="K407" s="1"/>
    </row>
    <row r="408" ht="15.0" customHeight="1">
      <c r="A408" s="22"/>
      <c r="B408" s="22" t="str">
        <f t="array" ref="B408">IF($A408="","",IFERROR(INDEX(Companies!$C$2:$C$1000,MATCH($A408,Companies!$B$2:$B$1000,0)),""))</f>
        <v/>
      </c>
      <c r="C408" s="22" t="str">
        <f t="array" ref="C408">IF($A408="","",IFERROR(INDEX(Companies!$D$2:$D$1000,MATCH($A408,Companies!$B$2:$B$1000,0)),""))</f>
        <v/>
      </c>
      <c r="D408" s="24"/>
      <c r="E408" s="22"/>
      <c r="F408" s="24"/>
      <c r="G408" s="24" t="str">
        <f t="shared" si="1"/>
        <v/>
      </c>
      <c r="H408" s="22"/>
      <c r="I408" s="22"/>
      <c r="K408" s="1"/>
    </row>
    <row r="409" ht="15.0" customHeight="1">
      <c r="A409" s="22"/>
      <c r="B409" s="22" t="str">
        <f t="array" ref="B409">IF($A409="","",IFERROR(INDEX(Companies!$C$2:$C$1000,MATCH($A409,Companies!$B$2:$B$1000,0)),""))</f>
        <v/>
      </c>
      <c r="C409" s="22" t="str">
        <f t="array" ref="C409">IF($A409="","",IFERROR(INDEX(Companies!$D$2:$D$1000,MATCH($A409,Companies!$B$2:$B$1000,0)),""))</f>
        <v/>
      </c>
      <c r="D409" s="24"/>
      <c r="E409" s="22"/>
      <c r="F409" s="24"/>
      <c r="G409" s="24" t="str">
        <f t="shared" si="1"/>
        <v/>
      </c>
      <c r="H409" s="22"/>
      <c r="I409" s="22"/>
      <c r="K409" s="1"/>
    </row>
    <row r="410" ht="15.0" customHeight="1">
      <c r="A410" s="22"/>
      <c r="B410" s="22" t="str">
        <f t="array" ref="B410">IF($A410="","",IFERROR(INDEX(Companies!$C$2:$C$1000,MATCH($A410,Companies!$B$2:$B$1000,0)),""))</f>
        <v/>
      </c>
      <c r="C410" s="22" t="str">
        <f t="array" ref="C410">IF($A410="","",IFERROR(INDEX(Companies!$D$2:$D$1000,MATCH($A410,Companies!$B$2:$B$1000,0)),""))</f>
        <v/>
      </c>
      <c r="D410" s="24"/>
      <c r="E410" s="22"/>
      <c r="F410" s="24"/>
      <c r="G410" s="24" t="str">
        <f t="shared" si="1"/>
        <v/>
      </c>
      <c r="H410" s="22"/>
      <c r="I410" s="22"/>
      <c r="K410" s="1"/>
    </row>
    <row r="411" ht="15.0" customHeight="1">
      <c r="A411" s="22"/>
      <c r="B411" s="22" t="str">
        <f t="array" ref="B411">IF($A411="","",IFERROR(INDEX(Companies!$C$2:$C$1000,MATCH($A411,Companies!$B$2:$B$1000,0)),""))</f>
        <v/>
      </c>
      <c r="C411" s="22" t="str">
        <f t="array" ref="C411">IF($A411="","",IFERROR(INDEX(Companies!$D$2:$D$1000,MATCH($A411,Companies!$B$2:$B$1000,0)),""))</f>
        <v/>
      </c>
      <c r="D411" s="24"/>
      <c r="E411" s="22"/>
      <c r="F411" s="24"/>
      <c r="G411" s="24" t="str">
        <f t="shared" si="1"/>
        <v/>
      </c>
      <c r="H411" s="22"/>
      <c r="I411" s="22"/>
      <c r="K411" s="1"/>
    </row>
    <row r="412" ht="15.0" customHeight="1">
      <c r="A412" s="22"/>
      <c r="B412" s="22" t="str">
        <f t="array" ref="B412">IF($A412="","",IFERROR(INDEX(Companies!$C$2:$C$1000,MATCH($A412,Companies!$B$2:$B$1000,0)),""))</f>
        <v/>
      </c>
      <c r="C412" s="22" t="str">
        <f t="array" ref="C412">IF($A412="","",IFERROR(INDEX(Companies!$D$2:$D$1000,MATCH($A412,Companies!$B$2:$B$1000,0)),""))</f>
        <v/>
      </c>
      <c r="D412" s="24"/>
      <c r="E412" s="22"/>
      <c r="F412" s="24"/>
      <c r="G412" s="24" t="str">
        <f t="shared" si="1"/>
        <v/>
      </c>
      <c r="H412" s="22"/>
      <c r="I412" s="22"/>
      <c r="K412" s="1"/>
    </row>
    <row r="413" ht="15.0" customHeight="1">
      <c r="A413" s="22"/>
      <c r="B413" s="22" t="str">
        <f t="array" ref="B413">IF($A413="","",IFERROR(INDEX(Companies!$C$2:$C$1000,MATCH($A413,Companies!$B$2:$B$1000,0)),""))</f>
        <v/>
      </c>
      <c r="C413" s="22" t="str">
        <f t="array" ref="C413">IF($A413="","",IFERROR(INDEX(Companies!$D$2:$D$1000,MATCH($A413,Companies!$B$2:$B$1000,0)),""))</f>
        <v/>
      </c>
      <c r="D413" s="24"/>
      <c r="E413" s="22"/>
      <c r="F413" s="24"/>
      <c r="G413" s="24" t="str">
        <f t="shared" si="1"/>
        <v/>
      </c>
      <c r="H413" s="22"/>
      <c r="I413" s="22"/>
      <c r="K413" s="1"/>
    </row>
    <row r="414" ht="15.0" customHeight="1">
      <c r="A414" s="22"/>
      <c r="B414" s="22" t="str">
        <f t="array" ref="B414">IF($A414="","",IFERROR(INDEX(Companies!$C$2:$C$1000,MATCH($A414,Companies!$B$2:$B$1000,0)),""))</f>
        <v/>
      </c>
      <c r="C414" s="22" t="str">
        <f t="array" ref="C414">IF($A414="","",IFERROR(INDEX(Companies!$D$2:$D$1000,MATCH($A414,Companies!$B$2:$B$1000,0)),""))</f>
        <v/>
      </c>
      <c r="D414" s="24"/>
      <c r="E414" s="22"/>
      <c r="F414" s="24"/>
      <c r="G414" s="24" t="str">
        <f t="shared" si="1"/>
        <v/>
      </c>
      <c r="H414" s="22"/>
      <c r="I414" s="22"/>
      <c r="K414" s="1"/>
    </row>
    <row r="415" ht="15.0" customHeight="1">
      <c r="A415" s="22"/>
      <c r="B415" s="22" t="str">
        <f t="array" ref="B415">IF($A415="","",IFERROR(INDEX(Companies!$C$2:$C$1000,MATCH($A415,Companies!$B$2:$B$1000,0)),""))</f>
        <v/>
      </c>
      <c r="C415" s="22" t="str">
        <f t="array" ref="C415">IF($A415="","",IFERROR(INDEX(Companies!$D$2:$D$1000,MATCH($A415,Companies!$B$2:$B$1000,0)),""))</f>
        <v/>
      </c>
      <c r="D415" s="24"/>
      <c r="E415" s="22"/>
      <c r="F415" s="24"/>
      <c r="G415" s="24" t="str">
        <f t="shared" si="1"/>
        <v/>
      </c>
      <c r="H415" s="22"/>
      <c r="I415" s="22"/>
      <c r="K415" s="1"/>
    </row>
    <row r="416" ht="15.0" customHeight="1">
      <c r="A416" s="22"/>
      <c r="B416" s="22" t="str">
        <f t="array" ref="B416">IF($A416="","",IFERROR(INDEX(Companies!$C$2:$C$1000,MATCH($A416,Companies!$B$2:$B$1000,0)),""))</f>
        <v/>
      </c>
      <c r="C416" s="22" t="str">
        <f t="array" ref="C416">IF($A416="","",IFERROR(INDEX(Companies!$D$2:$D$1000,MATCH($A416,Companies!$B$2:$B$1000,0)),""))</f>
        <v/>
      </c>
      <c r="D416" s="24"/>
      <c r="E416" s="22"/>
      <c r="F416" s="24"/>
      <c r="G416" s="24" t="str">
        <f t="shared" si="1"/>
        <v/>
      </c>
      <c r="H416" s="22"/>
      <c r="I416" s="22"/>
      <c r="K416" s="1"/>
    </row>
    <row r="417" ht="15.0" customHeight="1">
      <c r="A417" s="22"/>
      <c r="B417" s="22" t="str">
        <f t="array" ref="B417">IF($A417="","",IFERROR(INDEX(Companies!$C$2:$C$1000,MATCH($A417,Companies!$B$2:$B$1000,0)),""))</f>
        <v/>
      </c>
      <c r="C417" s="22" t="str">
        <f t="array" ref="C417">IF($A417="","",IFERROR(INDEX(Companies!$D$2:$D$1000,MATCH($A417,Companies!$B$2:$B$1000,0)),""))</f>
        <v/>
      </c>
      <c r="D417" s="24"/>
      <c r="E417" s="22"/>
      <c r="F417" s="24"/>
      <c r="G417" s="24" t="str">
        <f t="shared" si="1"/>
        <v/>
      </c>
      <c r="H417" s="22"/>
      <c r="I417" s="22"/>
      <c r="K417" s="1"/>
    </row>
    <row r="418" ht="15.0" customHeight="1">
      <c r="A418" s="22"/>
      <c r="B418" s="22" t="str">
        <f t="array" ref="B418">IF($A418="","",IFERROR(INDEX(Companies!$C$2:$C$1000,MATCH($A418,Companies!$B$2:$B$1000,0)),""))</f>
        <v/>
      </c>
      <c r="C418" s="22" t="str">
        <f t="array" ref="C418">IF($A418="","",IFERROR(INDEX(Companies!$D$2:$D$1000,MATCH($A418,Companies!$B$2:$B$1000,0)),""))</f>
        <v/>
      </c>
      <c r="D418" s="24"/>
      <c r="E418" s="22"/>
      <c r="F418" s="24"/>
      <c r="G418" s="24" t="str">
        <f t="shared" si="1"/>
        <v/>
      </c>
      <c r="H418" s="22"/>
      <c r="I418" s="22"/>
      <c r="K418" s="1"/>
    </row>
    <row r="419" ht="15.0" customHeight="1">
      <c r="A419" s="22"/>
      <c r="B419" s="22" t="str">
        <f t="array" ref="B419">IF($A419="","",IFERROR(INDEX(Companies!$C$2:$C$1000,MATCH($A419,Companies!$B$2:$B$1000,0)),""))</f>
        <v/>
      </c>
      <c r="C419" s="22" t="str">
        <f t="array" ref="C419">IF($A419="","",IFERROR(INDEX(Companies!$D$2:$D$1000,MATCH($A419,Companies!$B$2:$B$1000,0)),""))</f>
        <v/>
      </c>
      <c r="D419" s="24"/>
      <c r="E419" s="22"/>
      <c r="F419" s="24"/>
      <c r="G419" s="24" t="str">
        <f t="shared" si="1"/>
        <v/>
      </c>
      <c r="H419" s="22"/>
      <c r="I419" s="22"/>
      <c r="K419" s="1"/>
    </row>
    <row r="420" ht="15.0" customHeight="1">
      <c r="A420" s="22"/>
      <c r="B420" s="22" t="str">
        <f t="array" ref="B420">IF($A420="","",IFERROR(INDEX(Companies!$C$2:$C$1000,MATCH($A420,Companies!$B$2:$B$1000,0)),""))</f>
        <v/>
      </c>
      <c r="C420" s="22" t="str">
        <f t="array" ref="C420">IF($A420="","",IFERROR(INDEX(Companies!$D$2:$D$1000,MATCH($A420,Companies!$B$2:$B$1000,0)),""))</f>
        <v/>
      </c>
      <c r="D420" s="24"/>
      <c r="E420" s="22"/>
      <c r="F420" s="24"/>
      <c r="G420" s="24" t="str">
        <f t="shared" si="1"/>
        <v/>
      </c>
      <c r="H420" s="22"/>
      <c r="I420" s="22"/>
      <c r="K420" s="1"/>
    </row>
    <row r="421" ht="15.0" customHeight="1">
      <c r="A421" s="22"/>
      <c r="B421" s="22" t="str">
        <f t="array" ref="B421">IF($A421="","",IFERROR(INDEX(Companies!$C$2:$C$1000,MATCH($A421,Companies!$B$2:$B$1000,0)),""))</f>
        <v/>
      </c>
      <c r="C421" s="22" t="str">
        <f t="array" ref="C421">IF($A421="","",IFERROR(INDEX(Companies!$D$2:$D$1000,MATCH($A421,Companies!$B$2:$B$1000,0)),""))</f>
        <v/>
      </c>
      <c r="D421" s="24"/>
      <c r="E421" s="22"/>
      <c r="F421" s="24"/>
      <c r="G421" s="24" t="str">
        <f t="shared" si="1"/>
        <v/>
      </c>
      <c r="H421" s="22"/>
      <c r="I421" s="22"/>
      <c r="K421" s="1"/>
    </row>
    <row r="422" ht="15.0" customHeight="1">
      <c r="A422" s="22"/>
      <c r="B422" s="22" t="str">
        <f t="array" ref="B422">IF($A422="","",IFERROR(INDEX(Companies!$C$2:$C$1000,MATCH($A422,Companies!$B$2:$B$1000,0)),""))</f>
        <v/>
      </c>
      <c r="C422" s="22" t="str">
        <f t="array" ref="C422">IF($A422="","",IFERROR(INDEX(Companies!$D$2:$D$1000,MATCH($A422,Companies!$B$2:$B$1000,0)),""))</f>
        <v/>
      </c>
      <c r="D422" s="24"/>
      <c r="E422" s="22"/>
      <c r="F422" s="24"/>
      <c r="G422" s="24" t="str">
        <f t="shared" si="1"/>
        <v/>
      </c>
      <c r="H422" s="22"/>
      <c r="I422" s="22"/>
      <c r="K422" s="1"/>
    </row>
    <row r="423" ht="15.0" customHeight="1">
      <c r="A423" s="22"/>
      <c r="B423" s="22" t="str">
        <f t="array" ref="B423">IF($A423="","",IFERROR(INDEX(Companies!$C$2:$C$1000,MATCH($A423,Companies!$B$2:$B$1000,0)),""))</f>
        <v/>
      </c>
      <c r="C423" s="22" t="str">
        <f t="array" ref="C423">IF($A423="","",IFERROR(INDEX(Companies!$D$2:$D$1000,MATCH($A423,Companies!$B$2:$B$1000,0)),""))</f>
        <v/>
      </c>
      <c r="D423" s="24"/>
      <c r="E423" s="22"/>
      <c r="F423" s="24"/>
      <c r="G423" s="24" t="str">
        <f t="shared" si="1"/>
        <v/>
      </c>
      <c r="H423" s="22"/>
      <c r="I423" s="22"/>
      <c r="K423" s="1"/>
    </row>
    <row r="424" ht="15.0" customHeight="1">
      <c r="A424" s="22"/>
      <c r="B424" s="22" t="str">
        <f t="array" ref="B424">IF($A424="","",IFERROR(INDEX(Companies!$C$2:$C$1000,MATCH($A424,Companies!$B$2:$B$1000,0)),""))</f>
        <v/>
      </c>
      <c r="C424" s="22" t="str">
        <f t="array" ref="C424">IF($A424="","",IFERROR(INDEX(Companies!$D$2:$D$1000,MATCH($A424,Companies!$B$2:$B$1000,0)),""))</f>
        <v/>
      </c>
      <c r="D424" s="24"/>
      <c r="E424" s="22"/>
      <c r="F424" s="24"/>
      <c r="G424" s="24" t="str">
        <f t="shared" si="1"/>
        <v/>
      </c>
      <c r="H424" s="22"/>
      <c r="I424" s="22"/>
      <c r="K424" s="1"/>
    </row>
    <row r="425" ht="15.0" customHeight="1">
      <c r="A425" s="22"/>
      <c r="B425" s="22" t="str">
        <f t="array" ref="B425">IF($A425="","",IFERROR(INDEX(Companies!$C$2:$C$1000,MATCH($A425,Companies!$B$2:$B$1000,0)),""))</f>
        <v/>
      </c>
      <c r="C425" s="22" t="str">
        <f t="array" ref="C425">IF($A425="","",IFERROR(INDEX(Companies!$D$2:$D$1000,MATCH($A425,Companies!$B$2:$B$1000,0)),""))</f>
        <v/>
      </c>
      <c r="D425" s="24"/>
      <c r="E425" s="22"/>
      <c r="F425" s="24"/>
      <c r="G425" s="24" t="str">
        <f t="shared" si="1"/>
        <v/>
      </c>
      <c r="H425" s="22"/>
      <c r="I425" s="22"/>
      <c r="K425" s="1"/>
    </row>
    <row r="426" ht="15.0" customHeight="1">
      <c r="A426" s="22"/>
      <c r="B426" s="22" t="str">
        <f t="array" ref="B426">IF($A426="","",IFERROR(INDEX(Companies!$C$2:$C$1000,MATCH($A426,Companies!$B$2:$B$1000,0)),""))</f>
        <v/>
      </c>
      <c r="C426" s="22" t="str">
        <f t="array" ref="C426">IF($A426="","",IFERROR(INDEX(Companies!$D$2:$D$1000,MATCH($A426,Companies!$B$2:$B$1000,0)),""))</f>
        <v/>
      </c>
      <c r="D426" s="24"/>
      <c r="E426" s="22"/>
      <c r="F426" s="24"/>
      <c r="G426" s="24" t="str">
        <f t="shared" si="1"/>
        <v/>
      </c>
      <c r="H426" s="22"/>
      <c r="I426" s="22"/>
      <c r="K426" s="1"/>
    </row>
    <row r="427" ht="15.0" customHeight="1">
      <c r="A427" s="22"/>
      <c r="B427" s="22" t="str">
        <f t="array" ref="B427">IF($A427="","",IFERROR(INDEX(Companies!$C$2:$C$1000,MATCH($A427,Companies!$B$2:$B$1000,0)),""))</f>
        <v/>
      </c>
      <c r="C427" s="22" t="str">
        <f t="array" ref="C427">IF($A427="","",IFERROR(INDEX(Companies!$D$2:$D$1000,MATCH($A427,Companies!$B$2:$B$1000,0)),""))</f>
        <v/>
      </c>
      <c r="D427" s="24"/>
      <c r="E427" s="22"/>
      <c r="F427" s="24"/>
      <c r="G427" s="24" t="str">
        <f t="shared" si="1"/>
        <v/>
      </c>
      <c r="H427" s="22"/>
      <c r="I427" s="22"/>
      <c r="K427" s="1"/>
    </row>
    <row r="428" ht="15.0" customHeight="1">
      <c r="A428" s="22"/>
      <c r="B428" s="22" t="str">
        <f t="array" ref="B428">IF($A428="","",IFERROR(INDEX(Companies!$C$2:$C$1000,MATCH($A428,Companies!$B$2:$B$1000,0)),""))</f>
        <v/>
      </c>
      <c r="C428" s="22" t="str">
        <f t="array" ref="C428">IF($A428="","",IFERROR(INDEX(Companies!$D$2:$D$1000,MATCH($A428,Companies!$B$2:$B$1000,0)),""))</f>
        <v/>
      </c>
      <c r="D428" s="24"/>
      <c r="E428" s="22"/>
      <c r="F428" s="24"/>
      <c r="G428" s="24" t="str">
        <f t="shared" si="1"/>
        <v/>
      </c>
      <c r="H428" s="22"/>
      <c r="I428" s="22"/>
      <c r="K428" s="1"/>
    </row>
    <row r="429" ht="15.0" customHeight="1">
      <c r="A429" s="22"/>
      <c r="B429" s="22" t="str">
        <f t="array" ref="B429">IF($A429="","",IFERROR(INDEX(Companies!$C$2:$C$1000,MATCH($A429,Companies!$B$2:$B$1000,0)),""))</f>
        <v/>
      </c>
      <c r="C429" s="22" t="str">
        <f t="array" ref="C429">IF($A429="","",IFERROR(INDEX(Companies!$D$2:$D$1000,MATCH($A429,Companies!$B$2:$B$1000,0)),""))</f>
        <v/>
      </c>
      <c r="D429" s="24"/>
      <c r="E429" s="22"/>
      <c r="F429" s="24"/>
      <c r="G429" s="24" t="str">
        <f t="shared" si="1"/>
        <v/>
      </c>
      <c r="H429" s="22"/>
      <c r="I429" s="22"/>
      <c r="K429" s="1"/>
    </row>
    <row r="430" ht="15.0" customHeight="1">
      <c r="A430" s="22"/>
      <c r="B430" s="22" t="str">
        <f t="array" ref="B430">IF($A430="","",IFERROR(INDEX(Companies!$C$2:$C$1000,MATCH($A430,Companies!$B$2:$B$1000,0)),""))</f>
        <v/>
      </c>
      <c r="C430" s="22" t="str">
        <f t="array" ref="C430">IF($A430="","",IFERROR(INDEX(Companies!$D$2:$D$1000,MATCH($A430,Companies!$B$2:$B$1000,0)),""))</f>
        <v/>
      </c>
      <c r="D430" s="24"/>
      <c r="E430" s="22"/>
      <c r="F430" s="24"/>
      <c r="G430" s="24" t="str">
        <f t="shared" si="1"/>
        <v/>
      </c>
      <c r="H430" s="22"/>
      <c r="I430" s="22"/>
      <c r="K430" s="1"/>
    </row>
    <row r="431" ht="15.0" customHeight="1">
      <c r="A431" s="22"/>
      <c r="B431" s="22" t="str">
        <f t="array" ref="B431">IF($A431="","",IFERROR(INDEX(Companies!$C$2:$C$1000,MATCH($A431,Companies!$B$2:$B$1000,0)),""))</f>
        <v/>
      </c>
      <c r="C431" s="22" t="str">
        <f t="array" ref="C431">IF($A431="","",IFERROR(INDEX(Companies!$D$2:$D$1000,MATCH($A431,Companies!$B$2:$B$1000,0)),""))</f>
        <v/>
      </c>
      <c r="D431" s="24"/>
      <c r="E431" s="22"/>
      <c r="F431" s="24"/>
      <c r="G431" s="24" t="str">
        <f t="shared" si="1"/>
        <v/>
      </c>
      <c r="H431" s="22"/>
      <c r="I431" s="22"/>
      <c r="K431" s="1"/>
    </row>
    <row r="432" ht="15.0" customHeight="1">
      <c r="A432" s="22"/>
      <c r="B432" s="22" t="str">
        <f t="array" ref="B432">IF($A432="","",IFERROR(INDEX(Companies!$C$2:$C$1000,MATCH($A432,Companies!$B$2:$B$1000,0)),""))</f>
        <v/>
      </c>
      <c r="C432" s="22" t="str">
        <f t="array" ref="C432">IF($A432="","",IFERROR(INDEX(Companies!$D$2:$D$1000,MATCH($A432,Companies!$B$2:$B$1000,0)),""))</f>
        <v/>
      </c>
      <c r="D432" s="24"/>
      <c r="E432" s="22"/>
      <c r="F432" s="24"/>
      <c r="G432" s="24" t="str">
        <f t="shared" si="1"/>
        <v/>
      </c>
      <c r="H432" s="22"/>
      <c r="I432" s="22"/>
      <c r="K432" s="1"/>
    </row>
    <row r="433" ht="15.0" customHeight="1">
      <c r="A433" s="22"/>
      <c r="B433" s="22" t="str">
        <f t="array" ref="B433">IF($A433="","",IFERROR(INDEX(Companies!$C$2:$C$1000,MATCH($A433,Companies!$B$2:$B$1000,0)),""))</f>
        <v/>
      </c>
      <c r="C433" s="22" t="str">
        <f t="array" ref="C433">IF($A433="","",IFERROR(INDEX(Companies!$D$2:$D$1000,MATCH($A433,Companies!$B$2:$B$1000,0)),""))</f>
        <v/>
      </c>
      <c r="D433" s="24"/>
      <c r="E433" s="22"/>
      <c r="F433" s="24"/>
      <c r="G433" s="24" t="str">
        <f t="shared" si="1"/>
        <v/>
      </c>
      <c r="H433" s="22"/>
      <c r="I433" s="22"/>
      <c r="K433" s="1"/>
    </row>
    <row r="434" ht="15.0" customHeight="1">
      <c r="A434" s="22"/>
      <c r="B434" s="22" t="str">
        <f t="array" ref="B434">IF($A434="","",IFERROR(INDEX(Companies!$C$2:$C$1000,MATCH($A434,Companies!$B$2:$B$1000,0)),""))</f>
        <v/>
      </c>
      <c r="C434" s="22" t="str">
        <f t="array" ref="C434">IF($A434="","",IFERROR(INDEX(Companies!$D$2:$D$1000,MATCH($A434,Companies!$B$2:$B$1000,0)),""))</f>
        <v/>
      </c>
      <c r="D434" s="24"/>
      <c r="E434" s="22"/>
      <c r="F434" s="24"/>
      <c r="G434" s="24" t="str">
        <f t="shared" si="1"/>
        <v/>
      </c>
      <c r="H434" s="22"/>
      <c r="I434" s="22"/>
      <c r="K434" s="1"/>
    </row>
    <row r="435" ht="15.0" customHeight="1">
      <c r="A435" s="22"/>
      <c r="B435" s="22" t="str">
        <f t="array" ref="B435">IF($A435="","",IFERROR(INDEX(Companies!$C$2:$C$1000,MATCH($A435,Companies!$B$2:$B$1000,0)),""))</f>
        <v/>
      </c>
      <c r="C435" s="22" t="str">
        <f t="array" ref="C435">IF($A435="","",IFERROR(INDEX(Companies!$D$2:$D$1000,MATCH($A435,Companies!$B$2:$B$1000,0)),""))</f>
        <v/>
      </c>
      <c r="D435" s="24"/>
      <c r="E435" s="22"/>
      <c r="F435" s="24"/>
      <c r="G435" s="24" t="str">
        <f t="shared" si="1"/>
        <v/>
      </c>
      <c r="H435" s="22"/>
      <c r="I435" s="22"/>
      <c r="K435" s="1"/>
    </row>
    <row r="436" ht="15.0" customHeight="1">
      <c r="A436" s="22"/>
      <c r="B436" s="22" t="str">
        <f t="array" ref="B436">IF($A436="","",IFERROR(INDEX(Companies!$C$2:$C$1000,MATCH($A436,Companies!$B$2:$B$1000,0)),""))</f>
        <v/>
      </c>
      <c r="C436" s="22" t="str">
        <f t="array" ref="C436">IF($A436="","",IFERROR(INDEX(Companies!$D$2:$D$1000,MATCH($A436,Companies!$B$2:$B$1000,0)),""))</f>
        <v/>
      </c>
      <c r="D436" s="24"/>
      <c r="E436" s="22"/>
      <c r="F436" s="24"/>
      <c r="G436" s="24" t="str">
        <f t="shared" si="1"/>
        <v/>
      </c>
      <c r="H436" s="22"/>
      <c r="I436" s="22"/>
      <c r="K436" s="1"/>
    </row>
    <row r="437" ht="15.0" customHeight="1">
      <c r="A437" s="22"/>
      <c r="B437" s="22" t="str">
        <f t="array" ref="B437">IF($A437="","",IFERROR(INDEX(Companies!$C$2:$C$1000,MATCH($A437,Companies!$B$2:$B$1000,0)),""))</f>
        <v/>
      </c>
      <c r="C437" s="22" t="str">
        <f t="array" ref="C437">IF($A437="","",IFERROR(INDEX(Companies!$D$2:$D$1000,MATCH($A437,Companies!$B$2:$B$1000,0)),""))</f>
        <v/>
      </c>
      <c r="D437" s="24"/>
      <c r="E437" s="22"/>
      <c r="F437" s="24"/>
      <c r="G437" s="24" t="str">
        <f t="shared" si="1"/>
        <v/>
      </c>
      <c r="H437" s="22"/>
      <c r="I437" s="22"/>
      <c r="K437" s="1"/>
    </row>
    <row r="438" ht="15.0" customHeight="1">
      <c r="A438" s="22"/>
      <c r="B438" s="22" t="str">
        <f t="array" ref="B438">IF($A438="","",IFERROR(INDEX(Companies!$C$2:$C$1000,MATCH($A438,Companies!$B$2:$B$1000,0)),""))</f>
        <v/>
      </c>
      <c r="C438" s="22" t="str">
        <f t="array" ref="C438">IF($A438="","",IFERROR(INDEX(Companies!$D$2:$D$1000,MATCH($A438,Companies!$B$2:$B$1000,0)),""))</f>
        <v/>
      </c>
      <c r="D438" s="24"/>
      <c r="E438" s="22"/>
      <c r="F438" s="24"/>
      <c r="G438" s="24" t="str">
        <f t="shared" si="1"/>
        <v/>
      </c>
      <c r="H438" s="22"/>
      <c r="I438" s="22"/>
      <c r="K438" s="1"/>
    </row>
    <row r="439" ht="15.0" customHeight="1">
      <c r="A439" s="22"/>
      <c r="B439" s="22" t="str">
        <f t="array" ref="B439">IF($A439="","",IFERROR(INDEX(Companies!$C$2:$C$1000,MATCH($A439,Companies!$B$2:$B$1000,0)),""))</f>
        <v/>
      </c>
      <c r="C439" s="22" t="str">
        <f t="array" ref="C439">IF($A439="","",IFERROR(INDEX(Companies!$D$2:$D$1000,MATCH($A439,Companies!$B$2:$B$1000,0)),""))</f>
        <v/>
      </c>
      <c r="D439" s="24"/>
      <c r="E439" s="22"/>
      <c r="F439" s="24"/>
      <c r="G439" s="24" t="str">
        <f t="shared" si="1"/>
        <v/>
      </c>
      <c r="H439" s="22"/>
      <c r="I439" s="22"/>
      <c r="K439" s="1"/>
    </row>
    <row r="440" ht="15.0" customHeight="1">
      <c r="A440" s="22"/>
      <c r="B440" s="22" t="str">
        <f t="array" ref="B440">IF($A440="","",IFERROR(INDEX(Companies!$C$2:$C$1000,MATCH($A440,Companies!$B$2:$B$1000,0)),""))</f>
        <v/>
      </c>
      <c r="C440" s="22" t="str">
        <f t="array" ref="C440">IF($A440="","",IFERROR(INDEX(Companies!$D$2:$D$1000,MATCH($A440,Companies!$B$2:$B$1000,0)),""))</f>
        <v/>
      </c>
      <c r="D440" s="24"/>
      <c r="E440" s="22"/>
      <c r="F440" s="24"/>
      <c r="G440" s="24" t="str">
        <f t="shared" si="1"/>
        <v/>
      </c>
      <c r="H440" s="22"/>
      <c r="I440" s="22"/>
      <c r="K440" s="1"/>
    </row>
    <row r="441" ht="15.0" customHeight="1">
      <c r="A441" s="22"/>
      <c r="B441" s="22" t="str">
        <f t="array" ref="B441">IF($A441="","",IFERROR(INDEX(Companies!$C$2:$C$1000,MATCH($A441,Companies!$B$2:$B$1000,0)),""))</f>
        <v/>
      </c>
      <c r="C441" s="22" t="str">
        <f t="array" ref="C441">IF($A441="","",IFERROR(INDEX(Companies!$D$2:$D$1000,MATCH($A441,Companies!$B$2:$B$1000,0)),""))</f>
        <v/>
      </c>
      <c r="D441" s="24"/>
      <c r="E441" s="22"/>
      <c r="F441" s="24"/>
      <c r="G441" s="24" t="str">
        <f t="shared" si="1"/>
        <v/>
      </c>
      <c r="H441" s="22"/>
      <c r="I441" s="22"/>
      <c r="K441" s="1"/>
    </row>
    <row r="442" ht="15.0" customHeight="1">
      <c r="A442" s="22"/>
      <c r="B442" s="22" t="str">
        <f t="array" ref="B442">IF($A442="","",IFERROR(INDEX(Companies!$C$2:$C$1000,MATCH($A442,Companies!$B$2:$B$1000,0)),""))</f>
        <v/>
      </c>
      <c r="C442" s="22" t="str">
        <f t="array" ref="C442">IF($A442="","",IFERROR(INDEX(Companies!$D$2:$D$1000,MATCH($A442,Companies!$B$2:$B$1000,0)),""))</f>
        <v/>
      </c>
      <c r="D442" s="24"/>
      <c r="E442" s="22"/>
      <c r="F442" s="24"/>
      <c r="G442" s="24" t="str">
        <f t="shared" si="1"/>
        <v/>
      </c>
      <c r="H442" s="22"/>
      <c r="I442" s="22"/>
      <c r="K442" s="1"/>
    </row>
    <row r="443" ht="15.0" customHeight="1">
      <c r="A443" s="22"/>
      <c r="B443" s="22" t="str">
        <f t="array" ref="B443">IF($A443="","",IFERROR(INDEX(Companies!$C$2:$C$1000,MATCH($A443,Companies!$B$2:$B$1000,0)),""))</f>
        <v/>
      </c>
      <c r="C443" s="22" t="str">
        <f t="array" ref="C443">IF($A443="","",IFERROR(INDEX(Companies!$D$2:$D$1000,MATCH($A443,Companies!$B$2:$B$1000,0)),""))</f>
        <v/>
      </c>
      <c r="D443" s="24"/>
      <c r="E443" s="22"/>
      <c r="F443" s="24"/>
      <c r="G443" s="24" t="str">
        <f t="shared" si="1"/>
        <v/>
      </c>
      <c r="H443" s="22"/>
      <c r="I443" s="22"/>
      <c r="K443" s="1"/>
    </row>
    <row r="444" ht="15.0" customHeight="1">
      <c r="A444" s="22"/>
      <c r="B444" s="22" t="str">
        <f t="array" ref="B444">IF($A444="","",IFERROR(INDEX(Companies!$C$2:$C$1000,MATCH($A444,Companies!$B$2:$B$1000,0)),""))</f>
        <v/>
      </c>
      <c r="C444" s="22" t="str">
        <f t="array" ref="C444">IF($A444="","",IFERROR(INDEX(Companies!$D$2:$D$1000,MATCH($A444,Companies!$B$2:$B$1000,0)),""))</f>
        <v/>
      </c>
      <c r="D444" s="24"/>
      <c r="E444" s="22"/>
      <c r="F444" s="24"/>
      <c r="G444" s="24" t="str">
        <f t="shared" si="1"/>
        <v/>
      </c>
      <c r="H444" s="22"/>
      <c r="I444" s="22"/>
      <c r="K444" s="1"/>
    </row>
    <row r="445" ht="15.0" customHeight="1">
      <c r="A445" s="22"/>
      <c r="B445" s="22" t="str">
        <f t="array" ref="B445">IF($A445="","",IFERROR(INDEX(Companies!$C$2:$C$1000,MATCH($A445,Companies!$B$2:$B$1000,0)),""))</f>
        <v/>
      </c>
      <c r="C445" s="22" t="str">
        <f t="array" ref="C445">IF($A445="","",IFERROR(INDEX(Companies!$D$2:$D$1000,MATCH($A445,Companies!$B$2:$B$1000,0)),""))</f>
        <v/>
      </c>
      <c r="D445" s="24"/>
      <c r="E445" s="22"/>
      <c r="F445" s="24"/>
      <c r="G445" s="24" t="str">
        <f t="shared" si="1"/>
        <v/>
      </c>
      <c r="H445" s="22"/>
      <c r="I445" s="22"/>
      <c r="K445" s="1"/>
    </row>
    <row r="446" ht="15.0" customHeight="1">
      <c r="A446" s="22"/>
      <c r="B446" s="22" t="str">
        <f t="array" ref="B446">IF($A446="","",IFERROR(INDEX(Companies!$C$2:$C$1000,MATCH($A446,Companies!$B$2:$B$1000,0)),""))</f>
        <v/>
      </c>
      <c r="C446" s="22" t="str">
        <f t="array" ref="C446">IF($A446="","",IFERROR(INDEX(Companies!$D$2:$D$1000,MATCH($A446,Companies!$B$2:$B$1000,0)),""))</f>
        <v/>
      </c>
      <c r="D446" s="24"/>
      <c r="E446" s="22"/>
      <c r="F446" s="24"/>
      <c r="G446" s="24" t="str">
        <f t="shared" si="1"/>
        <v/>
      </c>
      <c r="H446" s="22"/>
      <c r="I446" s="22"/>
      <c r="K446" s="1"/>
    </row>
    <row r="447" ht="15.0" customHeight="1">
      <c r="A447" s="22"/>
      <c r="B447" s="22" t="str">
        <f t="array" ref="B447">IF($A447="","",IFERROR(INDEX(Companies!$C$2:$C$1000,MATCH($A447,Companies!$B$2:$B$1000,0)),""))</f>
        <v/>
      </c>
      <c r="C447" s="22" t="str">
        <f t="array" ref="C447">IF($A447="","",IFERROR(INDEX(Companies!$D$2:$D$1000,MATCH($A447,Companies!$B$2:$B$1000,0)),""))</f>
        <v/>
      </c>
      <c r="D447" s="24"/>
      <c r="E447" s="22"/>
      <c r="F447" s="24"/>
      <c r="G447" s="24" t="str">
        <f t="shared" si="1"/>
        <v/>
      </c>
      <c r="H447" s="22"/>
      <c r="I447" s="22"/>
      <c r="K447" s="1"/>
    </row>
    <row r="448" ht="15.0" customHeight="1">
      <c r="A448" s="22"/>
      <c r="B448" s="22" t="str">
        <f t="array" ref="B448">IF($A448="","",IFERROR(INDEX(Companies!$C$2:$C$1000,MATCH($A448,Companies!$B$2:$B$1000,0)),""))</f>
        <v/>
      </c>
      <c r="C448" s="22" t="str">
        <f t="array" ref="C448">IF($A448="","",IFERROR(INDEX(Companies!$D$2:$D$1000,MATCH($A448,Companies!$B$2:$B$1000,0)),""))</f>
        <v/>
      </c>
      <c r="D448" s="24"/>
      <c r="E448" s="22"/>
      <c r="F448" s="24"/>
      <c r="G448" s="24" t="str">
        <f t="shared" si="1"/>
        <v/>
      </c>
      <c r="H448" s="22"/>
      <c r="I448" s="22"/>
      <c r="K448" s="1"/>
    </row>
    <row r="449" ht="15.0" customHeight="1">
      <c r="A449" s="22"/>
      <c r="B449" s="22" t="str">
        <f t="array" ref="B449">IF($A449="","",IFERROR(INDEX(Companies!$C$2:$C$1000,MATCH($A449,Companies!$B$2:$B$1000,0)),""))</f>
        <v/>
      </c>
      <c r="C449" s="22" t="str">
        <f t="array" ref="C449">IF($A449="","",IFERROR(INDEX(Companies!$D$2:$D$1000,MATCH($A449,Companies!$B$2:$B$1000,0)),""))</f>
        <v/>
      </c>
      <c r="D449" s="24"/>
      <c r="E449" s="22"/>
      <c r="F449" s="24"/>
      <c r="G449" s="24" t="str">
        <f t="shared" si="1"/>
        <v/>
      </c>
      <c r="H449" s="22"/>
      <c r="I449" s="22"/>
      <c r="K449" s="1"/>
    </row>
    <row r="450" ht="15.0" customHeight="1">
      <c r="A450" s="22"/>
      <c r="B450" s="22" t="str">
        <f t="array" ref="B450">IF($A450="","",IFERROR(INDEX(Companies!$C$2:$C$1000,MATCH($A450,Companies!$B$2:$B$1000,0)),""))</f>
        <v/>
      </c>
      <c r="C450" s="22" t="str">
        <f t="array" ref="C450">IF($A450="","",IFERROR(INDEX(Companies!$D$2:$D$1000,MATCH($A450,Companies!$B$2:$B$1000,0)),""))</f>
        <v/>
      </c>
      <c r="D450" s="24"/>
      <c r="E450" s="22"/>
      <c r="F450" s="24"/>
      <c r="G450" s="24" t="str">
        <f t="shared" si="1"/>
        <v/>
      </c>
      <c r="H450" s="22"/>
      <c r="I450" s="22"/>
      <c r="K450" s="1"/>
    </row>
    <row r="451" ht="15.0" customHeight="1">
      <c r="A451" s="22"/>
      <c r="B451" s="22" t="str">
        <f t="array" ref="B451">IF($A451="","",IFERROR(INDEX(Companies!$C$2:$C$1000,MATCH($A451,Companies!$B$2:$B$1000,0)),""))</f>
        <v/>
      </c>
      <c r="C451" s="22" t="str">
        <f t="array" ref="C451">IF($A451="","",IFERROR(INDEX(Companies!$D$2:$D$1000,MATCH($A451,Companies!$B$2:$B$1000,0)),""))</f>
        <v/>
      </c>
      <c r="D451" s="24"/>
      <c r="E451" s="22"/>
      <c r="F451" s="24"/>
      <c r="G451" s="24" t="str">
        <f t="shared" si="1"/>
        <v/>
      </c>
      <c r="H451" s="22"/>
      <c r="I451" s="22"/>
      <c r="K451" s="1"/>
    </row>
    <row r="452" ht="15.0" customHeight="1">
      <c r="A452" s="22"/>
      <c r="B452" s="22" t="str">
        <f t="array" ref="B452">IF($A452="","",IFERROR(INDEX(Companies!$C$2:$C$1000,MATCH($A452,Companies!$B$2:$B$1000,0)),""))</f>
        <v/>
      </c>
      <c r="C452" s="22" t="str">
        <f t="array" ref="C452">IF($A452="","",IFERROR(INDEX(Companies!$D$2:$D$1000,MATCH($A452,Companies!$B$2:$B$1000,0)),""))</f>
        <v/>
      </c>
      <c r="D452" s="24"/>
      <c r="E452" s="22"/>
      <c r="F452" s="24"/>
      <c r="G452" s="24" t="str">
        <f t="shared" si="1"/>
        <v/>
      </c>
      <c r="H452" s="22"/>
      <c r="I452" s="22"/>
      <c r="K452" s="1"/>
    </row>
    <row r="453" ht="15.0" customHeight="1">
      <c r="A453" s="22"/>
      <c r="B453" s="22" t="str">
        <f t="array" ref="B453">IF($A453="","",IFERROR(INDEX(Companies!$C$2:$C$1000,MATCH($A453,Companies!$B$2:$B$1000,0)),""))</f>
        <v/>
      </c>
      <c r="C453" s="22" t="str">
        <f t="array" ref="C453">IF($A453="","",IFERROR(INDEX(Companies!$D$2:$D$1000,MATCH($A453,Companies!$B$2:$B$1000,0)),""))</f>
        <v/>
      </c>
      <c r="D453" s="24"/>
      <c r="E453" s="22"/>
      <c r="F453" s="24"/>
      <c r="G453" s="24" t="str">
        <f t="shared" si="1"/>
        <v/>
      </c>
      <c r="H453" s="22"/>
      <c r="I453" s="22"/>
      <c r="K453" s="1"/>
    </row>
    <row r="454" ht="15.0" customHeight="1">
      <c r="A454" s="22"/>
      <c r="B454" s="22" t="str">
        <f t="array" ref="B454">IF($A454="","",IFERROR(INDEX(Companies!$C$2:$C$1000,MATCH($A454,Companies!$B$2:$B$1000,0)),""))</f>
        <v/>
      </c>
      <c r="C454" s="22" t="str">
        <f t="array" ref="C454">IF($A454="","",IFERROR(INDEX(Companies!$D$2:$D$1000,MATCH($A454,Companies!$B$2:$B$1000,0)),""))</f>
        <v/>
      </c>
      <c r="D454" s="24"/>
      <c r="E454" s="22"/>
      <c r="F454" s="24"/>
      <c r="G454" s="24" t="str">
        <f t="shared" si="1"/>
        <v/>
      </c>
      <c r="H454" s="22"/>
      <c r="I454" s="22"/>
      <c r="K454" s="1"/>
    </row>
    <row r="455" ht="15.0" customHeight="1">
      <c r="A455" s="22"/>
      <c r="B455" s="22" t="str">
        <f t="array" ref="B455">IF($A455="","",IFERROR(INDEX(Companies!$C$2:$C$1000,MATCH($A455,Companies!$B$2:$B$1000,0)),""))</f>
        <v/>
      </c>
      <c r="C455" s="22" t="str">
        <f t="array" ref="C455">IF($A455="","",IFERROR(INDEX(Companies!$D$2:$D$1000,MATCH($A455,Companies!$B$2:$B$1000,0)),""))</f>
        <v/>
      </c>
      <c r="D455" s="24"/>
      <c r="E455" s="22"/>
      <c r="F455" s="24"/>
      <c r="G455" s="24" t="str">
        <f t="shared" si="1"/>
        <v/>
      </c>
      <c r="H455" s="22"/>
      <c r="I455" s="22"/>
      <c r="K455" s="1"/>
    </row>
    <row r="456" ht="15.0" customHeight="1">
      <c r="A456" s="22"/>
      <c r="B456" s="22" t="str">
        <f t="array" ref="B456">IF($A456="","",IFERROR(INDEX(Companies!$C$2:$C$1000,MATCH($A456,Companies!$B$2:$B$1000,0)),""))</f>
        <v/>
      </c>
      <c r="C456" s="22" t="str">
        <f t="array" ref="C456">IF($A456="","",IFERROR(INDEX(Companies!$D$2:$D$1000,MATCH($A456,Companies!$B$2:$B$1000,0)),""))</f>
        <v/>
      </c>
      <c r="D456" s="24"/>
      <c r="E456" s="22"/>
      <c r="F456" s="24"/>
      <c r="G456" s="24" t="str">
        <f t="shared" si="1"/>
        <v/>
      </c>
      <c r="H456" s="22"/>
      <c r="I456" s="22"/>
      <c r="K456" s="1"/>
    </row>
    <row r="457" ht="15.0" customHeight="1">
      <c r="A457" s="22"/>
      <c r="B457" s="22" t="str">
        <f t="array" ref="B457">IF($A457="","",IFERROR(INDEX(Companies!$C$2:$C$1000,MATCH($A457,Companies!$B$2:$B$1000,0)),""))</f>
        <v/>
      </c>
      <c r="C457" s="22" t="str">
        <f t="array" ref="C457">IF($A457="","",IFERROR(INDEX(Companies!$D$2:$D$1000,MATCH($A457,Companies!$B$2:$B$1000,0)),""))</f>
        <v/>
      </c>
      <c r="D457" s="24"/>
      <c r="E457" s="22"/>
      <c r="F457" s="24"/>
      <c r="G457" s="24" t="str">
        <f t="shared" si="1"/>
        <v/>
      </c>
      <c r="H457" s="22"/>
      <c r="I457" s="22"/>
      <c r="K457" s="1"/>
    </row>
    <row r="458" ht="15.0" customHeight="1">
      <c r="A458" s="22"/>
      <c r="B458" s="22" t="str">
        <f t="array" ref="B458">IF($A458="","",IFERROR(INDEX(Companies!$C$2:$C$1000,MATCH($A458,Companies!$B$2:$B$1000,0)),""))</f>
        <v/>
      </c>
      <c r="C458" s="22" t="str">
        <f t="array" ref="C458">IF($A458="","",IFERROR(INDEX(Companies!$D$2:$D$1000,MATCH($A458,Companies!$B$2:$B$1000,0)),""))</f>
        <v/>
      </c>
      <c r="D458" s="24"/>
      <c r="E458" s="22"/>
      <c r="F458" s="24"/>
      <c r="G458" s="24" t="str">
        <f t="shared" si="1"/>
        <v/>
      </c>
      <c r="H458" s="22"/>
      <c r="I458" s="22"/>
      <c r="K458" s="1"/>
    </row>
    <row r="459" ht="15.0" customHeight="1">
      <c r="A459" s="22"/>
      <c r="B459" s="22" t="str">
        <f t="array" ref="B459">IF($A459="","",IFERROR(INDEX(Companies!$C$2:$C$1000,MATCH($A459,Companies!$B$2:$B$1000,0)),""))</f>
        <v/>
      </c>
      <c r="C459" s="22" t="str">
        <f t="array" ref="C459">IF($A459="","",IFERROR(INDEX(Companies!$D$2:$D$1000,MATCH($A459,Companies!$B$2:$B$1000,0)),""))</f>
        <v/>
      </c>
      <c r="D459" s="24"/>
      <c r="E459" s="22"/>
      <c r="F459" s="24"/>
      <c r="G459" s="24" t="str">
        <f t="shared" si="1"/>
        <v/>
      </c>
      <c r="H459" s="22"/>
      <c r="I459" s="22"/>
      <c r="K459" s="1"/>
    </row>
    <row r="460" ht="15.0" customHeight="1">
      <c r="A460" s="22"/>
      <c r="B460" s="22" t="str">
        <f t="array" ref="B460">IF($A460="","",IFERROR(INDEX(Companies!$C$2:$C$1000,MATCH($A460,Companies!$B$2:$B$1000,0)),""))</f>
        <v/>
      </c>
      <c r="C460" s="22" t="str">
        <f t="array" ref="C460">IF($A460="","",IFERROR(INDEX(Companies!$D$2:$D$1000,MATCH($A460,Companies!$B$2:$B$1000,0)),""))</f>
        <v/>
      </c>
      <c r="D460" s="24"/>
      <c r="E460" s="22"/>
      <c r="F460" s="24"/>
      <c r="G460" s="24" t="str">
        <f t="shared" si="1"/>
        <v/>
      </c>
      <c r="H460" s="22"/>
      <c r="I460" s="22"/>
      <c r="K460" s="1"/>
    </row>
    <row r="461" ht="15.0" customHeight="1">
      <c r="A461" s="22"/>
      <c r="B461" s="22" t="str">
        <f t="array" ref="B461">IF($A461="","",IFERROR(INDEX(Companies!$C$2:$C$1000,MATCH($A461,Companies!$B$2:$B$1000,0)),""))</f>
        <v/>
      </c>
      <c r="C461" s="22" t="str">
        <f t="array" ref="C461">IF($A461="","",IFERROR(INDEX(Companies!$D$2:$D$1000,MATCH($A461,Companies!$B$2:$B$1000,0)),""))</f>
        <v/>
      </c>
      <c r="D461" s="24"/>
      <c r="E461" s="22"/>
      <c r="F461" s="24"/>
      <c r="G461" s="24" t="str">
        <f t="shared" si="1"/>
        <v/>
      </c>
      <c r="H461" s="22"/>
      <c r="I461" s="22"/>
      <c r="K461" s="1"/>
    </row>
    <row r="462" ht="15.0" customHeight="1">
      <c r="A462" s="22"/>
      <c r="B462" s="22" t="str">
        <f t="array" ref="B462">IF($A462="","",IFERROR(INDEX(Companies!$C$2:$C$1000,MATCH($A462,Companies!$B$2:$B$1000,0)),""))</f>
        <v/>
      </c>
      <c r="C462" s="22" t="str">
        <f t="array" ref="C462">IF($A462="","",IFERROR(INDEX(Companies!$D$2:$D$1000,MATCH($A462,Companies!$B$2:$B$1000,0)),""))</f>
        <v/>
      </c>
      <c r="D462" s="24"/>
      <c r="E462" s="22"/>
      <c r="F462" s="24"/>
      <c r="G462" s="24" t="str">
        <f t="shared" si="1"/>
        <v/>
      </c>
      <c r="H462" s="22"/>
      <c r="I462" s="22"/>
      <c r="K462" s="1"/>
    </row>
    <row r="463" ht="15.0" customHeight="1">
      <c r="A463" s="22"/>
      <c r="B463" s="22" t="str">
        <f t="array" ref="B463">IF($A463="","",IFERROR(INDEX(Companies!$C$2:$C$1000,MATCH($A463,Companies!$B$2:$B$1000,0)),""))</f>
        <v/>
      </c>
      <c r="C463" s="22" t="str">
        <f t="array" ref="C463">IF($A463="","",IFERROR(INDEX(Companies!$D$2:$D$1000,MATCH($A463,Companies!$B$2:$B$1000,0)),""))</f>
        <v/>
      </c>
      <c r="D463" s="24"/>
      <c r="E463" s="22"/>
      <c r="F463" s="24"/>
      <c r="G463" s="24" t="str">
        <f t="shared" si="1"/>
        <v/>
      </c>
      <c r="H463" s="22"/>
      <c r="I463" s="22"/>
      <c r="K463" s="1"/>
    </row>
    <row r="464" ht="15.0" customHeight="1">
      <c r="A464" s="22"/>
      <c r="B464" s="22" t="str">
        <f t="array" ref="B464">IF($A464="","",IFERROR(INDEX(Companies!$C$2:$C$1000,MATCH($A464,Companies!$B$2:$B$1000,0)),""))</f>
        <v/>
      </c>
      <c r="C464" s="22" t="str">
        <f t="array" ref="C464">IF($A464="","",IFERROR(INDEX(Companies!$D$2:$D$1000,MATCH($A464,Companies!$B$2:$B$1000,0)),""))</f>
        <v/>
      </c>
      <c r="D464" s="24"/>
      <c r="E464" s="22"/>
      <c r="F464" s="24"/>
      <c r="G464" s="24" t="str">
        <f t="shared" si="1"/>
        <v/>
      </c>
      <c r="H464" s="22"/>
      <c r="I464" s="22"/>
      <c r="K464" s="1"/>
    </row>
    <row r="465" ht="15.0" customHeight="1">
      <c r="A465" s="22"/>
      <c r="B465" s="22" t="str">
        <f t="array" ref="B465">IF($A465="","",IFERROR(INDEX(Companies!$C$2:$C$1000,MATCH($A465,Companies!$B$2:$B$1000,0)),""))</f>
        <v/>
      </c>
      <c r="C465" s="22" t="str">
        <f t="array" ref="C465">IF($A465="","",IFERROR(INDEX(Companies!$D$2:$D$1000,MATCH($A465,Companies!$B$2:$B$1000,0)),""))</f>
        <v/>
      </c>
      <c r="D465" s="24"/>
      <c r="E465" s="22"/>
      <c r="F465" s="24"/>
      <c r="G465" s="24" t="str">
        <f t="shared" si="1"/>
        <v/>
      </c>
      <c r="H465" s="22"/>
      <c r="I465" s="22"/>
      <c r="K465" s="1"/>
    </row>
    <row r="466" ht="15.0" customHeight="1">
      <c r="A466" s="22"/>
      <c r="B466" s="22" t="str">
        <f t="array" ref="B466">IF($A466="","",IFERROR(INDEX(Companies!$C$2:$C$1000,MATCH($A466,Companies!$B$2:$B$1000,0)),""))</f>
        <v/>
      </c>
      <c r="C466" s="22" t="str">
        <f t="array" ref="C466">IF($A466="","",IFERROR(INDEX(Companies!$D$2:$D$1000,MATCH($A466,Companies!$B$2:$B$1000,0)),""))</f>
        <v/>
      </c>
      <c r="D466" s="24"/>
      <c r="E466" s="22"/>
      <c r="F466" s="24"/>
      <c r="G466" s="24" t="str">
        <f t="shared" si="1"/>
        <v/>
      </c>
      <c r="H466" s="22"/>
      <c r="I466" s="22"/>
      <c r="K466" s="1"/>
    </row>
    <row r="467" ht="15.0" customHeight="1">
      <c r="A467" s="22"/>
      <c r="B467" s="22" t="str">
        <f t="array" ref="B467">IF($A467="","",IFERROR(INDEX(Companies!$C$2:$C$1000,MATCH($A467,Companies!$B$2:$B$1000,0)),""))</f>
        <v/>
      </c>
      <c r="C467" s="22" t="str">
        <f t="array" ref="C467">IF($A467="","",IFERROR(INDEX(Companies!$D$2:$D$1000,MATCH($A467,Companies!$B$2:$B$1000,0)),""))</f>
        <v/>
      </c>
      <c r="D467" s="24"/>
      <c r="E467" s="22"/>
      <c r="F467" s="24"/>
      <c r="G467" s="24" t="str">
        <f t="shared" si="1"/>
        <v/>
      </c>
      <c r="H467" s="22"/>
      <c r="I467" s="22"/>
      <c r="K467" s="1"/>
    </row>
    <row r="468" ht="15.0" customHeight="1">
      <c r="A468" s="22"/>
      <c r="B468" s="22" t="str">
        <f t="array" ref="B468">IF($A468="","",IFERROR(INDEX(Companies!$C$2:$C$1000,MATCH($A468,Companies!$B$2:$B$1000,0)),""))</f>
        <v/>
      </c>
      <c r="C468" s="22" t="str">
        <f t="array" ref="C468">IF($A468="","",IFERROR(INDEX(Companies!$D$2:$D$1000,MATCH($A468,Companies!$B$2:$B$1000,0)),""))</f>
        <v/>
      </c>
      <c r="D468" s="24"/>
      <c r="E468" s="22"/>
      <c r="F468" s="24"/>
      <c r="G468" s="24" t="str">
        <f t="shared" si="1"/>
        <v/>
      </c>
      <c r="H468" s="22"/>
      <c r="I468" s="22"/>
      <c r="K468" s="1"/>
    </row>
    <row r="469" ht="15.0" customHeight="1">
      <c r="A469" s="22"/>
      <c r="B469" s="22" t="str">
        <f t="array" ref="B469">IF($A469="","",IFERROR(INDEX(Companies!$C$2:$C$1000,MATCH($A469,Companies!$B$2:$B$1000,0)),""))</f>
        <v/>
      </c>
      <c r="C469" s="22" t="str">
        <f t="array" ref="C469">IF($A469="","",IFERROR(INDEX(Companies!$D$2:$D$1000,MATCH($A469,Companies!$B$2:$B$1000,0)),""))</f>
        <v/>
      </c>
      <c r="D469" s="24"/>
      <c r="E469" s="22"/>
      <c r="F469" s="24"/>
      <c r="G469" s="24" t="str">
        <f t="shared" si="1"/>
        <v/>
      </c>
      <c r="H469" s="22"/>
      <c r="I469" s="22"/>
      <c r="K469" s="1"/>
    </row>
    <row r="470" ht="15.0" customHeight="1">
      <c r="A470" s="22"/>
      <c r="B470" s="22" t="str">
        <f t="array" ref="B470">IF($A470="","",IFERROR(INDEX(Companies!$C$2:$C$1000,MATCH($A470,Companies!$B$2:$B$1000,0)),""))</f>
        <v/>
      </c>
      <c r="C470" s="22" t="str">
        <f t="array" ref="C470">IF($A470="","",IFERROR(INDEX(Companies!$D$2:$D$1000,MATCH($A470,Companies!$B$2:$B$1000,0)),""))</f>
        <v/>
      </c>
      <c r="D470" s="24"/>
      <c r="E470" s="22"/>
      <c r="F470" s="24"/>
      <c r="G470" s="24" t="str">
        <f t="shared" si="1"/>
        <v/>
      </c>
      <c r="H470" s="22"/>
      <c r="I470" s="22"/>
      <c r="K470" s="1"/>
    </row>
    <row r="471" ht="15.0" customHeight="1">
      <c r="A471" s="22"/>
      <c r="B471" s="22" t="str">
        <f t="array" ref="B471">IF($A471="","",IFERROR(INDEX(Companies!$C$2:$C$1000,MATCH($A471,Companies!$B$2:$B$1000,0)),""))</f>
        <v/>
      </c>
      <c r="C471" s="22" t="str">
        <f t="array" ref="C471">IF($A471="","",IFERROR(INDEX(Companies!$D$2:$D$1000,MATCH($A471,Companies!$B$2:$B$1000,0)),""))</f>
        <v/>
      </c>
      <c r="D471" s="24"/>
      <c r="E471" s="22"/>
      <c r="F471" s="24"/>
      <c r="G471" s="24" t="str">
        <f t="shared" si="1"/>
        <v/>
      </c>
      <c r="H471" s="22"/>
      <c r="I471" s="22"/>
      <c r="K471" s="1"/>
    </row>
    <row r="472" ht="15.0" customHeight="1">
      <c r="A472" s="22"/>
      <c r="B472" s="22" t="str">
        <f t="array" ref="B472">IF($A472="","",IFERROR(INDEX(Companies!$C$2:$C$1000,MATCH($A472,Companies!$B$2:$B$1000,0)),""))</f>
        <v/>
      </c>
      <c r="C472" s="22" t="str">
        <f t="array" ref="C472">IF($A472="","",IFERROR(INDEX(Companies!$D$2:$D$1000,MATCH($A472,Companies!$B$2:$B$1000,0)),""))</f>
        <v/>
      </c>
      <c r="D472" s="24"/>
      <c r="E472" s="22"/>
      <c r="F472" s="24"/>
      <c r="G472" s="24" t="str">
        <f t="shared" si="1"/>
        <v/>
      </c>
      <c r="H472" s="22"/>
      <c r="I472" s="22"/>
      <c r="K472" s="1"/>
    </row>
    <row r="473" ht="15.0" customHeight="1">
      <c r="A473" s="22"/>
      <c r="B473" s="22" t="str">
        <f t="array" ref="B473">IF($A473="","",IFERROR(INDEX(Companies!$C$2:$C$1000,MATCH($A473,Companies!$B$2:$B$1000,0)),""))</f>
        <v/>
      </c>
      <c r="C473" s="22" t="str">
        <f t="array" ref="C473">IF($A473="","",IFERROR(INDEX(Companies!$D$2:$D$1000,MATCH($A473,Companies!$B$2:$B$1000,0)),""))</f>
        <v/>
      </c>
      <c r="D473" s="24"/>
      <c r="E473" s="22"/>
      <c r="F473" s="24"/>
      <c r="G473" s="24" t="str">
        <f t="shared" si="1"/>
        <v/>
      </c>
      <c r="H473" s="22"/>
      <c r="I473" s="22"/>
      <c r="K473" s="1"/>
    </row>
    <row r="474" ht="15.0" customHeight="1">
      <c r="A474" s="22"/>
      <c r="B474" s="22" t="str">
        <f t="array" ref="B474">IF($A474="","",IFERROR(INDEX(Companies!$C$2:$C$1000,MATCH($A474,Companies!$B$2:$B$1000,0)),""))</f>
        <v/>
      </c>
      <c r="C474" s="22" t="str">
        <f t="array" ref="C474">IF($A474="","",IFERROR(INDEX(Companies!$D$2:$D$1000,MATCH($A474,Companies!$B$2:$B$1000,0)),""))</f>
        <v/>
      </c>
      <c r="D474" s="24"/>
      <c r="E474" s="22"/>
      <c r="F474" s="24"/>
      <c r="G474" s="24" t="str">
        <f t="shared" si="1"/>
        <v/>
      </c>
      <c r="H474" s="22"/>
      <c r="I474" s="22"/>
      <c r="K474" s="1"/>
    </row>
    <row r="475" ht="15.0" customHeight="1">
      <c r="A475" s="22"/>
      <c r="B475" s="22" t="str">
        <f t="array" ref="B475">IF($A475="","",IFERROR(INDEX(Companies!$C$2:$C$1000,MATCH($A475,Companies!$B$2:$B$1000,0)),""))</f>
        <v/>
      </c>
      <c r="C475" s="22" t="str">
        <f t="array" ref="C475">IF($A475="","",IFERROR(INDEX(Companies!$D$2:$D$1000,MATCH($A475,Companies!$B$2:$B$1000,0)),""))</f>
        <v/>
      </c>
      <c r="D475" s="24"/>
      <c r="E475" s="22"/>
      <c r="F475" s="24"/>
      <c r="G475" s="24" t="str">
        <f t="shared" si="1"/>
        <v/>
      </c>
      <c r="H475" s="22"/>
      <c r="I475" s="22"/>
      <c r="K475" s="1"/>
    </row>
    <row r="476" ht="15.0" customHeight="1">
      <c r="A476" s="22"/>
      <c r="B476" s="22" t="str">
        <f t="array" ref="B476">IF($A476="","",IFERROR(INDEX(Companies!$C$2:$C$1000,MATCH($A476,Companies!$B$2:$B$1000,0)),""))</f>
        <v/>
      </c>
      <c r="C476" s="22" t="str">
        <f t="array" ref="C476">IF($A476="","",IFERROR(INDEX(Companies!$D$2:$D$1000,MATCH($A476,Companies!$B$2:$B$1000,0)),""))</f>
        <v/>
      </c>
      <c r="D476" s="24"/>
      <c r="E476" s="22"/>
      <c r="F476" s="24"/>
      <c r="G476" s="24" t="str">
        <f t="shared" si="1"/>
        <v/>
      </c>
      <c r="H476" s="22"/>
      <c r="I476" s="22"/>
      <c r="K476" s="1"/>
    </row>
    <row r="477" ht="15.0" customHeight="1">
      <c r="A477" s="22"/>
      <c r="B477" s="22" t="str">
        <f t="array" ref="B477">IF($A477="","",IFERROR(INDEX(Companies!$C$2:$C$1000,MATCH($A477,Companies!$B$2:$B$1000,0)),""))</f>
        <v/>
      </c>
      <c r="C477" s="22" t="str">
        <f t="array" ref="C477">IF($A477="","",IFERROR(INDEX(Companies!$D$2:$D$1000,MATCH($A477,Companies!$B$2:$B$1000,0)),""))</f>
        <v/>
      </c>
      <c r="D477" s="24"/>
      <c r="E477" s="22"/>
      <c r="F477" s="24"/>
      <c r="G477" s="24" t="str">
        <f t="shared" si="1"/>
        <v/>
      </c>
      <c r="H477" s="22"/>
      <c r="I477" s="22"/>
      <c r="K477" s="1"/>
    </row>
    <row r="478" ht="15.0" customHeight="1">
      <c r="A478" s="22"/>
      <c r="B478" s="22" t="str">
        <f t="array" ref="B478">IF($A478="","",IFERROR(INDEX(Companies!$C$2:$C$1000,MATCH($A478,Companies!$B$2:$B$1000,0)),""))</f>
        <v/>
      </c>
      <c r="C478" s="22" t="str">
        <f t="array" ref="C478">IF($A478="","",IFERROR(INDEX(Companies!$D$2:$D$1000,MATCH($A478,Companies!$B$2:$B$1000,0)),""))</f>
        <v/>
      </c>
      <c r="D478" s="24"/>
      <c r="E478" s="22"/>
      <c r="F478" s="24"/>
      <c r="G478" s="24" t="str">
        <f t="shared" si="1"/>
        <v/>
      </c>
      <c r="H478" s="22"/>
      <c r="I478" s="22"/>
      <c r="K478" s="1"/>
    </row>
    <row r="479" ht="15.0" customHeight="1">
      <c r="A479" s="22"/>
      <c r="B479" s="22" t="str">
        <f t="array" ref="B479">IF($A479="","",IFERROR(INDEX(Companies!$C$2:$C$1000,MATCH($A479,Companies!$B$2:$B$1000,0)),""))</f>
        <v/>
      </c>
      <c r="C479" s="22" t="str">
        <f t="array" ref="C479">IF($A479="","",IFERROR(INDEX(Companies!$D$2:$D$1000,MATCH($A479,Companies!$B$2:$B$1000,0)),""))</f>
        <v/>
      </c>
      <c r="D479" s="24"/>
      <c r="E479" s="22"/>
      <c r="F479" s="24"/>
      <c r="G479" s="24" t="str">
        <f t="shared" si="1"/>
        <v/>
      </c>
      <c r="H479" s="22"/>
      <c r="I479" s="22"/>
      <c r="K479" s="1"/>
    </row>
    <row r="480" ht="15.0" customHeight="1">
      <c r="A480" s="22"/>
      <c r="B480" s="22" t="str">
        <f t="array" ref="B480">IF($A480="","",IFERROR(INDEX(Companies!$C$2:$C$1000,MATCH($A480,Companies!$B$2:$B$1000,0)),""))</f>
        <v/>
      </c>
      <c r="C480" s="22" t="str">
        <f t="array" ref="C480">IF($A480="","",IFERROR(INDEX(Companies!$D$2:$D$1000,MATCH($A480,Companies!$B$2:$B$1000,0)),""))</f>
        <v/>
      </c>
      <c r="D480" s="24"/>
      <c r="E480" s="22"/>
      <c r="F480" s="24"/>
      <c r="G480" s="24" t="str">
        <f t="shared" si="1"/>
        <v/>
      </c>
      <c r="H480" s="22"/>
      <c r="I480" s="22"/>
      <c r="K480" s="1"/>
    </row>
    <row r="481" ht="15.0" customHeight="1">
      <c r="A481" s="22"/>
      <c r="B481" s="22" t="str">
        <f t="array" ref="B481">IF($A481="","",IFERROR(INDEX(Companies!$C$2:$C$1000,MATCH($A481,Companies!$B$2:$B$1000,0)),""))</f>
        <v/>
      </c>
      <c r="C481" s="22" t="str">
        <f t="array" ref="C481">IF($A481="","",IFERROR(INDEX(Companies!$D$2:$D$1000,MATCH($A481,Companies!$B$2:$B$1000,0)),""))</f>
        <v/>
      </c>
      <c r="D481" s="24"/>
      <c r="E481" s="22"/>
      <c r="F481" s="24"/>
      <c r="G481" s="24" t="str">
        <f t="shared" si="1"/>
        <v/>
      </c>
      <c r="H481" s="22"/>
      <c r="I481" s="22"/>
      <c r="K481" s="1"/>
    </row>
    <row r="482" ht="15.0" customHeight="1">
      <c r="A482" s="22"/>
      <c r="B482" s="22" t="str">
        <f t="array" ref="B482">IF($A482="","",IFERROR(INDEX(Companies!$C$2:$C$1000,MATCH($A482,Companies!$B$2:$B$1000,0)),""))</f>
        <v/>
      </c>
      <c r="C482" s="22" t="str">
        <f t="array" ref="C482">IF($A482="","",IFERROR(INDEX(Companies!$D$2:$D$1000,MATCH($A482,Companies!$B$2:$B$1000,0)),""))</f>
        <v/>
      </c>
      <c r="D482" s="24"/>
      <c r="E482" s="22"/>
      <c r="F482" s="24"/>
      <c r="G482" s="24" t="str">
        <f t="shared" si="1"/>
        <v/>
      </c>
      <c r="H482" s="22"/>
      <c r="I482" s="22"/>
      <c r="K482" s="1"/>
    </row>
    <row r="483" ht="15.0" customHeight="1">
      <c r="A483" s="22"/>
      <c r="B483" s="22" t="str">
        <f t="array" ref="B483">IF($A483="","",IFERROR(INDEX(Companies!$C$2:$C$1000,MATCH($A483,Companies!$B$2:$B$1000,0)),""))</f>
        <v/>
      </c>
      <c r="C483" s="22" t="str">
        <f t="array" ref="C483">IF($A483="","",IFERROR(INDEX(Companies!$D$2:$D$1000,MATCH($A483,Companies!$B$2:$B$1000,0)),""))</f>
        <v/>
      </c>
      <c r="D483" s="24"/>
      <c r="E483" s="22"/>
      <c r="F483" s="24"/>
      <c r="G483" s="24" t="str">
        <f t="shared" si="1"/>
        <v/>
      </c>
      <c r="H483" s="22"/>
      <c r="I483" s="22"/>
      <c r="K483" s="1"/>
    </row>
    <row r="484" ht="15.0" customHeight="1">
      <c r="A484" s="22"/>
      <c r="B484" s="22" t="str">
        <f t="array" ref="B484">IF($A484="","",IFERROR(INDEX(Companies!$C$2:$C$1000,MATCH($A484,Companies!$B$2:$B$1000,0)),""))</f>
        <v/>
      </c>
      <c r="C484" s="22" t="str">
        <f t="array" ref="C484">IF($A484="","",IFERROR(INDEX(Companies!$D$2:$D$1000,MATCH($A484,Companies!$B$2:$B$1000,0)),""))</f>
        <v/>
      </c>
      <c r="D484" s="24"/>
      <c r="E484" s="22"/>
      <c r="F484" s="24"/>
      <c r="G484" s="24" t="str">
        <f t="shared" si="1"/>
        <v/>
      </c>
      <c r="H484" s="22"/>
      <c r="I484" s="22"/>
      <c r="K484" s="1"/>
    </row>
    <row r="485" ht="15.0" customHeight="1">
      <c r="A485" s="22"/>
      <c r="B485" s="22" t="str">
        <f t="array" ref="B485">IF($A485="","",IFERROR(INDEX(Companies!$C$2:$C$1000,MATCH($A485,Companies!$B$2:$B$1000,0)),""))</f>
        <v/>
      </c>
      <c r="C485" s="22" t="str">
        <f t="array" ref="C485">IF($A485="","",IFERROR(INDEX(Companies!$D$2:$D$1000,MATCH($A485,Companies!$B$2:$B$1000,0)),""))</f>
        <v/>
      </c>
      <c r="D485" s="24"/>
      <c r="E485" s="22"/>
      <c r="F485" s="24"/>
      <c r="G485" s="24" t="str">
        <f t="shared" si="1"/>
        <v/>
      </c>
      <c r="H485" s="22"/>
      <c r="I485" s="22"/>
      <c r="K485" s="1"/>
    </row>
    <row r="486" ht="15.0" customHeight="1">
      <c r="A486" s="22"/>
      <c r="B486" s="22" t="str">
        <f t="array" ref="B486">IF($A486="","",IFERROR(INDEX(Companies!$C$2:$C$1000,MATCH($A486,Companies!$B$2:$B$1000,0)),""))</f>
        <v/>
      </c>
      <c r="C486" s="22" t="str">
        <f t="array" ref="C486">IF($A486="","",IFERROR(INDEX(Companies!$D$2:$D$1000,MATCH($A486,Companies!$B$2:$B$1000,0)),""))</f>
        <v/>
      </c>
      <c r="D486" s="24"/>
      <c r="E486" s="22"/>
      <c r="F486" s="24"/>
      <c r="G486" s="24" t="str">
        <f t="shared" si="1"/>
        <v/>
      </c>
      <c r="H486" s="22"/>
      <c r="I486" s="22"/>
      <c r="K486" s="1"/>
    </row>
    <row r="487" ht="15.0" customHeight="1">
      <c r="A487" s="22"/>
      <c r="B487" s="22" t="str">
        <f t="array" ref="B487">IF($A487="","",IFERROR(INDEX(Companies!$C$2:$C$1000,MATCH($A487,Companies!$B$2:$B$1000,0)),""))</f>
        <v/>
      </c>
      <c r="C487" s="22" t="str">
        <f t="array" ref="C487">IF($A487="","",IFERROR(INDEX(Companies!$D$2:$D$1000,MATCH($A487,Companies!$B$2:$B$1000,0)),""))</f>
        <v/>
      </c>
      <c r="D487" s="24"/>
      <c r="E487" s="22"/>
      <c r="F487" s="24"/>
      <c r="G487" s="24" t="str">
        <f t="shared" si="1"/>
        <v/>
      </c>
      <c r="H487" s="22"/>
      <c r="I487" s="22"/>
      <c r="K487" s="1"/>
    </row>
    <row r="488" ht="15.0" customHeight="1">
      <c r="A488" s="22"/>
      <c r="B488" s="22" t="str">
        <f t="array" ref="B488">IF($A488="","",IFERROR(INDEX(Companies!$C$2:$C$1000,MATCH($A488,Companies!$B$2:$B$1000,0)),""))</f>
        <v/>
      </c>
      <c r="C488" s="22" t="str">
        <f t="array" ref="C488">IF($A488="","",IFERROR(INDEX(Companies!$D$2:$D$1000,MATCH($A488,Companies!$B$2:$B$1000,0)),""))</f>
        <v/>
      </c>
      <c r="D488" s="24"/>
      <c r="E488" s="22"/>
      <c r="F488" s="24"/>
      <c r="G488" s="24" t="str">
        <f t="shared" si="1"/>
        <v/>
      </c>
      <c r="H488" s="22"/>
      <c r="I488" s="22"/>
      <c r="K488" s="1"/>
    </row>
    <row r="489" ht="15.0" customHeight="1">
      <c r="A489" s="22"/>
      <c r="B489" s="22" t="str">
        <f t="array" ref="B489">IF($A489="","",IFERROR(INDEX(Companies!$C$2:$C$1000,MATCH($A489,Companies!$B$2:$B$1000,0)),""))</f>
        <v/>
      </c>
      <c r="C489" s="22" t="str">
        <f t="array" ref="C489">IF($A489="","",IFERROR(INDEX(Companies!$D$2:$D$1000,MATCH($A489,Companies!$B$2:$B$1000,0)),""))</f>
        <v/>
      </c>
      <c r="D489" s="24"/>
      <c r="E489" s="22"/>
      <c r="F489" s="24"/>
      <c r="G489" s="24" t="str">
        <f t="shared" si="1"/>
        <v/>
      </c>
      <c r="H489" s="22"/>
      <c r="I489" s="22"/>
      <c r="K489" s="1"/>
    </row>
    <row r="490" ht="15.0" customHeight="1">
      <c r="A490" s="22"/>
      <c r="B490" s="22" t="str">
        <f t="array" ref="B490">IF($A490="","",IFERROR(INDEX(Companies!$C$2:$C$1000,MATCH($A490,Companies!$B$2:$B$1000,0)),""))</f>
        <v/>
      </c>
      <c r="C490" s="22" t="str">
        <f t="array" ref="C490">IF($A490="","",IFERROR(INDEX(Companies!$D$2:$D$1000,MATCH($A490,Companies!$B$2:$B$1000,0)),""))</f>
        <v/>
      </c>
      <c r="D490" s="24"/>
      <c r="E490" s="22"/>
      <c r="F490" s="24"/>
      <c r="G490" s="24" t="str">
        <f t="shared" si="1"/>
        <v/>
      </c>
      <c r="H490" s="22"/>
      <c r="I490" s="22"/>
      <c r="K490" s="1"/>
    </row>
    <row r="491" ht="15.0" customHeight="1">
      <c r="A491" s="22"/>
      <c r="B491" s="22" t="str">
        <f t="array" ref="B491">IF($A491="","",IFERROR(INDEX(Companies!$C$2:$C$1000,MATCH($A491,Companies!$B$2:$B$1000,0)),""))</f>
        <v/>
      </c>
      <c r="C491" s="22" t="str">
        <f t="array" ref="C491">IF($A491="","",IFERROR(INDEX(Companies!$D$2:$D$1000,MATCH($A491,Companies!$B$2:$B$1000,0)),""))</f>
        <v/>
      </c>
      <c r="D491" s="24"/>
      <c r="E491" s="22"/>
      <c r="F491" s="24"/>
      <c r="G491" s="24" t="str">
        <f t="shared" si="1"/>
        <v/>
      </c>
      <c r="H491" s="22"/>
      <c r="I491" s="22"/>
      <c r="K491" s="1"/>
    </row>
    <row r="492" ht="15.0" customHeight="1">
      <c r="A492" s="22"/>
      <c r="B492" s="22" t="str">
        <f t="array" ref="B492">IF($A492="","",IFERROR(INDEX(Companies!$C$2:$C$1000,MATCH($A492,Companies!$B$2:$B$1000,0)),""))</f>
        <v/>
      </c>
      <c r="C492" s="22" t="str">
        <f t="array" ref="C492">IF($A492="","",IFERROR(INDEX(Companies!$D$2:$D$1000,MATCH($A492,Companies!$B$2:$B$1000,0)),""))</f>
        <v/>
      </c>
      <c r="D492" s="24"/>
      <c r="E492" s="22"/>
      <c r="F492" s="24"/>
      <c r="G492" s="24" t="str">
        <f t="shared" si="1"/>
        <v/>
      </c>
      <c r="H492" s="22"/>
      <c r="I492" s="22"/>
      <c r="K492" s="1"/>
    </row>
    <row r="493" ht="15.0" customHeight="1">
      <c r="A493" s="22"/>
      <c r="B493" s="22" t="str">
        <f t="array" ref="B493">IF($A493="","",IFERROR(INDEX(Companies!$C$2:$C$1000,MATCH($A493,Companies!$B$2:$B$1000,0)),""))</f>
        <v/>
      </c>
      <c r="C493" s="22" t="str">
        <f t="array" ref="C493">IF($A493="","",IFERROR(INDEX(Companies!$D$2:$D$1000,MATCH($A493,Companies!$B$2:$B$1000,0)),""))</f>
        <v/>
      </c>
      <c r="D493" s="24"/>
      <c r="E493" s="22"/>
      <c r="F493" s="24"/>
      <c r="G493" s="24" t="str">
        <f t="shared" si="1"/>
        <v/>
      </c>
      <c r="H493" s="22"/>
      <c r="I493" s="22"/>
      <c r="K493" s="1"/>
    </row>
    <row r="494" ht="15.0" customHeight="1">
      <c r="A494" s="22"/>
      <c r="B494" s="22" t="str">
        <f t="array" ref="B494">IF($A494="","",IFERROR(INDEX(Companies!$C$2:$C$1000,MATCH($A494,Companies!$B$2:$B$1000,0)),""))</f>
        <v/>
      </c>
      <c r="C494" s="22" t="str">
        <f t="array" ref="C494">IF($A494="","",IFERROR(INDEX(Companies!$D$2:$D$1000,MATCH($A494,Companies!$B$2:$B$1000,0)),""))</f>
        <v/>
      </c>
      <c r="D494" s="24"/>
      <c r="E494" s="22"/>
      <c r="F494" s="24"/>
      <c r="G494" s="24" t="str">
        <f t="shared" si="1"/>
        <v/>
      </c>
      <c r="H494" s="22"/>
      <c r="I494" s="22"/>
      <c r="K494" s="1"/>
    </row>
    <row r="495" ht="15.0" customHeight="1">
      <c r="A495" s="22"/>
      <c r="B495" s="22" t="str">
        <f t="array" ref="B495">IF($A495="","",IFERROR(INDEX(Companies!$C$2:$C$1000,MATCH($A495,Companies!$B$2:$B$1000,0)),""))</f>
        <v/>
      </c>
      <c r="C495" s="22" t="str">
        <f t="array" ref="C495">IF($A495="","",IFERROR(INDEX(Companies!$D$2:$D$1000,MATCH($A495,Companies!$B$2:$B$1000,0)),""))</f>
        <v/>
      </c>
      <c r="D495" s="24"/>
      <c r="E495" s="22"/>
      <c r="F495" s="24"/>
      <c r="G495" s="24" t="str">
        <f t="shared" si="1"/>
        <v/>
      </c>
      <c r="H495" s="22"/>
      <c r="I495" s="22"/>
      <c r="K495" s="1"/>
    </row>
    <row r="496" ht="15.0" customHeight="1">
      <c r="A496" s="22"/>
      <c r="B496" s="22" t="str">
        <f t="array" ref="B496">IF($A496="","",IFERROR(INDEX(Companies!$C$2:$C$1000,MATCH($A496,Companies!$B$2:$B$1000,0)),""))</f>
        <v/>
      </c>
      <c r="C496" s="22" t="str">
        <f t="array" ref="C496">IF($A496="","",IFERROR(INDEX(Companies!$D$2:$D$1000,MATCH($A496,Companies!$B$2:$B$1000,0)),""))</f>
        <v/>
      </c>
      <c r="D496" s="24"/>
      <c r="E496" s="22"/>
      <c r="F496" s="24"/>
      <c r="G496" s="24" t="str">
        <f t="shared" si="1"/>
        <v/>
      </c>
      <c r="H496" s="22"/>
      <c r="I496" s="22"/>
      <c r="K496" s="1"/>
    </row>
    <row r="497" ht="15.0" customHeight="1">
      <c r="A497" s="22"/>
      <c r="B497" s="22" t="str">
        <f t="array" ref="B497">IF($A497="","",IFERROR(INDEX(Companies!$C$2:$C$1000,MATCH($A497,Companies!$B$2:$B$1000,0)),""))</f>
        <v/>
      </c>
      <c r="C497" s="22" t="str">
        <f t="array" ref="C497">IF($A497="","",IFERROR(INDEX(Companies!$D$2:$D$1000,MATCH($A497,Companies!$B$2:$B$1000,0)),""))</f>
        <v/>
      </c>
      <c r="D497" s="24"/>
      <c r="E497" s="22"/>
      <c r="F497" s="24"/>
      <c r="G497" s="24" t="str">
        <f t="shared" si="1"/>
        <v/>
      </c>
      <c r="H497" s="22"/>
      <c r="I497" s="22"/>
      <c r="K497" s="1"/>
    </row>
    <row r="498" ht="15.0" customHeight="1">
      <c r="A498" s="22"/>
      <c r="B498" s="22" t="str">
        <f t="array" ref="B498">IF($A498="","",IFERROR(INDEX(Companies!$C$2:$C$1000,MATCH($A498,Companies!$B$2:$B$1000,0)),""))</f>
        <v/>
      </c>
      <c r="C498" s="22" t="str">
        <f t="array" ref="C498">IF($A498="","",IFERROR(INDEX(Companies!$D$2:$D$1000,MATCH($A498,Companies!$B$2:$B$1000,0)),""))</f>
        <v/>
      </c>
      <c r="D498" s="24"/>
      <c r="E498" s="22"/>
      <c r="F498" s="24"/>
      <c r="G498" s="24" t="str">
        <f t="shared" si="1"/>
        <v/>
      </c>
      <c r="H498" s="22"/>
      <c r="I498" s="22"/>
      <c r="K498" s="1"/>
    </row>
    <row r="499" ht="15.0" customHeight="1">
      <c r="A499" s="22"/>
      <c r="B499" s="22" t="str">
        <f t="array" ref="B499">IF($A499="","",IFERROR(INDEX(Companies!$C$2:$C$1000,MATCH($A499,Companies!$B$2:$B$1000,0)),""))</f>
        <v/>
      </c>
      <c r="C499" s="22" t="str">
        <f t="array" ref="C499">IF($A499="","",IFERROR(INDEX(Companies!$D$2:$D$1000,MATCH($A499,Companies!$B$2:$B$1000,0)),""))</f>
        <v/>
      </c>
      <c r="D499" s="24"/>
      <c r="E499" s="22"/>
      <c r="F499" s="24"/>
      <c r="G499" s="24" t="str">
        <f t="shared" si="1"/>
        <v/>
      </c>
      <c r="H499" s="22"/>
      <c r="I499" s="22"/>
      <c r="K499" s="1"/>
    </row>
    <row r="500" ht="15.0" customHeight="1">
      <c r="A500" s="22"/>
      <c r="B500" s="22" t="str">
        <f t="array" ref="B500">IF($A500="","",IFERROR(INDEX(Companies!$C$2:$C$1000,MATCH($A500,Companies!$B$2:$B$1000,0)),""))</f>
        <v/>
      </c>
      <c r="C500" s="22" t="str">
        <f t="array" ref="C500">IF($A500="","",IFERROR(INDEX(Companies!$D$2:$D$1000,MATCH($A500,Companies!$B$2:$B$1000,0)),""))</f>
        <v/>
      </c>
      <c r="D500" s="24"/>
      <c r="E500" s="22"/>
      <c r="F500" s="24"/>
      <c r="G500" s="24" t="str">
        <f t="shared" si="1"/>
        <v/>
      </c>
      <c r="H500" s="22"/>
      <c r="I500" s="22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K1000" s="1"/>
    </row>
  </sheetData>
  <conditionalFormatting sqref="G2:G500">
    <cfRule type="expression" dxfId="4" priority="1">
      <formula>AND(G2&lt;&gt;"",G2&lt;=TODAY(),$H2&lt;&gt;"OPTED OUT - never text again")</formula>
    </cfRule>
  </conditionalFormatting>
  <conditionalFormatting sqref="A2:I500">
    <cfRule type="expression" dxfId="8" priority="2">
      <formula>$H2="OPTED OUT - never text again"</formula>
    </cfRule>
  </conditionalFormatting>
  <conditionalFormatting sqref="A2:I500">
    <cfRule type="expression" dxfId="5" priority="3">
      <formula>$H2="Replied - INTERESTED"</formula>
    </cfRule>
  </conditionalFormatting>
  <dataValidations>
    <dataValidation type="list" allowBlank="1" sqref="A2:A500">
      <formula1>Companies!$B$2:$B$1000</formula1>
    </dataValidation>
    <dataValidation type="list" allowBlank="1" sqref="E2:E500">
      <formula1>Lists!$D$2:$D$6</formula1>
    </dataValidation>
    <dataValidation type="list" allowBlank="1" sqref="H2:H500">
      <formula1>Lists!$H$2:$H$5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15.0"/>
    <col customWidth="1" min="3" max="26" width="8.71"/>
  </cols>
  <sheetData>
    <row r="1">
      <c r="B1" s="1"/>
    </row>
    <row r="2" ht="15.0" customHeight="1">
      <c r="B2" s="28" t="s">
        <v>4492</v>
      </c>
    </row>
    <row r="3" ht="15.0" customHeight="1">
      <c r="B3" s="27"/>
    </row>
    <row r="4" ht="15.0" customHeight="1">
      <c r="B4" s="28" t="s">
        <v>4493</v>
      </c>
    </row>
    <row r="5" ht="23.25" customHeight="1">
      <c r="B5" s="27" t="s">
        <v>4494</v>
      </c>
    </row>
    <row r="6" ht="23.25" customHeight="1">
      <c r="B6" s="27" t="s">
        <v>4495</v>
      </c>
    </row>
    <row r="7" ht="34.5" customHeight="1">
      <c r="B7" s="27" t="s">
        <v>4496</v>
      </c>
    </row>
    <row r="8" ht="15.0" customHeight="1">
      <c r="B8" s="27"/>
    </row>
    <row r="9" ht="15.0" customHeight="1">
      <c r="B9" s="28" t="s">
        <v>4497</v>
      </c>
    </row>
    <row r="10" ht="23.25" customHeight="1">
      <c r="B10" s="27" t="s">
        <v>4498</v>
      </c>
    </row>
    <row r="11" ht="15.0" customHeight="1">
      <c r="B11" s="27" t="s">
        <v>4499</v>
      </c>
    </row>
    <row r="12" ht="23.25" customHeight="1">
      <c r="B12" s="27" t="s">
        <v>4500</v>
      </c>
    </row>
    <row r="13" ht="15.0" customHeight="1">
      <c r="B13" s="27"/>
    </row>
    <row r="14" ht="15.0" customHeight="1">
      <c r="B14" s="28" t="s">
        <v>4501</v>
      </c>
    </row>
    <row r="15" ht="23.25" customHeight="1">
      <c r="B15" s="27" t="s">
        <v>4502</v>
      </c>
    </row>
    <row r="16" ht="23.25" customHeight="1">
      <c r="B16" s="27" t="s">
        <v>4503</v>
      </c>
    </row>
    <row r="17" ht="15.0" customHeight="1">
      <c r="B17" s="27"/>
    </row>
    <row r="18" ht="15.0" customHeight="1">
      <c r="B18" s="28" t="s">
        <v>4504</v>
      </c>
    </row>
    <row r="19" ht="15.0" customHeight="1">
      <c r="B19" s="27" t="s">
        <v>4505</v>
      </c>
    </row>
    <row r="20" ht="15.0" customHeight="1">
      <c r="B20" s="27" t="s">
        <v>4506</v>
      </c>
    </row>
    <row r="21" ht="15.0" customHeight="1">
      <c r="B21" s="27" t="s">
        <v>4507</v>
      </c>
    </row>
    <row r="22" ht="15.0" customHeight="1">
      <c r="B22" s="27" t="s">
        <v>4508</v>
      </c>
    </row>
    <row r="23" ht="23.25" customHeight="1">
      <c r="B23" s="27" t="s">
        <v>4509</v>
      </c>
    </row>
    <row r="24" ht="15.0" customHeight="1">
      <c r="B24" s="27" t="s">
        <v>4510</v>
      </c>
    </row>
    <row r="25" ht="15.0" customHeight="1">
      <c r="B25" s="27"/>
    </row>
    <row r="26" ht="26.25" customHeight="1">
      <c r="B26" s="28" t="s">
        <v>4511</v>
      </c>
    </row>
    <row r="27" ht="15.0" customHeight="1">
      <c r="B27" s="27"/>
    </row>
    <row r="28" ht="23.25" customHeight="1">
      <c r="B28" s="27" t="s">
        <v>4512</v>
      </c>
    </row>
    <row r="29" ht="15.75" customHeight="1">
      <c r="B29" s="1"/>
    </row>
    <row r="30" ht="15.75" customHeight="1">
      <c r="B30" s="1"/>
    </row>
    <row r="31" ht="15.75" customHeight="1">
      <c r="B31" s="1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printOptions/>
  <pageMargins bottom="1.0" footer="0.0" header="0.0" left="0.75" right="0.75" top="1.0"/>
  <pageSetup paperSize="9" orientation="portrait"/>
  <drawing r:id="rId1"/>
</worksheet>
</file>